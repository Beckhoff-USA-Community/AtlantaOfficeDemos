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A_Demoracks\10_Konstruktionen\01_Demo_Rack Microsoft\32_Zusammenstellung_Klemmen\"/>
    </mc:Choice>
  </mc:AlternateContent>
  <bookViews>
    <workbookView xWindow="13095" yWindow="75" windowWidth="6015" windowHeight="11925"/>
  </bookViews>
  <sheets>
    <sheet name="System_configuration" sheetId="1" r:id="rId1"/>
    <sheet name="Data_source" sheetId="3" r:id="rId2"/>
  </sheets>
  <externalReferences>
    <externalReference r:id="rId3"/>
  </externalReferences>
  <definedNames>
    <definedName name="_xlnm._FilterDatabase" localSheetId="1" hidden="1">Data_source!$A$1:$J$8522</definedName>
    <definedName name="_xlnm.Print_Titles" localSheetId="0">System_configuration!$4:$11</definedName>
  </definedNames>
  <calcPr calcId="162913"/>
</workbook>
</file>

<file path=xl/calcChain.xml><?xml version="1.0" encoding="utf-8"?>
<calcChain xmlns="http://schemas.openxmlformats.org/spreadsheetml/2006/main">
  <c r="J778" i="3" l="1"/>
  <c r="J829" i="3" l="1"/>
  <c r="E8" i="1" l="1"/>
  <c r="E6" i="1"/>
  <c r="E7" i="1"/>
  <c r="C1" i="1"/>
  <c r="C2" i="1"/>
  <c r="K8" i="1" l="1"/>
  <c r="K7" i="1"/>
  <c r="K6" i="1" l="1"/>
  <c r="K9" i="1"/>
  <c r="K5" i="1" l="1"/>
  <c r="K4" i="1"/>
  <c r="C40" i="1" l="1"/>
  <c r="C70" i="1"/>
  <c r="C85" i="1"/>
  <c r="C86" i="1"/>
  <c r="C87" i="1"/>
  <c r="C88" i="1"/>
  <c r="C89" i="1"/>
  <c r="C90" i="1"/>
  <c r="C111" i="1"/>
  <c r="C112" i="1"/>
  <c r="C113" i="1"/>
  <c r="C114" i="1"/>
  <c r="C115" i="1"/>
  <c r="C116"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L40" i="1"/>
  <c r="L70" i="1"/>
  <c r="L85" i="1"/>
  <c r="L86" i="1"/>
  <c r="L87" i="1"/>
  <c r="L88" i="1"/>
  <c r="L89" i="1"/>
  <c r="L90" i="1"/>
  <c r="L111" i="1"/>
  <c r="L112" i="1"/>
  <c r="L113" i="1"/>
  <c r="L114" i="1"/>
  <c r="L115" i="1"/>
  <c r="L116"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K40" i="1"/>
  <c r="K70" i="1"/>
  <c r="K85" i="1"/>
  <c r="K86" i="1"/>
  <c r="K87" i="1"/>
  <c r="K88" i="1"/>
  <c r="K89" i="1"/>
  <c r="K90" i="1"/>
  <c r="K111" i="1"/>
  <c r="K112" i="1"/>
  <c r="K113" i="1"/>
  <c r="K114" i="1"/>
  <c r="K115" i="1"/>
  <c r="K116"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J40" i="1"/>
  <c r="J70" i="1"/>
  <c r="J85" i="1"/>
  <c r="J86" i="1"/>
  <c r="J87" i="1"/>
  <c r="J88" i="1"/>
  <c r="J89" i="1"/>
  <c r="J90" i="1"/>
  <c r="J111" i="1"/>
  <c r="J112" i="1"/>
  <c r="J113" i="1"/>
  <c r="J114" i="1"/>
  <c r="J115" i="1"/>
  <c r="J116"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H40" i="1"/>
  <c r="I40" i="1" s="1"/>
  <c r="H70" i="1"/>
  <c r="I70" i="1" s="1"/>
  <c r="H85" i="1"/>
  <c r="I85" i="1" s="1"/>
  <c r="H86" i="1"/>
  <c r="I86" i="1" s="1"/>
  <c r="H87" i="1"/>
  <c r="I87" i="1" s="1"/>
  <c r="H88" i="1"/>
  <c r="I88" i="1" s="1"/>
  <c r="H89" i="1"/>
  <c r="I89" i="1" s="1"/>
  <c r="H90" i="1"/>
  <c r="I90" i="1" s="1"/>
  <c r="H111" i="1"/>
  <c r="H112" i="1"/>
  <c r="H113" i="1"/>
  <c r="H114" i="1"/>
  <c r="H115" i="1"/>
  <c r="H116"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F40" i="1"/>
  <c r="G40" i="1" s="1"/>
  <c r="F70" i="1"/>
  <c r="G70" i="1" s="1"/>
  <c r="F85" i="1"/>
  <c r="G85" i="1" s="1"/>
  <c r="F86" i="1"/>
  <c r="G86" i="1" s="1"/>
  <c r="F87" i="1"/>
  <c r="G87" i="1" s="1"/>
  <c r="F88" i="1"/>
  <c r="G88" i="1" s="1"/>
  <c r="F89" i="1"/>
  <c r="G89" i="1" s="1"/>
  <c r="F90" i="1"/>
  <c r="G90" i="1" s="1"/>
  <c r="F111" i="1"/>
  <c r="G111" i="1" s="1"/>
  <c r="F112" i="1"/>
  <c r="G112" i="1" s="1"/>
  <c r="F113" i="1"/>
  <c r="G113" i="1" s="1"/>
  <c r="F114" i="1"/>
  <c r="G114" i="1" s="1"/>
  <c r="F115" i="1"/>
  <c r="G115" i="1" s="1"/>
  <c r="F116" i="1"/>
  <c r="G116" i="1" s="1"/>
  <c r="F122" i="1"/>
  <c r="G122" i="1" s="1"/>
  <c r="F123" i="1"/>
  <c r="G123" i="1" s="1"/>
  <c r="F124" i="1"/>
  <c r="G124" i="1" s="1"/>
  <c r="F125" i="1"/>
  <c r="G125" i="1" s="1"/>
  <c r="F126" i="1"/>
  <c r="G126" i="1" s="1"/>
  <c r="F127" i="1"/>
  <c r="F128" i="1"/>
  <c r="F129" i="1"/>
  <c r="F130" i="1"/>
  <c r="F131" i="1"/>
  <c r="G131" i="1" s="1"/>
  <c r="F132" i="1"/>
  <c r="G132" i="1" s="1"/>
  <c r="F133" i="1"/>
  <c r="G133" i="1" s="1"/>
  <c r="F134" i="1"/>
  <c r="G134" i="1" s="1"/>
  <c r="F135" i="1"/>
  <c r="G135" i="1" s="1"/>
  <c r="F136" i="1"/>
  <c r="G136" i="1" s="1"/>
  <c r="F137" i="1"/>
  <c r="G137" i="1" s="1"/>
  <c r="F138" i="1"/>
  <c r="G138" i="1" s="1"/>
  <c r="F139" i="1"/>
  <c r="G139" i="1" s="1"/>
  <c r="F140" i="1"/>
  <c r="G140" i="1" s="1"/>
  <c r="F141" i="1"/>
  <c r="G141" i="1" s="1"/>
  <c r="F142" i="1"/>
  <c r="G142" i="1" s="1"/>
  <c r="F143" i="1"/>
  <c r="G143" i="1" s="1"/>
  <c r="F144" i="1"/>
  <c r="G144" i="1" s="1"/>
  <c r="F145" i="1"/>
  <c r="G145" i="1" s="1"/>
  <c r="F146" i="1"/>
  <c r="G146" i="1" s="1"/>
  <c r="F147" i="1"/>
  <c r="G147" i="1" s="1"/>
  <c r="F148" i="1"/>
  <c r="G148" i="1" s="1"/>
  <c r="F149" i="1"/>
  <c r="G149" i="1" s="1"/>
  <c r="F150" i="1"/>
  <c r="G150" i="1" s="1"/>
  <c r="F151" i="1"/>
  <c r="G151" i="1" s="1"/>
  <c r="F152" i="1"/>
  <c r="G152" i="1" s="1"/>
  <c r="F153" i="1"/>
  <c r="G153" i="1" s="1"/>
  <c r="F154" i="1"/>
  <c r="G154" i="1" s="1"/>
  <c r="F155" i="1"/>
  <c r="G155" i="1" s="1"/>
  <c r="F156" i="1"/>
  <c r="G156" i="1" s="1"/>
  <c r="F157" i="1"/>
  <c r="G157" i="1" s="1"/>
  <c r="F158" i="1"/>
  <c r="G158" i="1" s="1"/>
  <c r="F159" i="1"/>
  <c r="G159" i="1" s="1"/>
  <c r="F160" i="1"/>
  <c r="G160" i="1" s="1"/>
  <c r="F161" i="1"/>
  <c r="G161" i="1" s="1"/>
  <c r="F162" i="1"/>
  <c r="G162" i="1" s="1"/>
  <c r="F163" i="1"/>
  <c r="G163" i="1" s="1"/>
  <c r="F164" i="1"/>
  <c r="G164" i="1" s="1"/>
  <c r="F165" i="1"/>
  <c r="G165" i="1" s="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s="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s="1"/>
  <c r="F199" i="1"/>
  <c r="G199" i="1" s="1"/>
  <c r="F200" i="1"/>
  <c r="G200" i="1" s="1"/>
  <c r="F201" i="1"/>
  <c r="G201" i="1" s="1"/>
  <c r="F202" i="1"/>
  <c r="G202" i="1" s="1"/>
  <c r="F203" i="1"/>
  <c r="G203" i="1" s="1"/>
  <c r="F204" i="1"/>
  <c r="G204" i="1" s="1"/>
  <c r="F205" i="1"/>
  <c r="G205" i="1" s="1"/>
  <c r="F206" i="1"/>
  <c r="G206" i="1" s="1"/>
  <c r="F207" i="1"/>
  <c r="G207" i="1" s="1"/>
  <c r="F208" i="1"/>
  <c r="G208" i="1" s="1"/>
  <c r="F209" i="1"/>
  <c r="G209" i="1" s="1"/>
  <c r="F210" i="1"/>
  <c r="G210" i="1" s="1"/>
  <c r="F211" i="1"/>
  <c r="G211" i="1" s="1"/>
  <c r="F212" i="1"/>
  <c r="G212" i="1" s="1"/>
  <c r="F213" i="1"/>
  <c r="G213" i="1" s="1"/>
  <c r="F214" i="1"/>
  <c r="G214" i="1" s="1"/>
  <c r="F215" i="1"/>
  <c r="G215" i="1" s="1"/>
  <c r="F216" i="1"/>
  <c r="G216" i="1" s="1"/>
  <c r="F217" i="1"/>
  <c r="G217" i="1" s="1"/>
  <c r="F218" i="1"/>
  <c r="G218" i="1" s="1"/>
  <c r="F219" i="1"/>
  <c r="G219" i="1" s="1"/>
  <c r="F220" i="1"/>
  <c r="G220" i="1" s="1"/>
  <c r="F221" i="1"/>
  <c r="G221" i="1" s="1"/>
  <c r="F222" i="1"/>
  <c r="G222" i="1" s="1"/>
  <c r="F223" i="1"/>
  <c r="G223" i="1" s="1"/>
  <c r="F224" i="1"/>
  <c r="G224" i="1" s="1"/>
  <c r="F225" i="1"/>
  <c r="G225" i="1" s="1"/>
  <c r="F226" i="1"/>
  <c r="G226" i="1" s="1"/>
  <c r="F227" i="1"/>
  <c r="G227" i="1" s="1"/>
  <c r="F228" i="1"/>
  <c r="G228" i="1" s="1"/>
  <c r="F229" i="1"/>
  <c r="G229" i="1" s="1"/>
  <c r="F230" i="1"/>
  <c r="G230" i="1" s="1"/>
  <c r="F231" i="1"/>
  <c r="G231" i="1" s="1"/>
  <c r="F232" i="1"/>
  <c r="G232" i="1" s="1"/>
  <c r="F233" i="1"/>
  <c r="G233" i="1" s="1"/>
  <c r="F234" i="1"/>
  <c r="G234" i="1" s="1"/>
  <c r="F235" i="1"/>
  <c r="G235" i="1" s="1"/>
  <c r="F236" i="1"/>
  <c r="G236" i="1" s="1"/>
  <c r="F237" i="1"/>
  <c r="G237" i="1" s="1"/>
  <c r="F238" i="1"/>
  <c r="G238" i="1" s="1"/>
  <c r="F239" i="1"/>
  <c r="G239" i="1" s="1"/>
  <c r="F240" i="1"/>
  <c r="G240" i="1" s="1"/>
  <c r="F241" i="1"/>
  <c r="G241" i="1" s="1"/>
  <c r="F242" i="1"/>
  <c r="G242" i="1" s="1"/>
  <c r="F243" i="1"/>
  <c r="G243" i="1" s="1"/>
  <c r="F244" i="1"/>
  <c r="G244" i="1" s="1"/>
  <c r="F245" i="1"/>
  <c r="G245" i="1" s="1"/>
  <c r="F246" i="1"/>
  <c r="G246" i="1" s="1"/>
  <c r="F247" i="1"/>
  <c r="G247" i="1" s="1"/>
  <c r="F248" i="1"/>
  <c r="G248" i="1" s="1"/>
  <c r="F249" i="1"/>
  <c r="G249" i="1" s="1"/>
  <c r="F250" i="1"/>
  <c r="G250" i="1" s="1"/>
  <c r="F251" i="1"/>
  <c r="G251" i="1" s="1"/>
  <c r="F252" i="1"/>
  <c r="G252" i="1" s="1"/>
  <c r="F253" i="1"/>
  <c r="G253" i="1" s="1"/>
  <c r="F254" i="1"/>
  <c r="G254" i="1" s="1"/>
  <c r="F255" i="1"/>
  <c r="G255" i="1" s="1"/>
  <c r="F256" i="1"/>
  <c r="G256" i="1" s="1"/>
  <c r="F257" i="1"/>
  <c r="G257" i="1" s="1"/>
  <c r="F258" i="1"/>
  <c r="G258" i="1" s="1"/>
  <c r="F259" i="1"/>
  <c r="G259" i="1" s="1"/>
  <c r="F260" i="1"/>
  <c r="G260" i="1" s="1"/>
  <c r="F261" i="1"/>
  <c r="G261" i="1" s="1"/>
  <c r="F262" i="1"/>
  <c r="G262" i="1" s="1"/>
  <c r="F263" i="1"/>
  <c r="G263" i="1" s="1"/>
  <c r="F264" i="1"/>
  <c r="G264" i="1" s="1"/>
  <c r="F265" i="1"/>
  <c r="G265" i="1" s="1"/>
  <c r="F266" i="1"/>
  <c r="G266" i="1" s="1"/>
  <c r="F267" i="1"/>
  <c r="G267" i="1" s="1"/>
  <c r="F268" i="1"/>
  <c r="G268" i="1" s="1"/>
  <c r="F269" i="1"/>
  <c r="G269" i="1" s="1"/>
  <c r="F270" i="1"/>
  <c r="G270" i="1" s="1"/>
  <c r="F271" i="1"/>
  <c r="G271" i="1" s="1"/>
  <c r="F272" i="1"/>
  <c r="G272" i="1" s="1"/>
  <c r="F273" i="1"/>
  <c r="G273" i="1" s="1"/>
  <c r="F274" i="1"/>
  <c r="G274" i="1" s="1"/>
  <c r="F275" i="1"/>
  <c r="G275" i="1" s="1"/>
  <c r="F276" i="1"/>
  <c r="G276" i="1" s="1"/>
  <c r="F277" i="1"/>
  <c r="G277" i="1" s="1"/>
  <c r="F278" i="1"/>
  <c r="G278" i="1" s="1"/>
  <c r="F279" i="1"/>
  <c r="G279" i="1" s="1"/>
  <c r="F280" i="1"/>
  <c r="G280" i="1" s="1"/>
  <c r="F281" i="1"/>
  <c r="G281" i="1" s="1"/>
  <c r="F282" i="1"/>
  <c r="G282" i="1" s="1"/>
  <c r="F283" i="1"/>
  <c r="G283" i="1" s="1"/>
  <c r="F284" i="1"/>
  <c r="G284" i="1" s="1"/>
  <c r="F285" i="1"/>
  <c r="G285" i="1" s="1"/>
  <c r="F286" i="1"/>
  <c r="G286" i="1" s="1"/>
  <c r="F287" i="1"/>
  <c r="G287" i="1" s="1"/>
  <c r="F288" i="1"/>
  <c r="G288" i="1" s="1"/>
  <c r="F289" i="1"/>
  <c r="G289" i="1" s="1"/>
  <c r="F290" i="1"/>
  <c r="G290" i="1" s="1"/>
  <c r="F291" i="1"/>
  <c r="G291" i="1" s="1"/>
  <c r="F292" i="1"/>
  <c r="G292" i="1" s="1"/>
  <c r="F293" i="1"/>
  <c r="G293" i="1" s="1"/>
  <c r="F294" i="1"/>
  <c r="G294" i="1" s="1"/>
  <c r="F295" i="1"/>
  <c r="G295" i="1" s="1"/>
  <c r="F296" i="1"/>
  <c r="G296" i="1" s="1"/>
  <c r="F297" i="1"/>
  <c r="G297" i="1" s="1"/>
  <c r="F298" i="1"/>
  <c r="G298" i="1" s="1"/>
  <c r="F299" i="1"/>
  <c r="G299" i="1" s="1"/>
  <c r="F300" i="1"/>
  <c r="G300" i="1" s="1"/>
  <c r="F301" i="1"/>
  <c r="G301" i="1" s="1"/>
  <c r="F302" i="1"/>
  <c r="G302" i="1" s="1"/>
  <c r="F303" i="1"/>
  <c r="G303" i="1" s="1"/>
  <c r="F304" i="1"/>
  <c r="G304" i="1" s="1"/>
  <c r="F305" i="1"/>
  <c r="G305" i="1" s="1"/>
  <c r="F306" i="1"/>
  <c r="G306" i="1" s="1"/>
  <c r="F307" i="1"/>
  <c r="G307" i="1" s="1"/>
  <c r="F308" i="1"/>
  <c r="G308" i="1" s="1"/>
  <c r="F309" i="1"/>
  <c r="G309" i="1" s="1"/>
  <c r="F310" i="1"/>
  <c r="G310" i="1" s="1"/>
  <c r="F311" i="1"/>
  <c r="G311" i="1" s="1"/>
  <c r="D40" i="1"/>
  <c r="D70" i="1"/>
  <c r="D85" i="1"/>
  <c r="D86" i="1"/>
  <c r="D87" i="1"/>
  <c r="D88" i="1"/>
  <c r="D89" i="1"/>
  <c r="D90" i="1"/>
  <c r="D111" i="1"/>
  <c r="D112" i="1"/>
  <c r="D113" i="1"/>
  <c r="D114" i="1"/>
  <c r="D115" i="1"/>
  <c r="D116"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G127" i="1" l="1"/>
  <c r="G128" i="1" s="1"/>
  <c r="G129" i="1" s="1"/>
  <c r="G130" i="1" s="1"/>
  <c r="E248" i="1"/>
  <c r="E234" i="1"/>
  <c r="E210" i="1"/>
  <c r="E170" i="1"/>
  <c r="E309" i="1"/>
  <c r="E301" i="1"/>
  <c r="E293" i="1"/>
  <c r="E285" i="1"/>
  <c r="E277" i="1"/>
  <c r="E269" i="1"/>
  <c r="E261" i="1"/>
  <c r="E253" i="1"/>
  <c r="E237" i="1"/>
  <c r="E229" i="1"/>
  <c r="E221" i="1"/>
  <c r="E213" i="1"/>
  <c r="E205" i="1"/>
  <c r="E197" i="1"/>
  <c r="E189" i="1"/>
  <c r="E181" i="1"/>
  <c r="E173" i="1"/>
  <c r="E165" i="1"/>
  <c r="E157" i="1"/>
  <c r="E149" i="1"/>
  <c r="E141" i="1"/>
  <c r="E252" i="1"/>
  <c r="E212" i="1"/>
  <c r="E196" i="1"/>
  <c r="E164" i="1"/>
  <c r="E148" i="1"/>
  <c r="E306" i="1"/>
  <c r="E296" i="1"/>
  <c r="E280" i="1"/>
  <c r="E264" i="1"/>
  <c r="E256" i="1"/>
  <c r="E232" i="1"/>
  <c r="E216" i="1"/>
  <c r="E208" i="1"/>
  <c r="E200" i="1"/>
  <c r="E192" i="1"/>
  <c r="E184" i="1"/>
  <c r="E176" i="1"/>
  <c r="E168" i="1"/>
  <c r="E160" i="1"/>
  <c r="E152" i="1"/>
  <c r="E88" i="1"/>
  <c r="E40" i="1"/>
  <c r="E162" i="1"/>
  <c r="E225" i="1"/>
  <c r="E177" i="1"/>
  <c r="E161" i="1"/>
  <c r="E273" i="1"/>
  <c r="E209" i="1"/>
  <c r="E272" i="1"/>
  <c r="E194" i="1"/>
  <c r="E265" i="1"/>
  <c r="E193" i="1"/>
  <c r="E249" i="1"/>
  <c r="E289" i="1"/>
  <c r="E295" i="1"/>
  <c r="E271" i="1"/>
  <c r="E288" i="1"/>
  <c r="E290" i="1"/>
  <c r="E245" i="1"/>
  <c r="E311" i="1"/>
  <c r="E303" i="1"/>
  <c r="E287" i="1"/>
  <c r="E263" i="1"/>
  <c r="E250" i="1"/>
  <c r="E90" i="1"/>
  <c r="E307" i="1"/>
  <c r="E299" i="1"/>
  <c r="E291" i="1"/>
  <c r="E283" i="1"/>
  <c r="E275" i="1"/>
  <c r="E267" i="1"/>
  <c r="E259" i="1"/>
  <c r="E251" i="1"/>
  <c r="E243" i="1"/>
  <c r="E235" i="1"/>
  <c r="E227" i="1"/>
  <c r="E219" i="1"/>
  <c r="E211" i="1"/>
  <c r="E203" i="1"/>
  <c r="E195" i="1"/>
  <c r="E187" i="1"/>
  <c r="E179" i="1"/>
  <c r="E171" i="1"/>
  <c r="E163" i="1"/>
  <c r="E155" i="1"/>
  <c r="E279" i="1"/>
  <c r="E298" i="1"/>
  <c r="E282" i="1"/>
  <c r="E274" i="1"/>
  <c r="E266" i="1"/>
  <c r="E258" i="1"/>
  <c r="E242" i="1"/>
  <c r="E226" i="1"/>
  <c r="E218" i="1"/>
  <c r="E202" i="1"/>
  <c r="E186" i="1"/>
  <c r="E178" i="1"/>
  <c r="E154" i="1"/>
  <c r="E304" i="1"/>
  <c r="E224" i="1"/>
  <c r="E180" i="1"/>
  <c r="E85" i="1"/>
  <c r="E310" i="1"/>
  <c r="E302" i="1"/>
  <c r="E294" i="1"/>
  <c r="E286" i="1"/>
  <c r="E278" i="1"/>
  <c r="E270" i="1"/>
  <c r="E262" i="1"/>
  <c r="E254" i="1"/>
  <c r="E246" i="1"/>
  <c r="E238" i="1"/>
  <c r="E230" i="1"/>
  <c r="E222" i="1"/>
  <c r="E214" i="1"/>
  <c r="E206" i="1"/>
  <c r="E198" i="1"/>
  <c r="E190" i="1"/>
  <c r="E182" i="1"/>
  <c r="E174" i="1"/>
  <c r="E166" i="1"/>
  <c r="E158" i="1"/>
  <c r="E150" i="1"/>
  <c r="E142" i="1"/>
  <c r="E86" i="1"/>
  <c r="E70" i="1"/>
  <c r="E255" i="1"/>
  <c r="E247" i="1"/>
  <c r="E239" i="1"/>
  <c r="E231" i="1"/>
  <c r="E223" i="1"/>
  <c r="E215" i="1"/>
  <c r="E207" i="1"/>
  <c r="E199" i="1"/>
  <c r="E191" i="1"/>
  <c r="E183" i="1"/>
  <c r="E175" i="1"/>
  <c r="E167" i="1"/>
  <c r="E159" i="1"/>
  <c r="E151" i="1"/>
  <c r="E143" i="1"/>
  <c r="E144" i="1" s="1"/>
  <c r="E145" i="1" s="1"/>
  <c r="E146" i="1" s="1"/>
  <c r="E147" i="1" s="1"/>
  <c r="E240" i="1"/>
  <c r="E308" i="1"/>
  <c r="E300" i="1"/>
  <c r="E292" i="1"/>
  <c r="E284" i="1"/>
  <c r="E276" i="1"/>
  <c r="E268" i="1"/>
  <c r="E260" i="1"/>
  <c r="E244" i="1"/>
  <c r="E236" i="1"/>
  <c r="E228" i="1"/>
  <c r="E220" i="1"/>
  <c r="E204" i="1"/>
  <c r="E188" i="1"/>
  <c r="E172" i="1"/>
  <c r="E156" i="1"/>
  <c r="E305" i="1"/>
  <c r="E297" i="1"/>
  <c r="E281" i="1"/>
  <c r="E257" i="1"/>
  <c r="E241" i="1"/>
  <c r="E233" i="1"/>
  <c r="E217" i="1"/>
  <c r="E201" i="1"/>
  <c r="E185" i="1"/>
  <c r="E169" i="1"/>
  <c r="E153" i="1"/>
  <c r="E89" i="1"/>
  <c r="E87" i="1"/>
  <c r="I10" i="1" l="1"/>
  <c r="G10" i="1"/>
  <c r="E10" i="1"/>
  <c r="J10" i="1"/>
  <c r="I1" i="3"/>
  <c r="G1" i="3"/>
  <c r="H1" i="3"/>
  <c r="A7" i="1" l="1"/>
  <c r="M10" i="1" l="1"/>
  <c r="J1" i="3" l="1"/>
  <c r="F1" i="3"/>
  <c r="E1" i="3"/>
  <c r="D1" i="3"/>
  <c r="C1" i="3"/>
  <c r="B1" i="3"/>
  <c r="A1" i="3"/>
  <c r="H10" i="1"/>
  <c r="B10" i="1"/>
  <c r="C10" i="1"/>
  <c r="F10" i="1"/>
  <c r="D10" i="1"/>
  <c r="J917" i="3" l="1"/>
  <c r="J926" i="3"/>
  <c r="J927" i="3"/>
  <c r="J1094" i="3"/>
  <c r="J758" i="3"/>
  <c r="H69" i="1"/>
  <c r="H100" i="1"/>
  <c r="F60" i="1"/>
  <c r="G60" i="1" s="1"/>
  <c r="D59" i="1"/>
  <c r="D60" i="1"/>
  <c r="K100" i="1"/>
  <c r="F58" i="1"/>
  <c r="G58" i="1" s="1"/>
  <c r="J69" i="1"/>
  <c r="D58" i="1"/>
  <c r="C58" i="1"/>
  <c r="F69" i="1"/>
  <c r="F100" i="1"/>
  <c r="C59" i="1"/>
  <c r="L58" i="1"/>
  <c r="D69" i="1"/>
  <c r="D100" i="1"/>
  <c r="L100" i="1"/>
  <c r="K60" i="1"/>
  <c r="J60" i="1"/>
  <c r="H59" i="1"/>
  <c r="H60" i="1"/>
  <c r="C60" i="1"/>
  <c r="L59" i="1"/>
  <c r="K58" i="1"/>
  <c r="L69" i="1"/>
  <c r="K69" i="1"/>
  <c r="J100" i="1"/>
  <c r="F59" i="1"/>
  <c r="G59" i="1" s="1"/>
  <c r="C69" i="1"/>
  <c r="C100" i="1"/>
  <c r="L60" i="1"/>
  <c r="K59" i="1"/>
  <c r="J58" i="1"/>
  <c r="J59" i="1"/>
  <c r="H58" i="1"/>
  <c r="C37" i="1"/>
  <c r="K37" i="1"/>
  <c r="H37" i="1"/>
  <c r="D37" i="1"/>
  <c r="F38" i="1"/>
  <c r="G38" i="1" s="1"/>
  <c r="J39" i="1"/>
  <c r="C38" i="1"/>
  <c r="K38" i="1"/>
  <c r="H38" i="1"/>
  <c r="D38" i="1"/>
  <c r="L39" i="1"/>
  <c r="F39" i="1"/>
  <c r="G39" i="1" s="1"/>
  <c r="C39" i="1"/>
  <c r="K39" i="1"/>
  <c r="H39" i="1"/>
  <c r="D39" i="1"/>
  <c r="L37" i="1"/>
  <c r="J37" i="1"/>
  <c r="F37" i="1"/>
  <c r="L38" i="1"/>
  <c r="J38" i="1"/>
  <c r="D45" i="1"/>
  <c r="C32" i="1"/>
  <c r="L33" i="1"/>
  <c r="K34" i="1"/>
  <c r="F32" i="1"/>
  <c r="G32" i="1" s="1"/>
  <c r="D33" i="1"/>
  <c r="F33" i="1"/>
  <c r="G33" i="1" s="1"/>
  <c r="D34" i="1"/>
  <c r="H33" i="1"/>
  <c r="K32" i="1"/>
  <c r="H34" i="1"/>
  <c r="J34" i="1"/>
  <c r="C33" i="1"/>
  <c r="L34" i="1"/>
  <c r="J32" i="1"/>
  <c r="J33" i="1"/>
  <c r="L32" i="1"/>
  <c r="K33" i="1"/>
  <c r="C34" i="1"/>
  <c r="D32" i="1"/>
  <c r="H32" i="1"/>
  <c r="F34" i="1"/>
  <c r="L56" i="1"/>
  <c r="J56" i="1"/>
  <c r="D56" i="1"/>
  <c r="F56" i="1"/>
  <c r="G56" i="1" s="1"/>
  <c r="K56" i="1"/>
  <c r="H56" i="1"/>
  <c r="C56" i="1"/>
  <c r="C35" i="1"/>
  <c r="L118" i="1"/>
  <c r="K121" i="1"/>
  <c r="H119" i="1"/>
  <c r="D117" i="1"/>
  <c r="L120" i="1"/>
  <c r="H121" i="1"/>
  <c r="D119" i="1"/>
  <c r="C121" i="1"/>
  <c r="L117" i="1"/>
  <c r="H118" i="1"/>
  <c r="L119" i="1"/>
  <c r="J117" i="1"/>
  <c r="H120" i="1"/>
  <c r="D118" i="1"/>
  <c r="C117" i="1"/>
  <c r="J118" i="1"/>
  <c r="H117" i="1"/>
  <c r="F120" i="1"/>
  <c r="G120" i="1" s="1"/>
  <c r="K120" i="1"/>
  <c r="C118" i="1"/>
  <c r="L121" i="1"/>
  <c r="J119" i="1"/>
  <c r="F117" i="1"/>
  <c r="G117" i="1" s="1"/>
  <c r="D120" i="1"/>
  <c r="F119" i="1"/>
  <c r="G119" i="1" s="1"/>
  <c r="C119" i="1"/>
  <c r="K117" i="1"/>
  <c r="J120" i="1"/>
  <c r="F118" i="1"/>
  <c r="G118" i="1" s="1"/>
  <c r="D121" i="1"/>
  <c r="C120" i="1"/>
  <c r="K118" i="1"/>
  <c r="J121" i="1"/>
  <c r="K119" i="1"/>
  <c r="F121" i="1"/>
  <c r="G121" i="1" s="1"/>
  <c r="D35" i="1"/>
  <c r="L36" i="1"/>
  <c r="F36" i="1"/>
  <c r="K36" i="1"/>
  <c r="D36" i="1"/>
  <c r="C36" i="1"/>
  <c r="H36" i="1"/>
  <c r="J36" i="1"/>
  <c r="J35" i="1"/>
  <c r="L35" i="1"/>
  <c r="H35" i="1"/>
  <c r="K35" i="1"/>
  <c r="F35" i="1"/>
  <c r="C19" i="1"/>
  <c r="C27" i="1"/>
  <c r="C43" i="1"/>
  <c r="C51" i="1"/>
  <c r="C67" i="1"/>
  <c r="C75" i="1"/>
  <c r="C83" i="1"/>
  <c r="C91" i="1"/>
  <c r="C99" i="1"/>
  <c r="C107" i="1"/>
  <c r="L16" i="1"/>
  <c r="L24" i="1"/>
  <c r="L48" i="1"/>
  <c r="L64" i="1"/>
  <c r="L72" i="1"/>
  <c r="L80" i="1"/>
  <c r="L96" i="1"/>
  <c r="L104" i="1"/>
  <c r="K13" i="1"/>
  <c r="K21" i="1"/>
  <c r="K29" i="1"/>
  <c r="K45" i="1"/>
  <c r="K53" i="1"/>
  <c r="K61" i="1"/>
  <c r="K77" i="1"/>
  <c r="K93" i="1"/>
  <c r="K101" i="1"/>
  <c r="K109" i="1"/>
  <c r="J18" i="1"/>
  <c r="J26" i="1"/>
  <c r="J42" i="1"/>
  <c r="J50" i="1"/>
  <c r="J66" i="1"/>
  <c r="J74" i="1"/>
  <c r="J82" i="1"/>
  <c r="J98" i="1"/>
  <c r="J106" i="1"/>
  <c r="H15" i="1"/>
  <c r="H23" i="1"/>
  <c r="H31" i="1"/>
  <c r="H47" i="1"/>
  <c r="H55" i="1"/>
  <c r="H63" i="1"/>
  <c r="H71" i="1"/>
  <c r="I71" i="1" s="1"/>
  <c r="H79" i="1"/>
  <c r="H95" i="1"/>
  <c r="H103" i="1"/>
  <c r="F20" i="1"/>
  <c r="G20" i="1" s="1"/>
  <c r="F28" i="1"/>
  <c r="F44" i="1"/>
  <c r="G44" i="1" s="1"/>
  <c r="F52" i="1"/>
  <c r="G52" i="1" s="1"/>
  <c r="F68" i="1"/>
  <c r="G68" i="1" s="1"/>
  <c r="F76" i="1"/>
  <c r="F84" i="1"/>
  <c r="G84" i="1" s="1"/>
  <c r="F92" i="1"/>
  <c r="F108" i="1"/>
  <c r="G108" i="1" s="1"/>
  <c r="D17" i="1"/>
  <c r="D25" i="1"/>
  <c r="D41" i="1"/>
  <c r="D49" i="1"/>
  <c r="D57" i="1"/>
  <c r="D65" i="1"/>
  <c r="D73" i="1"/>
  <c r="D81" i="1"/>
  <c r="D97" i="1"/>
  <c r="D105" i="1"/>
  <c r="F12" i="1"/>
  <c r="C44" i="1"/>
  <c r="C52" i="1"/>
  <c r="C68" i="1"/>
  <c r="C76" i="1"/>
  <c r="C84" i="1"/>
  <c r="C92" i="1"/>
  <c r="C108" i="1"/>
  <c r="L17" i="1"/>
  <c r="L25" i="1"/>
  <c r="L41" i="1"/>
  <c r="L49" i="1"/>
  <c r="L57" i="1"/>
  <c r="L65" i="1"/>
  <c r="L73" i="1"/>
  <c r="L81" i="1"/>
  <c r="L97" i="1"/>
  <c r="L105" i="1"/>
  <c r="C20" i="1"/>
  <c r="C28" i="1"/>
  <c r="C16" i="1"/>
  <c r="C24" i="1"/>
  <c r="C48" i="1"/>
  <c r="C64" i="1"/>
  <c r="C72" i="1"/>
  <c r="C80" i="1"/>
  <c r="C96" i="1"/>
  <c r="C104" i="1"/>
  <c r="L13" i="1"/>
  <c r="L21" i="1"/>
  <c r="L29" i="1"/>
  <c r="L45" i="1"/>
  <c r="L53" i="1"/>
  <c r="L61" i="1"/>
  <c r="L77" i="1"/>
  <c r="L93" i="1"/>
  <c r="L101" i="1"/>
  <c r="L109" i="1"/>
  <c r="K18" i="1"/>
  <c r="K26" i="1"/>
  <c r="K42" i="1"/>
  <c r="K50" i="1"/>
  <c r="K66" i="1"/>
  <c r="K74" i="1"/>
  <c r="K82" i="1"/>
  <c r="K98" i="1"/>
  <c r="K106" i="1"/>
  <c r="J15" i="1"/>
  <c r="J23" i="1"/>
  <c r="J31" i="1"/>
  <c r="J47" i="1"/>
  <c r="J55" i="1"/>
  <c r="J63" i="1"/>
  <c r="J71" i="1"/>
  <c r="J79" i="1"/>
  <c r="J95" i="1"/>
  <c r="J103" i="1"/>
  <c r="H20" i="1"/>
  <c r="H28" i="1"/>
  <c r="H44" i="1"/>
  <c r="H52" i="1"/>
  <c r="H68" i="1"/>
  <c r="H76" i="1"/>
  <c r="H84" i="1"/>
  <c r="H92" i="1"/>
  <c r="H108" i="1"/>
  <c r="F17" i="1"/>
  <c r="G17" i="1" s="1"/>
  <c r="F25" i="1"/>
  <c r="G25" i="1" s="1"/>
  <c r="F41" i="1"/>
  <c r="G41" i="1" s="1"/>
  <c r="F49" i="1"/>
  <c r="G49" i="1" s="1"/>
  <c r="F57" i="1"/>
  <c r="G57" i="1" s="1"/>
  <c r="F65" i="1"/>
  <c r="G65" i="1" s="1"/>
  <c r="F73" i="1"/>
  <c r="G73" i="1" s="1"/>
  <c r="F81" i="1"/>
  <c r="F97" i="1"/>
  <c r="F105" i="1"/>
  <c r="D14" i="1"/>
  <c r="D22" i="1"/>
  <c r="D30" i="1"/>
  <c r="D46" i="1"/>
  <c r="D54" i="1"/>
  <c r="D62" i="1"/>
  <c r="D78" i="1"/>
  <c r="D94" i="1"/>
  <c r="D102" i="1"/>
  <c r="D110" i="1"/>
  <c r="C17" i="1"/>
  <c r="C25" i="1"/>
  <c r="C41" i="1"/>
  <c r="C49" i="1"/>
  <c r="C57" i="1"/>
  <c r="C65" i="1"/>
  <c r="C73" i="1"/>
  <c r="C81" i="1"/>
  <c r="C97" i="1"/>
  <c r="C105" i="1"/>
  <c r="L14" i="1"/>
  <c r="L22" i="1"/>
  <c r="L30" i="1"/>
  <c r="L46" i="1"/>
  <c r="L54" i="1"/>
  <c r="L62" i="1"/>
  <c r="L78" i="1"/>
  <c r="L94" i="1"/>
  <c r="L102" i="1"/>
  <c r="C15" i="1"/>
  <c r="C31" i="1"/>
  <c r="C54" i="1"/>
  <c r="C63" i="1"/>
  <c r="C79" i="1"/>
  <c r="C93" i="1"/>
  <c r="C106" i="1"/>
  <c r="L23" i="1"/>
  <c r="L44" i="1"/>
  <c r="L71" i="1"/>
  <c r="L95" i="1"/>
  <c r="L110" i="1"/>
  <c r="K22" i="1"/>
  <c r="K51" i="1"/>
  <c r="K80" i="1"/>
  <c r="K99" i="1"/>
  <c r="K110" i="1"/>
  <c r="J21" i="1"/>
  <c r="J51" i="1"/>
  <c r="J81" i="1"/>
  <c r="J110" i="1"/>
  <c r="H21" i="1"/>
  <c r="H50" i="1"/>
  <c r="H81" i="1"/>
  <c r="H110" i="1"/>
  <c r="F21" i="1"/>
  <c r="G21" i="1" s="1"/>
  <c r="F31" i="1"/>
  <c r="G31" i="1" s="1"/>
  <c r="F50" i="1"/>
  <c r="G50" i="1" s="1"/>
  <c r="F80" i="1"/>
  <c r="F110" i="1"/>
  <c r="G110" i="1" s="1"/>
  <c r="D21" i="1"/>
  <c r="D51" i="1"/>
  <c r="D61" i="1"/>
  <c r="D71" i="1"/>
  <c r="D82" i="1"/>
  <c r="L50" i="1"/>
  <c r="L75" i="1"/>
  <c r="L99" i="1"/>
  <c r="K24" i="1"/>
  <c r="K54" i="1"/>
  <c r="K72" i="1"/>
  <c r="K91" i="1"/>
  <c r="J13" i="1"/>
  <c r="J53" i="1"/>
  <c r="J73" i="1"/>
  <c r="J92" i="1"/>
  <c r="H13" i="1"/>
  <c r="H73" i="1"/>
  <c r="H93" i="1"/>
  <c r="F13" i="1"/>
  <c r="G13" i="1" s="1"/>
  <c r="F42" i="1"/>
  <c r="G42" i="1" s="1"/>
  <c r="F62" i="1"/>
  <c r="G62" i="1" s="1"/>
  <c r="F83" i="1"/>
  <c r="F102" i="1"/>
  <c r="D43" i="1"/>
  <c r="D64" i="1"/>
  <c r="D84" i="1"/>
  <c r="D103" i="1"/>
  <c r="D12" i="1"/>
  <c r="C98" i="1"/>
  <c r="L28" i="1"/>
  <c r="L66" i="1"/>
  <c r="K25" i="1"/>
  <c r="K55" i="1"/>
  <c r="K73" i="1"/>
  <c r="K92" i="1"/>
  <c r="J25" i="1"/>
  <c r="J44" i="1"/>
  <c r="J64" i="1"/>
  <c r="J104" i="1"/>
  <c r="H14" i="1"/>
  <c r="H64" i="1"/>
  <c r="F14" i="1"/>
  <c r="G14" i="1" s="1"/>
  <c r="F74" i="1"/>
  <c r="F94" i="1"/>
  <c r="F103" i="1"/>
  <c r="D26" i="1"/>
  <c r="D44" i="1"/>
  <c r="D55" i="1"/>
  <c r="D75" i="1"/>
  <c r="D104" i="1"/>
  <c r="C23" i="1"/>
  <c r="L31" i="1"/>
  <c r="L52" i="1"/>
  <c r="L79" i="1"/>
  <c r="C18" i="1"/>
  <c r="C55" i="1"/>
  <c r="C66" i="1"/>
  <c r="C82" i="1"/>
  <c r="C94" i="1"/>
  <c r="C109" i="1"/>
  <c r="L26" i="1"/>
  <c r="L47" i="1"/>
  <c r="L74" i="1"/>
  <c r="L98" i="1"/>
  <c r="K23" i="1"/>
  <c r="K41" i="1"/>
  <c r="K52" i="1"/>
  <c r="K62" i="1"/>
  <c r="K71" i="1"/>
  <c r="K81" i="1"/>
  <c r="J22" i="1"/>
  <c r="J41" i="1"/>
  <c r="J52" i="1"/>
  <c r="J61" i="1"/>
  <c r="J72" i="1"/>
  <c r="J83" i="1"/>
  <c r="J91" i="1"/>
  <c r="J101" i="1"/>
  <c r="H22" i="1"/>
  <c r="H41" i="1"/>
  <c r="I41" i="1" s="1"/>
  <c r="H51" i="1"/>
  <c r="H61" i="1"/>
  <c r="H72" i="1"/>
  <c r="H82" i="1"/>
  <c r="H91" i="1"/>
  <c r="I91" i="1" s="1"/>
  <c r="H101" i="1"/>
  <c r="F22" i="1"/>
  <c r="G22" i="1" s="1"/>
  <c r="F51" i="1"/>
  <c r="G51" i="1" s="1"/>
  <c r="F61" i="1"/>
  <c r="G61" i="1" s="1"/>
  <c r="F71" i="1"/>
  <c r="G71" i="1" s="1"/>
  <c r="F82" i="1"/>
  <c r="F91" i="1"/>
  <c r="G91" i="1" s="1"/>
  <c r="F101" i="1"/>
  <c r="G101" i="1" s="1"/>
  <c r="D23" i="1"/>
  <c r="D42" i="1"/>
  <c r="D52" i="1"/>
  <c r="D63" i="1"/>
  <c r="D72" i="1"/>
  <c r="D83" i="1"/>
  <c r="D91" i="1"/>
  <c r="D101" i="1"/>
  <c r="H12" i="1"/>
  <c r="C21" i="1"/>
  <c r="C42" i="1"/>
  <c r="C95" i="1"/>
  <c r="C110" i="1"/>
  <c r="L27" i="1"/>
  <c r="L63" i="1"/>
  <c r="K14" i="1"/>
  <c r="K43" i="1"/>
  <c r="K63" i="1"/>
  <c r="K83" i="1"/>
  <c r="K102" i="1"/>
  <c r="J24" i="1"/>
  <c r="J43" i="1"/>
  <c r="J62" i="1"/>
  <c r="J84" i="1"/>
  <c r="J102" i="1"/>
  <c r="H24" i="1"/>
  <c r="H42" i="1"/>
  <c r="H53" i="1"/>
  <c r="H62" i="1"/>
  <c r="H83" i="1"/>
  <c r="H102" i="1"/>
  <c r="F23" i="1"/>
  <c r="G23" i="1" s="1"/>
  <c r="F53" i="1"/>
  <c r="G53" i="1" s="1"/>
  <c r="F72" i="1"/>
  <c r="G72" i="1" s="1"/>
  <c r="F93" i="1"/>
  <c r="D13" i="1"/>
  <c r="D24" i="1"/>
  <c r="D53" i="1"/>
  <c r="D74" i="1"/>
  <c r="D92" i="1"/>
  <c r="C22" i="1"/>
  <c r="C45" i="1"/>
  <c r="L51" i="1"/>
  <c r="L76" i="1"/>
  <c r="K15" i="1"/>
  <c r="K44" i="1"/>
  <c r="K64" i="1"/>
  <c r="K84" i="1"/>
  <c r="K103" i="1"/>
  <c r="J14" i="1"/>
  <c r="J54" i="1"/>
  <c r="J75" i="1"/>
  <c r="J93" i="1"/>
  <c r="H25" i="1"/>
  <c r="H43" i="1"/>
  <c r="H54" i="1"/>
  <c r="H74" i="1"/>
  <c r="H94" i="1"/>
  <c r="H104" i="1"/>
  <c r="F24" i="1"/>
  <c r="G24" i="1" s="1"/>
  <c r="F43" i="1"/>
  <c r="G43" i="1" s="1"/>
  <c r="F54" i="1"/>
  <c r="G54" i="1" s="1"/>
  <c r="F63" i="1"/>
  <c r="G63" i="1" s="1"/>
  <c r="D15" i="1"/>
  <c r="D66" i="1"/>
  <c r="D93" i="1"/>
  <c r="C46" i="1"/>
  <c r="C71" i="1"/>
  <c r="L15" i="1"/>
  <c r="L67" i="1"/>
  <c r="L103" i="1"/>
  <c r="C26" i="1"/>
  <c r="C77" i="1"/>
  <c r="L68" i="1"/>
  <c r="L107" i="1"/>
  <c r="K28" i="1"/>
  <c r="J19" i="1"/>
  <c r="J46" i="1"/>
  <c r="J65" i="1"/>
  <c r="J80" i="1"/>
  <c r="J96" i="1"/>
  <c r="H30" i="1"/>
  <c r="H75" i="1"/>
  <c r="H106" i="1"/>
  <c r="F26" i="1"/>
  <c r="G26" i="1" s="1"/>
  <c r="F48" i="1"/>
  <c r="G48" i="1" s="1"/>
  <c r="F67" i="1"/>
  <c r="G67" i="1" s="1"/>
  <c r="F99" i="1"/>
  <c r="D18" i="1"/>
  <c r="D67" i="1"/>
  <c r="D98" i="1"/>
  <c r="D19" i="1"/>
  <c r="D68" i="1"/>
  <c r="D99" i="1"/>
  <c r="K31" i="1"/>
  <c r="K75" i="1"/>
  <c r="J68" i="1"/>
  <c r="H17" i="1"/>
  <c r="H45" i="1"/>
  <c r="H96" i="1"/>
  <c r="F29" i="1"/>
  <c r="F104" i="1"/>
  <c r="D20" i="1"/>
  <c r="C103" i="1"/>
  <c r="L82" i="1"/>
  <c r="K16" i="1"/>
  <c r="K76" i="1"/>
  <c r="J28" i="1"/>
  <c r="H46" i="1"/>
  <c r="H80" i="1"/>
  <c r="H97" i="1"/>
  <c r="F30" i="1"/>
  <c r="F75" i="1"/>
  <c r="F106" i="1"/>
  <c r="G106" i="1" s="1"/>
  <c r="D106" i="1"/>
  <c r="C62" i="1"/>
  <c r="L91" i="1"/>
  <c r="K46" i="1"/>
  <c r="K78" i="1"/>
  <c r="K108" i="1"/>
  <c r="H48" i="1"/>
  <c r="H98" i="1"/>
  <c r="L18" i="1"/>
  <c r="L84" i="1"/>
  <c r="L92" i="1"/>
  <c r="K47" i="1"/>
  <c r="K79" i="1"/>
  <c r="J30" i="1"/>
  <c r="H49" i="1"/>
  <c r="F16" i="1"/>
  <c r="G16" i="1" s="1"/>
  <c r="F95" i="1"/>
  <c r="D29" i="1"/>
  <c r="D77" i="1"/>
  <c r="C53" i="1"/>
  <c r="K20" i="1"/>
  <c r="K67" i="1"/>
  <c r="J16" i="1"/>
  <c r="J77" i="1"/>
  <c r="H27" i="1"/>
  <c r="F18" i="1"/>
  <c r="G18" i="1" s="1"/>
  <c r="F64" i="1"/>
  <c r="G64" i="1" s="1"/>
  <c r="F96" i="1"/>
  <c r="D95" i="1"/>
  <c r="C14" i="1"/>
  <c r="L106" i="1"/>
  <c r="K27" i="1"/>
  <c r="K49" i="1"/>
  <c r="J45" i="1"/>
  <c r="J78" i="1"/>
  <c r="J109" i="1"/>
  <c r="H105" i="1"/>
  <c r="F66" i="1"/>
  <c r="G66" i="1" s="1"/>
  <c r="D96" i="1"/>
  <c r="C29" i="1"/>
  <c r="C78" i="1"/>
  <c r="C101" i="1"/>
  <c r="L42" i="1"/>
  <c r="L108" i="1"/>
  <c r="K30" i="1"/>
  <c r="K57" i="1"/>
  <c r="K104" i="1"/>
  <c r="J20" i="1"/>
  <c r="J48" i="1"/>
  <c r="J67" i="1"/>
  <c r="J97" i="1"/>
  <c r="H16" i="1"/>
  <c r="H77" i="1"/>
  <c r="H107" i="1"/>
  <c r="F27" i="1"/>
  <c r="G27" i="1" s="1"/>
  <c r="F55" i="1"/>
  <c r="G55" i="1" s="1"/>
  <c r="D47" i="1"/>
  <c r="C30" i="1"/>
  <c r="C102" i="1"/>
  <c r="L43" i="1"/>
  <c r="K105" i="1"/>
  <c r="J27" i="1"/>
  <c r="J49" i="1"/>
  <c r="J99" i="1"/>
  <c r="H78" i="1"/>
  <c r="H109" i="1"/>
  <c r="D48" i="1"/>
  <c r="C61" i="1"/>
  <c r="L55" i="1"/>
  <c r="K107" i="1"/>
  <c r="H18" i="1"/>
  <c r="H65" i="1"/>
  <c r="D27" i="1"/>
  <c r="D50" i="1"/>
  <c r="C47" i="1"/>
  <c r="L83" i="1"/>
  <c r="K17" i="1"/>
  <c r="K94" i="1"/>
  <c r="J29" i="1"/>
  <c r="J57" i="1"/>
  <c r="J105" i="1"/>
  <c r="H19" i="1"/>
  <c r="H66" i="1"/>
  <c r="F15" i="1"/>
  <c r="G15" i="1" s="1"/>
  <c r="F77" i="1"/>
  <c r="F107" i="1"/>
  <c r="G107" i="1" s="1"/>
  <c r="D28" i="1"/>
  <c r="D76" i="1"/>
  <c r="D107" i="1"/>
  <c r="C50" i="1"/>
  <c r="K19" i="1"/>
  <c r="K65" i="1"/>
  <c r="K95" i="1"/>
  <c r="J76" i="1"/>
  <c r="J107" i="1"/>
  <c r="H26" i="1"/>
  <c r="H67" i="1"/>
  <c r="H99" i="1"/>
  <c r="F45" i="1"/>
  <c r="G45" i="1" s="1"/>
  <c r="F78" i="1"/>
  <c r="F109" i="1"/>
  <c r="G109" i="1" s="1"/>
  <c r="D108" i="1"/>
  <c r="C13" i="1"/>
  <c r="L19" i="1"/>
  <c r="K48" i="1"/>
  <c r="K96" i="1"/>
  <c r="J108" i="1"/>
  <c r="F46" i="1"/>
  <c r="G46" i="1" s="1"/>
  <c r="F79" i="1"/>
  <c r="D31" i="1"/>
  <c r="D79" i="1"/>
  <c r="D109" i="1"/>
  <c r="C74" i="1"/>
  <c r="L20" i="1"/>
  <c r="K68" i="1"/>
  <c r="K97" i="1"/>
  <c r="J17" i="1"/>
  <c r="J94" i="1"/>
  <c r="H29" i="1"/>
  <c r="H57" i="1"/>
  <c r="F19" i="1"/>
  <c r="G19" i="1" s="1"/>
  <c r="F47" i="1"/>
  <c r="G47" i="1" s="1"/>
  <c r="F98" i="1"/>
  <c r="D16" i="1"/>
  <c r="D80" i="1"/>
  <c r="J12" i="1"/>
  <c r="L12" i="1"/>
  <c r="K12" i="1"/>
  <c r="J548" i="3"/>
  <c r="J540" i="3"/>
  <c r="J532" i="3"/>
  <c r="J525" i="3"/>
  <c r="J517" i="3"/>
  <c r="J509" i="3"/>
  <c r="J501" i="3"/>
  <c r="J493" i="3"/>
  <c r="J486" i="3"/>
  <c r="J478" i="3"/>
  <c r="J470" i="3"/>
  <c r="J462" i="3"/>
  <c r="J454" i="3"/>
  <c r="J446" i="3"/>
  <c r="J438" i="3"/>
  <c r="J430" i="3"/>
  <c r="J422" i="3"/>
  <c r="J414" i="3"/>
  <c r="J406" i="3"/>
  <c r="J398" i="3"/>
  <c r="J384" i="3"/>
  <c r="J370" i="3"/>
  <c r="J362" i="3"/>
  <c r="J355" i="3"/>
  <c r="J348" i="3"/>
  <c r="J342" i="3"/>
  <c r="J334" i="3"/>
  <c r="J326" i="3"/>
  <c r="J318" i="3"/>
  <c r="J310" i="3"/>
  <c r="J302" i="3"/>
  <c r="J294" i="3"/>
  <c r="J286" i="3"/>
  <c r="J278" i="3"/>
  <c r="J270" i="3"/>
  <c r="J262" i="3"/>
  <c r="J254" i="3"/>
  <c r="J246" i="3"/>
  <c r="J238" i="3"/>
  <c r="J230" i="3"/>
  <c r="J222" i="3"/>
  <c r="J214" i="3"/>
  <c r="J206" i="3"/>
  <c r="J198" i="3"/>
  <c r="J190" i="3"/>
  <c r="J182" i="3"/>
  <c r="J174" i="3"/>
  <c r="J166" i="3"/>
  <c r="J158" i="3"/>
  <c r="J150" i="3"/>
  <c r="J538" i="3"/>
  <c r="J523" i="3"/>
  <c r="J507" i="3"/>
  <c r="J491" i="3"/>
  <c r="J476" i="3"/>
  <c r="J460" i="3"/>
  <c r="J444" i="3"/>
  <c r="J428" i="3"/>
  <c r="J412" i="3"/>
  <c r="J396" i="3"/>
  <c r="J382" i="3"/>
  <c r="J368" i="3"/>
  <c r="J353" i="3"/>
  <c r="J340" i="3"/>
  <c r="J324" i="3"/>
  <c r="J308" i="3"/>
  <c r="J292" i="3"/>
  <c r="J276" i="3"/>
  <c r="J260" i="3"/>
  <c r="J244" i="3"/>
  <c r="J228" i="3"/>
  <c r="J212" i="3"/>
  <c r="J196" i="3"/>
  <c r="J180" i="3"/>
  <c r="J164" i="3"/>
  <c r="J545" i="3"/>
  <c r="J522" i="3"/>
  <c r="J506" i="3"/>
  <c r="J490" i="3"/>
  <c r="J475" i="3"/>
  <c r="J459" i="3"/>
  <c r="J443" i="3"/>
  <c r="J547" i="3"/>
  <c r="J539" i="3"/>
  <c r="J531" i="3"/>
  <c r="J524" i="3"/>
  <c r="J516" i="3"/>
  <c r="J508" i="3"/>
  <c r="J500" i="3"/>
  <c r="J492" i="3"/>
  <c r="J485" i="3"/>
  <c r="J477" i="3"/>
  <c r="J469" i="3"/>
  <c r="J461" i="3"/>
  <c r="J453" i="3"/>
  <c r="J445" i="3"/>
  <c r="J437" i="3"/>
  <c r="J429" i="3"/>
  <c r="J421" i="3"/>
  <c r="J413" i="3"/>
  <c r="J405" i="3"/>
  <c r="J397" i="3"/>
  <c r="J390" i="3"/>
  <c r="J383" i="3"/>
  <c r="J377" i="3"/>
  <c r="J369" i="3"/>
  <c r="J361" i="3"/>
  <c r="J354" i="3"/>
  <c r="J341" i="3"/>
  <c r="J333" i="3"/>
  <c r="J325" i="3"/>
  <c r="J317" i="3"/>
  <c r="J309" i="3"/>
  <c r="J301" i="3"/>
  <c r="J293" i="3"/>
  <c r="J285" i="3"/>
  <c r="J277" i="3"/>
  <c r="J269" i="3"/>
  <c r="J261" i="3"/>
  <c r="J253" i="3"/>
  <c r="J245" i="3"/>
  <c r="J237" i="3"/>
  <c r="J229" i="3"/>
  <c r="J221" i="3"/>
  <c r="J213" i="3"/>
  <c r="J205" i="3"/>
  <c r="J197" i="3"/>
  <c r="J189" i="3"/>
  <c r="J181" i="3"/>
  <c r="J173" i="3"/>
  <c r="J165" i="3"/>
  <c r="J157" i="3"/>
  <c r="J546" i="3"/>
  <c r="J515" i="3"/>
  <c r="J499" i="3"/>
  <c r="J484" i="3"/>
  <c r="J468" i="3"/>
  <c r="J452" i="3"/>
  <c r="J436" i="3"/>
  <c r="J420" i="3"/>
  <c r="J404" i="3"/>
  <c r="J389" i="3"/>
  <c r="J376" i="3"/>
  <c r="J360" i="3"/>
  <c r="J347" i="3"/>
  <c r="J332" i="3"/>
  <c r="J316" i="3"/>
  <c r="J300" i="3"/>
  <c r="J284" i="3"/>
  <c r="J268" i="3"/>
  <c r="J252" i="3"/>
  <c r="J236" i="3"/>
  <c r="J220" i="3"/>
  <c r="J204" i="3"/>
  <c r="J188" i="3"/>
  <c r="J172" i="3"/>
  <c r="J156" i="3"/>
  <c r="J537" i="3"/>
  <c r="J530" i="3"/>
  <c r="J514" i="3"/>
  <c r="J498" i="3"/>
  <c r="J483" i="3"/>
  <c r="J467" i="3"/>
  <c r="J451" i="3"/>
  <c r="J544" i="3"/>
  <c r="J536" i="3"/>
  <c r="J529" i="3"/>
  <c r="J521" i="3"/>
  <c r="J513" i="3"/>
  <c r="J505" i="3"/>
  <c r="J497" i="3"/>
  <c r="J482" i="3"/>
  <c r="J474" i="3"/>
  <c r="J466" i="3"/>
  <c r="J458" i="3"/>
  <c r="J450" i="3"/>
  <c r="J442" i="3"/>
  <c r="J434" i="3"/>
  <c r="J426" i="3"/>
  <c r="J418" i="3"/>
  <c r="J410" i="3"/>
  <c r="J402" i="3"/>
  <c r="J394" i="3"/>
  <c r="J387" i="3"/>
  <c r="J381" i="3"/>
  <c r="J374" i="3"/>
  <c r="J366" i="3"/>
  <c r="J358" i="3"/>
  <c r="J352" i="3"/>
  <c r="J345" i="3"/>
  <c r="J338" i="3"/>
  <c r="J330" i="3"/>
  <c r="J322" i="3"/>
  <c r="J314" i="3"/>
  <c r="J306" i="3"/>
  <c r="J298" i="3"/>
  <c r="J290" i="3"/>
  <c r="J282" i="3"/>
  <c r="J274" i="3"/>
  <c r="J266" i="3"/>
  <c r="J258" i="3"/>
  <c r="J250" i="3"/>
  <c r="J242" i="3"/>
  <c r="J234" i="3"/>
  <c r="J226" i="3"/>
  <c r="J218" i="3"/>
  <c r="J210" i="3"/>
  <c r="J202" i="3"/>
  <c r="J194" i="3"/>
  <c r="J186" i="3"/>
  <c r="J178" i="3"/>
  <c r="J170" i="3"/>
  <c r="J162" i="3"/>
  <c r="J154" i="3"/>
  <c r="J543" i="3"/>
  <c r="J535" i="3"/>
  <c r="J528" i="3"/>
  <c r="J520" i="3"/>
  <c r="J512" i="3"/>
  <c r="J504" i="3"/>
  <c r="J496" i="3"/>
  <c r="J489" i="3"/>
  <c r="J481" i="3"/>
  <c r="J473" i="3"/>
  <c r="J465" i="3"/>
  <c r="J457" i="3"/>
  <c r="J449" i="3"/>
  <c r="J441" i="3"/>
  <c r="J433" i="3"/>
  <c r="J425" i="3"/>
  <c r="J417" i="3"/>
  <c r="J409" i="3"/>
  <c r="J401" i="3"/>
  <c r="J393" i="3"/>
  <c r="J380" i="3"/>
  <c r="J373" i="3"/>
  <c r="J365" i="3"/>
  <c r="J357" i="3"/>
  <c r="J351" i="3"/>
  <c r="J344" i="3"/>
  <c r="J337" i="3"/>
  <c r="J329" i="3"/>
  <c r="J321" i="3"/>
  <c r="J313" i="3"/>
  <c r="J305" i="3"/>
  <c r="J297" i="3"/>
  <c r="J289" i="3"/>
  <c r="J542" i="3"/>
  <c r="J511" i="3"/>
  <c r="J480" i="3"/>
  <c r="J448" i="3"/>
  <c r="J424" i="3"/>
  <c r="J403" i="3"/>
  <c r="J385" i="3"/>
  <c r="J364" i="3"/>
  <c r="J346" i="3"/>
  <c r="J327" i="3"/>
  <c r="J304" i="3"/>
  <c r="J283" i="3"/>
  <c r="J267" i="3"/>
  <c r="J251" i="3"/>
  <c r="J235" i="3"/>
  <c r="J219" i="3"/>
  <c r="J203" i="3"/>
  <c r="J187" i="3"/>
  <c r="J171" i="3"/>
  <c r="J155" i="3"/>
  <c r="J379" i="3"/>
  <c r="J343" i="3"/>
  <c r="J299" i="3"/>
  <c r="J264" i="3"/>
  <c r="J232" i="3"/>
  <c r="J200" i="3"/>
  <c r="J168" i="3"/>
  <c r="J391" i="3"/>
  <c r="J312" i="3"/>
  <c r="J257" i="3"/>
  <c r="J209" i="3"/>
  <c r="J161" i="3"/>
  <c r="J456" i="3"/>
  <c r="J388" i="3"/>
  <c r="J331" i="3"/>
  <c r="J272" i="3"/>
  <c r="J224" i="3"/>
  <c r="J176" i="3"/>
  <c r="J487" i="3"/>
  <c r="J407" i="3"/>
  <c r="J349" i="3"/>
  <c r="J287" i="3"/>
  <c r="J239" i="3"/>
  <c r="J191" i="3"/>
  <c r="J541" i="3"/>
  <c r="J510" i="3"/>
  <c r="J479" i="3"/>
  <c r="J447" i="3"/>
  <c r="J423" i="3"/>
  <c r="J400" i="3"/>
  <c r="J363" i="3"/>
  <c r="J323" i="3"/>
  <c r="J303" i="3"/>
  <c r="J281" i="3"/>
  <c r="J265" i="3"/>
  <c r="J249" i="3"/>
  <c r="J233" i="3"/>
  <c r="J217" i="3"/>
  <c r="J201" i="3"/>
  <c r="J185" i="3"/>
  <c r="J169" i="3"/>
  <c r="J153" i="3"/>
  <c r="J534" i="3"/>
  <c r="J503" i="3"/>
  <c r="J472" i="3"/>
  <c r="J440" i="3"/>
  <c r="J419" i="3"/>
  <c r="J399" i="3"/>
  <c r="J359" i="3"/>
  <c r="J320" i="3"/>
  <c r="J280" i="3"/>
  <c r="J248" i="3"/>
  <c r="J216" i="3"/>
  <c r="J184" i="3"/>
  <c r="J152" i="3"/>
  <c r="J291" i="3"/>
  <c r="J241" i="3"/>
  <c r="J193" i="3"/>
  <c r="J519" i="3"/>
  <c r="J431" i="3"/>
  <c r="J371" i="3"/>
  <c r="J311" i="3"/>
  <c r="J256" i="3"/>
  <c r="J208" i="3"/>
  <c r="J160" i="3"/>
  <c r="J455" i="3"/>
  <c r="J367" i="3"/>
  <c r="J307" i="3"/>
  <c r="J255" i="3"/>
  <c r="J207" i="3"/>
  <c r="J159" i="3"/>
  <c r="J533" i="3"/>
  <c r="J502" i="3"/>
  <c r="J471" i="3"/>
  <c r="J439" i="3"/>
  <c r="J416" i="3"/>
  <c r="J395" i="3"/>
  <c r="J378" i="3"/>
  <c r="J339" i="3"/>
  <c r="J319" i="3"/>
  <c r="J296" i="3"/>
  <c r="J279" i="3"/>
  <c r="J263" i="3"/>
  <c r="J247" i="3"/>
  <c r="J231" i="3"/>
  <c r="J215" i="3"/>
  <c r="J199" i="3"/>
  <c r="J183" i="3"/>
  <c r="J167" i="3"/>
  <c r="J151" i="3"/>
  <c r="J527" i="3"/>
  <c r="J495" i="3"/>
  <c r="J464" i="3"/>
  <c r="J435" i="3"/>
  <c r="J415" i="3"/>
  <c r="J392" i="3"/>
  <c r="J375" i="3"/>
  <c r="J356" i="3"/>
  <c r="J336" i="3"/>
  <c r="J315" i="3"/>
  <c r="J295" i="3"/>
  <c r="J275" i="3"/>
  <c r="J259" i="3"/>
  <c r="J243" i="3"/>
  <c r="J227" i="3"/>
  <c r="J211" i="3"/>
  <c r="J195" i="3"/>
  <c r="J179" i="3"/>
  <c r="J163" i="3"/>
  <c r="J526" i="3"/>
  <c r="J494" i="3"/>
  <c r="J463" i="3"/>
  <c r="J432" i="3"/>
  <c r="J411" i="3"/>
  <c r="J372" i="3"/>
  <c r="J335" i="3"/>
  <c r="J273" i="3"/>
  <c r="J225" i="3"/>
  <c r="J177" i="3"/>
  <c r="J488" i="3"/>
  <c r="J408" i="3"/>
  <c r="J350" i="3"/>
  <c r="J288" i="3"/>
  <c r="J240" i="3"/>
  <c r="J192" i="3"/>
  <c r="J518" i="3"/>
  <c r="J427" i="3"/>
  <c r="J386" i="3"/>
  <c r="J328" i="3"/>
  <c r="J271" i="3"/>
  <c r="J223" i="3"/>
  <c r="J175" i="3"/>
  <c r="J1575" i="3"/>
  <c r="J1567" i="3"/>
  <c r="J1559" i="3"/>
  <c r="J1551" i="3"/>
  <c r="J1543" i="3"/>
  <c r="J1536" i="3"/>
  <c r="J1529" i="3"/>
  <c r="J1521" i="3"/>
  <c r="J1513" i="3"/>
  <c r="J1505" i="3"/>
  <c r="J1497" i="3"/>
  <c r="J1489" i="3"/>
  <c r="J1481" i="3"/>
  <c r="J1473" i="3"/>
  <c r="J1465" i="3"/>
  <c r="J1457" i="3"/>
  <c r="J1450" i="3"/>
  <c r="J1442" i="3"/>
  <c r="J1434" i="3"/>
  <c r="J1426" i="3"/>
  <c r="J1412" i="3"/>
  <c r="J1404" i="3"/>
  <c r="J1396" i="3"/>
  <c r="J1389" i="3"/>
  <c r="J1381" i="3"/>
  <c r="J1373" i="3"/>
  <c r="J1365" i="3"/>
  <c r="J1357" i="3"/>
  <c r="J1349" i="3"/>
  <c r="J1342" i="3"/>
  <c r="J1334" i="3"/>
  <c r="J1326" i="3"/>
  <c r="J1318" i="3"/>
  <c r="J1310" i="3"/>
  <c r="J1302" i="3"/>
  <c r="J1294" i="3"/>
  <c r="J1286" i="3"/>
  <c r="J1278" i="3"/>
  <c r="J1271" i="3"/>
  <c r="J1264" i="3"/>
  <c r="J1256" i="3"/>
  <c r="J1248" i="3"/>
  <c r="J1240" i="3"/>
  <c r="J1232" i="3"/>
  <c r="J1224" i="3"/>
  <c r="J1216" i="3"/>
  <c r="J1208" i="3"/>
  <c r="J1200" i="3"/>
  <c r="J1193" i="3"/>
  <c r="J1185" i="3"/>
  <c r="J1177" i="3"/>
  <c r="J1169" i="3"/>
  <c r="J1161" i="3"/>
  <c r="J1153" i="3"/>
  <c r="J1145" i="3"/>
  <c r="J1138" i="3"/>
  <c r="J1130" i="3"/>
  <c r="J1122" i="3"/>
  <c r="J1114" i="3"/>
  <c r="J1106" i="3"/>
  <c r="J1098" i="3"/>
  <c r="J1089" i="3"/>
  <c r="J1081" i="3"/>
  <c r="J1073" i="3"/>
  <c r="J1065" i="3"/>
  <c r="J1057" i="3"/>
  <c r="J1049" i="3"/>
  <c r="J1041" i="3"/>
  <c r="J1033" i="3"/>
  <c r="J1025" i="3"/>
  <c r="J1017" i="3"/>
  <c r="J1009" i="3"/>
  <c r="J1001" i="3"/>
  <c r="J993" i="3"/>
  <c r="J985" i="3"/>
  <c r="J977" i="3"/>
  <c r="J969" i="3"/>
  <c r="J961" i="3"/>
  <c r="J953" i="3"/>
  <c r="J945" i="3"/>
  <c r="J937" i="3"/>
  <c r="J929" i="3"/>
  <c r="J919" i="3"/>
  <c r="J910" i="3"/>
  <c r="J1574" i="3"/>
  <c r="J1566" i="3"/>
  <c r="J1558" i="3"/>
  <c r="J1550" i="3"/>
  <c r="J1542" i="3"/>
  <c r="J1535" i="3"/>
  <c r="J1528" i="3"/>
  <c r="J1520" i="3"/>
  <c r="J1512" i="3"/>
  <c r="J1504" i="3"/>
  <c r="J1496" i="3"/>
  <c r="J1488" i="3"/>
  <c r="J1480" i="3"/>
  <c r="J1472" i="3"/>
  <c r="J1464" i="3"/>
  <c r="J1456" i="3"/>
  <c r="J1449" i="3"/>
  <c r="J1441" i="3"/>
  <c r="J1433" i="3"/>
  <c r="J1425" i="3"/>
  <c r="J1418" i="3"/>
  <c r="J1411" i="3"/>
  <c r="J1403" i="3"/>
  <c r="J1395" i="3"/>
  <c r="J1388" i="3"/>
  <c r="J1380" i="3"/>
  <c r="J1372" i="3"/>
  <c r="J1364" i="3"/>
  <c r="J1356" i="3"/>
  <c r="J1348" i="3"/>
  <c r="J1341" i="3"/>
  <c r="J1333" i="3"/>
  <c r="J1325" i="3"/>
  <c r="J1317" i="3"/>
  <c r="J1309" i="3"/>
  <c r="J1301" i="3"/>
  <c r="J1293" i="3"/>
  <c r="J1285" i="3"/>
  <c r="J1277" i="3"/>
  <c r="J1270" i="3"/>
  <c r="J1263" i="3"/>
  <c r="J1255" i="3"/>
  <c r="J1247" i="3"/>
  <c r="J1239" i="3"/>
  <c r="J1231" i="3"/>
  <c r="J1223" i="3"/>
  <c r="J1215" i="3"/>
  <c r="J1207" i="3"/>
  <c r="J1192" i="3"/>
  <c r="J1184" i="3"/>
  <c r="J1176" i="3"/>
  <c r="J1168" i="3"/>
  <c r="J1160" i="3"/>
  <c r="J1152" i="3"/>
  <c r="J1137" i="3"/>
  <c r="J1129" i="3"/>
  <c r="J1121" i="3"/>
  <c r="J1113" i="3"/>
  <c r="J1105" i="3"/>
  <c r="J1097" i="3"/>
  <c r="J1088" i="3"/>
  <c r="J1080" i="3"/>
  <c r="J1072" i="3"/>
  <c r="J1064" i="3"/>
  <c r="J1056" i="3"/>
  <c r="J1048" i="3"/>
  <c r="J1040" i="3"/>
  <c r="J1032" i="3"/>
  <c r="J1024" i="3"/>
  <c r="J1016" i="3"/>
  <c r="J1008" i="3"/>
  <c r="J1000" i="3"/>
  <c r="J992" i="3"/>
  <c r="J984" i="3"/>
  <c r="J976" i="3"/>
  <c r="J968" i="3"/>
  <c r="J960" i="3"/>
  <c r="J952" i="3"/>
  <c r="J944" i="3"/>
  <c r="J936" i="3"/>
  <c r="J928" i="3"/>
  <c r="J918" i="3"/>
  <c r="J909" i="3"/>
  <c r="J1572" i="3"/>
  <c r="J1564" i="3"/>
  <c r="J1556" i="3"/>
  <c r="J1548" i="3"/>
  <c r="J1540" i="3"/>
  <c r="J1533" i="3"/>
  <c r="J1526" i="3"/>
  <c r="J1518" i="3"/>
  <c r="J1510" i="3"/>
  <c r="J1502" i="3"/>
  <c r="J1494" i="3"/>
  <c r="J1486" i="3"/>
  <c r="J1478" i="3"/>
  <c r="J1470" i="3"/>
  <c r="J1462" i="3"/>
  <c r="J1454" i="3"/>
  <c r="J1447" i="3"/>
  <c r="J1439" i="3"/>
  <c r="J1431" i="3"/>
  <c r="J1423" i="3"/>
  <c r="J1416" i="3"/>
  <c r="J1409" i="3"/>
  <c r="J1401" i="3"/>
  <c r="J1393" i="3"/>
  <c r="J1386" i="3"/>
  <c r="J1378" i="3"/>
  <c r="J1370" i="3"/>
  <c r="J1362" i="3"/>
  <c r="J1354" i="3"/>
  <c r="J1346" i="3"/>
  <c r="J1339" i="3"/>
  <c r="J1331" i="3"/>
  <c r="J1323" i="3"/>
  <c r="J1315" i="3"/>
  <c r="J1307" i="3"/>
  <c r="J1299" i="3"/>
  <c r="J1291" i="3"/>
  <c r="J1283" i="3"/>
  <c r="J1275" i="3"/>
  <c r="J1268" i="3"/>
  <c r="J1261" i="3"/>
  <c r="J1253" i="3"/>
  <c r="J1245" i="3"/>
  <c r="J1237" i="3"/>
  <c r="J1229" i="3"/>
  <c r="J1221" i="3"/>
  <c r="J1213" i="3"/>
  <c r="J1205" i="3"/>
  <c r="J1198" i="3"/>
  <c r="J1190" i="3"/>
  <c r="J1182" i="3"/>
  <c r="J1174" i="3"/>
  <c r="J1166" i="3"/>
  <c r="J1158" i="3"/>
  <c r="J1150" i="3"/>
  <c r="J1143" i="3"/>
  <c r="J1135" i="3"/>
  <c r="J1127" i="3"/>
  <c r="J1119" i="3"/>
  <c r="J1111" i="3"/>
  <c r="J1103" i="3"/>
  <c r="J1095" i="3"/>
  <c r="J1086" i="3"/>
  <c r="J1078" i="3"/>
  <c r="J1070" i="3"/>
  <c r="J1062" i="3"/>
  <c r="J1054" i="3"/>
  <c r="J1046" i="3"/>
  <c r="J1038" i="3"/>
  <c r="J1030" i="3"/>
  <c r="J1022" i="3"/>
  <c r="J1014" i="3"/>
  <c r="J1006" i="3"/>
  <c r="J998" i="3"/>
  <c r="J990" i="3"/>
  <c r="J982" i="3"/>
  <c r="J974" i="3"/>
  <c r="J966" i="3"/>
  <c r="J958" i="3"/>
  <c r="J950" i="3"/>
  <c r="J942" i="3"/>
  <c r="J934" i="3"/>
  <c r="J924" i="3"/>
  <c r="J915" i="3"/>
  <c r="J907" i="3"/>
  <c r="J1573" i="3"/>
  <c r="J1561" i="3"/>
  <c r="J1547" i="3"/>
  <c r="J1537" i="3"/>
  <c r="J1524" i="3"/>
  <c r="J1511" i="3"/>
  <c r="J1499" i="3"/>
  <c r="J1485" i="3"/>
  <c r="J1474" i="3"/>
  <c r="J1460" i="3"/>
  <c r="J1448" i="3"/>
  <c r="J1436" i="3"/>
  <c r="J1422" i="3"/>
  <c r="J1413" i="3"/>
  <c r="J1399" i="3"/>
  <c r="J1387" i="3"/>
  <c r="J1375" i="3"/>
  <c r="J1361" i="3"/>
  <c r="J1350" i="3"/>
  <c r="J1337" i="3"/>
  <c r="J1324" i="3"/>
  <c r="J1312" i="3"/>
  <c r="J1298" i="3"/>
  <c r="J1287" i="3"/>
  <c r="J1273" i="3"/>
  <c r="J1262" i="3"/>
  <c r="J1250" i="3"/>
  <c r="J1236" i="3"/>
  <c r="J1225" i="3"/>
  <c r="J1211" i="3"/>
  <c r="J1199" i="3"/>
  <c r="J1187" i="3"/>
  <c r="J1173" i="3"/>
  <c r="J1162" i="3"/>
  <c r="J1148" i="3"/>
  <c r="J1136" i="3"/>
  <c r="J1124" i="3"/>
  <c r="J1110" i="3"/>
  <c r="J1099" i="3"/>
  <c r="J1084" i="3"/>
  <c r="J1071" i="3"/>
  <c r="J1059" i="3"/>
  <c r="J1045" i="3"/>
  <c r="J1034" i="3"/>
  <c r="J1020" i="3"/>
  <c r="J1007" i="3"/>
  <c r="J995" i="3"/>
  <c r="J981" i="3"/>
  <c r="J970" i="3"/>
  <c r="J956" i="3"/>
  <c r="J943" i="3"/>
  <c r="J931" i="3"/>
  <c r="J914" i="3"/>
  <c r="J903" i="3"/>
  <c r="J895" i="3"/>
  <c r="J887" i="3"/>
  <c r="J880" i="3"/>
  <c r="J872" i="3"/>
  <c r="J865" i="3"/>
  <c r="J857" i="3"/>
  <c r="J849" i="3"/>
  <c r="J841" i="3"/>
  <c r="J833" i="3"/>
  <c r="J824" i="3"/>
  <c r="J816" i="3"/>
  <c r="J808" i="3"/>
  <c r="J800" i="3"/>
  <c r="J792" i="3"/>
  <c r="J784" i="3"/>
  <c r="J775" i="3"/>
  <c r="J767" i="3"/>
  <c r="J759" i="3"/>
  <c r="J751" i="3"/>
  <c r="J743" i="3"/>
  <c r="J735" i="3"/>
  <c r="J727" i="3"/>
  <c r="J719" i="3"/>
  <c r="J1571" i="3"/>
  <c r="J1560" i="3"/>
  <c r="J1546" i="3"/>
  <c r="J1534" i="3"/>
  <c r="J1523" i="3"/>
  <c r="J1509" i="3"/>
  <c r="J1498" i="3"/>
  <c r="J1484" i="3"/>
  <c r="J1471" i="3"/>
  <c r="J1459" i="3"/>
  <c r="J1446" i="3"/>
  <c r="J1435" i="3"/>
  <c r="J1421" i="3"/>
  <c r="J1410" i="3"/>
  <c r="J1398" i="3"/>
  <c r="J1385" i="3"/>
  <c r="J1374" i="3"/>
  <c r="J1360" i="3"/>
  <c r="J1347" i="3"/>
  <c r="J1336" i="3"/>
  <c r="J1322" i="3"/>
  <c r="J1311" i="3"/>
  <c r="J1297" i="3"/>
  <c r="J1284" i="3"/>
  <c r="J1260" i="3"/>
  <c r="J1249" i="3"/>
  <c r="J1235" i="3"/>
  <c r="J1222" i="3"/>
  <c r="J1210" i="3"/>
  <c r="J1197" i="3"/>
  <c r="J1186" i="3"/>
  <c r="J1172" i="3"/>
  <c r="J1159" i="3"/>
  <c r="J1147" i="3"/>
  <c r="J1134" i="3"/>
  <c r="J1123" i="3"/>
  <c r="J1109" i="3"/>
  <c r="J1096" i="3"/>
  <c r="J1083" i="3"/>
  <c r="J1069" i="3"/>
  <c r="J1058" i="3"/>
  <c r="J1044" i="3"/>
  <c r="J1031" i="3"/>
  <c r="J1019" i="3"/>
  <c r="J1005" i="3"/>
  <c r="J994" i="3"/>
  <c r="J980" i="3"/>
  <c r="J967" i="3"/>
  <c r="J955" i="3"/>
  <c r="J941" i="3"/>
  <c r="J930" i="3"/>
  <c r="J913" i="3"/>
  <c r="J902" i="3"/>
  <c r="J894" i="3"/>
  <c r="J886" i="3"/>
  <c r="J879" i="3"/>
  <c r="J871" i="3"/>
  <c r="J864" i="3"/>
  <c r="J856" i="3"/>
  <c r="J848" i="3"/>
  <c r="J840" i="3"/>
  <c r="J832" i="3"/>
  <c r="J823" i="3"/>
  <c r="J815" i="3"/>
  <c r="J807" i="3"/>
  <c r="J799" i="3"/>
  <c r="J791" i="3"/>
  <c r="J783" i="3"/>
  <c r="J774" i="3"/>
  <c r="J766" i="3"/>
  <c r="J757" i="3"/>
  <c r="J750" i="3"/>
  <c r="J742" i="3"/>
  <c r="J734" i="3"/>
  <c r="J726" i="3"/>
  <c r="J718" i="3"/>
  <c r="J710" i="3"/>
  <c r="J702" i="3"/>
  <c r="J694" i="3"/>
  <c r="J686" i="3"/>
  <c r="J678" i="3"/>
  <c r="J670" i="3"/>
  <c r="J662" i="3"/>
  <c r="J654" i="3"/>
  <c r="J1570" i="3"/>
  <c r="J1554" i="3"/>
  <c r="J1538" i="3"/>
  <c r="J1522" i="3"/>
  <c r="J1506" i="3"/>
  <c r="J1490" i="3"/>
  <c r="J1469" i="3"/>
  <c r="J1453" i="3"/>
  <c r="J1438" i="3"/>
  <c r="J1420" i="3"/>
  <c r="J1406" i="3"/>
  <c r="J1391" i="3"/>
  <c r="J1371" i="3"/>
  <c r="J1355" i="3"/>
  <c r="J1340" i="3"/>
  <c r="J1321" i="3"/>
  <c r="J1305" i="3"/>
  <c r="J1289" i="3"/>
  <c r="J1272" i="3"/>
  <c r="J1257" i="3"/>
  <c r="J1241" i="3"/>
  <c r="J1220" i="3"/>
  <c r="J1204" i="3"/>
  <c r="J1189" i="3"/>
  <c r="J1171" i="3"/>
  <c r="J1155" i="3"/>
  <c r="J1140" i="3"/>
  <c r="J1120" i="3"/>
  <c r="J1104" i="3"/>
  <c r="J1087" i="3"/>
  <c r="J1068" i="3"/>
  <c r="J1052" i="3"/>
  <c r="J1036" i="3"/>
  <c r="J1018" i="3"/>
  <c r="J1002" i="3"/>
  <c r="J986" i="3"/>
  <c r="J965" i="3"/>
  <c r="J949" i="3"/>
  <c r="J933" i="3"/>
  <c r="J912" i="3"/>
  <c r="J899" i="3"/>
  <c r="J889" i="3"/>
  <c r="J878" i="3"/>
  <c r="J859" i="3"/>
  <c r="J847" i="3"/>
  <c r="J837" i="3"/>
  <c r="J826" i="3"/>
  <c r="J814" i="3"/>
  <c r="J804" i="3"/>
  <c r="J794" i="3"/>
  <c r="J782" i="3"/>
  <c r="J771" i="3"/>
  <c r="J761" i="3"/>
  <c r="J749" i="3"/>
  <c r="J739" i="3"/>
  <c r="J729" i="3"/>
  <c r="J717" i="3"/>
  <c r="J708" i="3"/>
  <c r="J699" i="3"/>
  <c r="J690" i="3"/>
  <c r="J681" i="3"/>
  <c r="J672" i="3"/>
  <c r="J663" i="3"/>
  <c r="J653" i="3"/>
  <c r="J645" i="3"/>
  <c r="J637" i="3"/>
  <c r="J629" i="3"/>
  <c r="J621" i="3"/>
  <c r="J613" i="3"/>
  <c r="J605" i="3"/>
  <c r="J597" i="3"/>
  <c r="J589" i="3"/>
  <c r="J581" i="3"/>
  <c r="J1569" i="3"/>
  <c r="J1553" i="3"/>
  <c r="J1519" i="3"/>
  <c r="J1503" i="3"/>
  <c r="J1487" i="3"/>
  <c r="J1468" i="3"/>
  <c r="J1452" i="3"/>
  <c r="J1437" i="3"/>
  <c r="J1419" i="3"/>
  <c r="J1405" i="3"/>
  <c r="J1390" i="3"/>
  <c r="J1369" i="3"/>
  <c r="J1353" i="3"/>
  <c r="J1338" i="3"/>
  <c r="J1320" i="3"/>
  <c r="J1304" i="3"/>
  <c r="J1288" i="3"/>
  <c r="J1269" i="3"/>
  <c r="J1254" i="3"/>
  <c r="J1238" i="3"/>
  <c r="J1219" i="3"/>
  <c r="J1203" i="3"/>
  <c r="J1188" i="3"/>
  <c r="J1170" i="3"/>
  <c r="J1154" i="3"/>
  <c r="J1565" i="3"/>
  <c r="J1549" i="3"/>
  <c r="J1531" i="3"/>
  <c r="J1516" i="3"/>
  <c r="J1500" i="3"/>
  <c r="J1482" i="3"/>
  <c r="J1466" i="3"/>
  <c r="J1430" i="3"/>
  <c r="J1400" i="3"/>
  <c r="J1383" i="3"/>
  <c r="J1367" i="3"/>
  <c r="J1351" i="3"/>
  <c r="J1332" i="3"/>
  <c r="J1316" i="3"/>
  <c r="J1300" i="3"/>
  <c r="J1281" i="3"/>
  <c r="J1266" i="3"/>
  <c r="J1251" i="3"/>
  <c r="J1233" i="3"/>
  <c r="J1217" i="3"/>
  <c r="J1201" i="3"/>
  <c r="J1181" i="3"/>
  <c r="J1165" i="3"/>
  <c r="J1149" i="3"/>
  <c r="J1132" i="3"/>
  <c r="J1116" i="3"/>
  <c r="J1100" i="3"/>
  <c r="J1079" i="3"/>
  <c r="J1063" i="3"/>
  <c r="J1047" i="3"/>
  <c r="J1028" i="3"/>
  <c r="J1012" i="3"/>
  <c r="J996" i="3"/>
  <c r="J978" i="3"/>
  <c r="J962" i="3"/>
  <c r="J946" i="3"/>
  <c r="J923" i="3"/>
  <c r="J906" i="3"/>
  <c r="J896" i="3"/>
  <c r="J884" i="3"/>
  <c r="J875" i="3"/>
  <c r="J866" i="3"/>
  <c r="J854" i="3"/>
  <c r="J844" i="3"/>
  <c r="J834" i="3"/>
  <c r="J821" i="3"/>
  <c r="J811" i="3"/>
  <c r="J801" i="3"/>
  <c r="J789" i="3"/>
  <c r="J779" i="3"/>
  <c r="J768" i="3"/>
  <c r="J755" i="3"/>
  <c r="J746" i="3"/>
  <c r="J736" i="3"/>
  <c r="J724" i="3"/>
  <c r="J714" i="3"/>
  <c r="J705" i="3"/>
  <c r="J696" i="3"/>
  <c r="J687" i="3"/>
  <c r="J677" i="3"/>
  <c r="J668" i="3"/>
  <c r="J659" i="3"/>
  <c r="J650" i="3"/>
  <c r="J642" i="3"/>
  <c r="J634" i="3"/>
  <c r="J626" i="3"/>
  <c r="J618" i="3"/>
  <c r="J610" i="3"/>
  <c r="J602" i="3"/>
  <c r="J594" i="3"/>
  <c r="J586" i="3"/>
  <c r="J578" i="3"/>
  <c r="J570" i="3"/>
  <c r="J562" i="3"/>
  <c r="J554" i="3"/>
  <c r="J56" i="3"/>
  <c r="J48" i="3"/>
  <c r="J40" i="3"/>
  <c r="J32" i="3"/>
  <c r="J24" i="3"/>
  <c r="J16" i="3"/>
  <c r="J8" i="3"/>
  <c r="J1563" i="3"/>
  <c r="J1568" i="3"/>
  <c r="J1539" i="3"/>
  <c r="J1514" i="3"/>
  <c r="J1483" i="3"/>
  <c r="J1458" i="3"/>
  <c r="J1429" i="3"/>
  <c r="J1407" i="3"/>
  <c r="J1379" i="3"/>
  <c r="J1352" i="3"/>
  <c r="J1328" i="3"/>
  <c r="J1296" i="3"/>
  <c r="J1274" i="3"/>
  <c r="J1244" i="3"/>
  <c r="J1218" i="3"/>
  <c r="J1194" i="3"/>
  <c r="J1164" i="3"/>
  <c r="J1141" i="3"/>
  <c r="J1117" i="3"/>
  <c r="J1092" i="3"/>
  <c r="J1074" i="3"/>
  <c r="J1050" i="3"/>
  <c r="J1026" i="3"/>
  <c r="J1003" i="3"/>
  <c r="J979" i="3"/>
  <c r="J957" i="3"/>
  <c r="J935" i="3"/>
  <c r="J908" i="3"/>
  <c r="J892" i="3"/>
  <c r="J867" i="3"/>
  <c r="J852" i="3"/>
  <c r="J838" i="3"/>
  <c r="J822" i="3"/>
  <c r="J809" i="3"/>
  <c r="J795" i="3"/>
  <c r="J780" i="3"/>
  <c r="J764" i="3"/>
  <c r="J737" i="3"/>
  <c r="J722" i="3"/>
  <c r="J709" i="3"/>
  <c r="J697" i="3"/>
  <c r="J684" i="3"/>
  <c r="J673" i="3"/>
  <c r="J660" i="3"/>
  <c r="J648" i="3"/>
  <c r="J638" i="3"/>
  <c r="J627" i="3"/>
  <c r="J616" i="3"/>
  <c r="J606" i="3"/>
  <c r="J595" i="3"/>
  <c r="J584" i="3"/>
  <c r="J574" i="3"/>
  <c r="J565" i="3"/>
  <c r="J556" i="3"/>
  <c r="J57" i="3"/>
  <c r="J47" i="3"/>
  <c r="J38" i="3"/>
  <c r="J29" i="3"/>
  <c r="J20" i="3"/>
  <c r="J11" i="3"/>
  <c r="J60" i="3"/>
  <c r="J1557" i="3"/>
  <c r="J1477" i="3"/>
  <c r="J1427" i="3"/>
  <c r="J1376" i="3"/>
  <c r="J1292" i="3"/>
  <c r="J1212" i="3"/>
  <c r="J1157" i="3"/>
  <c r="J1112" i="3"/>
  <c r="J1066" i="3"/>
  <c r="J1021" i="3"/>
  <c r="J973" i="3"/>
  <c r="J925" i="3"/>
  <c r="J890" i="3"/>
  <c r="J862" i="3"/>
  <c r="J835" i="3"/>
  <c r="J805" i="3"/>
  <c r="J776" i="3"/>
  <c r="J747" i="3"/>
  <c r="J720" i="3"/>
  <c r="J693" i="3"/>
  <c r="J669" i="3"/>
  <c r="J646" i="3"/>
  <c r="J624" i="3"/>
  <c r="J603" i="3"/>
  <c r="J582" i="3"/>
  <c r="J563" i="3"/>
  <c r="J54" i="3"/>
  <c r="J36" i="3"/>
  <c r="J18" i="3"/>
  <c r="J787" i="3"/>
  <c r="J744" i="3"/>
  <c r="J703" i="3"/>
  <c r="J655" i="3"/>
  <c r="J622" i="3"/>
  <c r="J600" i="3"/>
  <c r="J569" i="3"/>
  <c r="J43" i="3"/>
  <c r="J15" i="3"/>
  <c r="J1525" i="3"/>
  <c r="J1443" i="3"/>
  <c r="J1363" i="3"/>
  <c r="J1280" i="3"/>
  <c r="J1202" i="3"/>
  <c r="J1126" i="3"/>
  <c r="J1055" i="3"/>
  <c r="J988" i="3"/>
  <c r="J920" i="3"/>
  <c r="J870" i="3"/>
  <c r="J828" i="3"/>
  <c r="J786" i="3"/>
  <c r="J741" i="3"/>
  <c r="J701" i="3"/>
  <c r="J665" i="3"/>
  <c r="J631" i="3"/>
  <c r="J599" i="3"/>
  <c r="J568" i="3"/>
  <c r="J51" i="3"/>
  <c r="J23" i="3"/>
  <c r="J1544" i="3"/>
  <c r="J1463" i="3"/>
  <c r="J1384" i="3"/>
  <c r="J1306" i="3"/>
  <c r="J1227" i="3"/>
  <c r="J1144" i="3"/>
  <c r="J1076" i="3"/>
  <c r="J1010" i="3"/>
  <c r="J939" i="3"/>
  <c r="J882" i="3"/>
  <c r="J842" i="3"/>
  <c r="J797" i="3"/>
  <c r="J753" i="3"/>
  <c r="J712" i="3"/>
  <c r="J675" i="3"/>
  <c r="J640" i="3"/>
  <c r="J608" i="3"/>
  <c r="J567" i="3"/>
  <c r="J50" i="3"/>
  <c r="J31" i="3"/>
  <c r="J1491" i="3"/>
  <c r="J1382" i="3"/>
  <c r="J1303" i="3"/>
  <c r="J1246" i="3"/>
  <c r="J1195" i="3"/>
  <c r="J1142" i="3"/>
  <c r="J1093" i="3"/>
  <c r="J1051" i="3"/>
  <c r="J1004" i="3"/>
  <c r="J959" i="3"/>
  <c r="J911" i="3"/>
  <c r="J881" i="3"/>
  <c r="J853" i="3"/>
  <c r="J825" i="3"/>
  <c r="J781" i="3"/>
  <c r="J752" i="3"/>
  <c r="J723" i="3"/>
  <c r="J698" i="3"/>
  <c r="J674" i="3"/>
  <c r="J661" i="3"/>
  <c r="J639" i="3"/>
  <c r="J617" i="3"/>
  <c r="J596" i="3"/>
  <c r="J575" i="3"/>
  <c r="J58" i="3"/>
  <c r="J39" i="3"/>
  <c r="J12" i="3"/>
  <c r="J1562" i="3"/>
  <c r="J1532" i="3"/>
  <c r="J1508" i="3"/>
  <c r="J1479" i="3"/>
  <c r="J1455" i="3"/>
  <c r="J1428" i="3"/>
  <c r="J1402" i="3"/>
  <c r="J1377" i="3"/>
  <c r="J1345" i="3"/>
  <c r="J1327" i="3"/>
  <c r="J1295" i="3"/>
  <c r="J1267" i="3"/>
  <c r="J1243" i="3"/>
  <c r="J1214" i="3"/>
  <c r="J1191" i="3"/>
  <c r="J1163" i="3"/>
  <c r="J1139" i="3"/>
  <c r="J1115" i="3"/>
  <c r="J1091" i="3"/>
  <c r="J1067" i="3"/>
  <c r="J1043" i="3"/>
  <c r="J1023" i="3"/>
  <c r="J999" i="3"/>
  <c r="J975" i="3"/>
  <c r="J954" i="3"/>
  <c r="J932" i="3"/>
  <c r="J905" i="3"/>
  <c r="J891" i="3"/>
  <c r="J877" i="3"/>
  <c r="J863" i="3"/>
  <c r="J851" i="3"/>
  <c r="J836" i="3"/>
  <c r="J820" i="3"/>
  <c r="J806" i="3"/>
  <c r="J793" i="3"/>
  <c r="J777" i="3"/>
  <c r="J763" i="3"/>
  <c r="J748" i="3"/>
  <c r="J733" i="3"/>
  <c r="J721" i="3"/>
  <c r="J707" i="3"/>
  <c r="J695" i="3"/>
  <c r="J683" i="3"/>
  <c r="J671" i="3"/>
  <c r="J658" i="3"/>
  <c r="J647" i="3"/>
  <c r="J636" i="3"/>
  <c r="J625" i="3"/>
  <c r="J615" i="3"/>
  <c r="J604" i="3"/>
  <c r="J593" i="3"/>
  <c r="J583" i="3"/>
  <c r="J573" i="3"/>
  <c r="J564" i="3"/>
  <c r="J555" i="3"/>
  <c r="J55" i="3"/>
  <c r="J46" i="3"/>
  <c r="J37" i="3"/>
  <c r="J28" i="3"/>
  <c r="J19" i="3"/>
  <c r="J10" i="3"/>
  <c r="J4" i="3"/>
  <c r="J1507" i="3"/>
  <c r="J1451" i="3"/>
  <c r="J1397" i="3"/>
  <c r="J1319" i="3"/>
  <c r="J1242" i="3"/>
  <c r="J1183" i="3"/>
  <c r="J1133" i="3"/>
  <c r="J1090" i="3"/>
  <c r="J1042" i="3"/>
  <c r="J997" i="3"/>
  <c r="J951" i="3"/>
  <c r="J904" i="3"/>
  <c r="J876" i="3"/>
  <c r="J850" i="3"/>
  <c r="J819" i="3"/>
  <c r="J790" i="3"/>
  <c r="J762" i="3"/>
  <c r="J732" i="3"/>
  <c r="J706" i="3"/>
  <c r="J682" i="3"/>
  <c r="J657" i="3"/>
  <c r="J635" i="3"/>
  <c r="J614" i="3"/>
  <c r="J592" i="3"/>
  <c r="J572" i="3"/>
  <c r="J553" i="3"/>
  <c r="J45" i="3"/>
  <c r="J27" i="3"/>
  <c r="J9" i="3"/>
  <c r="J756" i="3"/>
  <c r="J715" i="3"/>
  <c r="J679" i="3"/>
  <c r="J643" i="3"/>
  <c r="J611" i="3"/>
  <c r="J579" i="3"/>
  <c r="J551" i="3"/>
  <c r="J34" i="3"/>
  <c r="J6" i="3"/>
  <c r="J1493" i="3"/>
  <c r="J1415" i="3"/>
  <c r="J1335" i="3"/>
  <c r="J1258" i="3"/>
  <c r="J1178" i="3"/>
  <c r="J1102" i="3"/>
  <c r="J1035" i="3"/>
  <c r="J964" i="3"/>
  <c r="J898" i="3"/>
  <c r="J858" i="3"/>
  <c r="J813" i="3"/>
  <c r="J770" i="3"/>
  <c r="J728" i="3"/>
  <c r="J689" i="3"/>
  <c r="J652" i="3"/>
  <c r="J620" i="3"/>
  <c r="J588" i="3"/>
  <c r="J559" i="3"/>
  <c r="J42" i="3"/>
  <c r="J14" i="3"/>
  <c r="J1517" i="3"/>
  <c r="J1440" i="3"/>
  <c r="J1359" i="3"/>
  <c r="J1279" i="3"/>
  <c r="J1196" i="3"/>
  <c r="J1125" i="3"/>
  <c r="J1053" i="3"/>
  <c r="J987" i="3"/>
  <c r="J916" i="3"/>
  <c r="J869" i="3"/>
  <c r="J827" i="3"/>
  <c r="J769" i="3"/>
  <c r="J725" i="3"/>
  <c r="J688" i="3"/>
  <c r="J651" i="3"/>
  <c r="J619" i="3"/>
  <c r="J587" i="3"/>
  <c r="J558" i="3"/>
  <c r="J41" i="3"/>
  <c r="J13" i="3"/>
  <c r="J1515" i="3"/>
  <c r="J1432" i="3"/>
  <c r="J1358" i="3"/>
  <c r="J1276" i="3"/>
  <c r="J1226" i="3"/>
  <c r="J1167" i="3"/>
  <c r="J1118" i="3"/>
  <c r="J1075" i="3"/>
  <c r="J1027" i="3"/>
  <c r="J983" i="3"/>
  <c r="J938" i="3"/>
  <c r="J893" i="3"/>
  <c r="J868" i="3"/>
  <c r="J839" i="3"/>
  <c r="J810" i="3"/>
  <c r="J796" i="3"/>
  <c r="J765" i="3"/>
  <c r="J738" i="3"/>
  <c r="J711" i="3"/>
  <c r="J685" i="3"/>
  <c r="J649" i="3"/>
  <c r="J628" i="3"/>
  <c r="J607" i="3"/>
  <c r="J585" i="3"/>
  <c r="J566" i="3"/>
  <c r="J49" i="3"/>
  <c r="J30" i="3"/>
  <c r="J1555" i="3"/>
  <c r="J1530" i="3"/>
  <c r="J1501" i="3"/>
  <c r="J1476" i="3"/>
  <c r="J1445" i="3"/>
  <c r="J1424" i="3"/>
  <c r="J1394" i="3"/>
  <c r="J1368" i="3"/>
  <c r="J1344" i="3"/>
  <c r="J1314" i="3"/>
  <c r="J1290" i="3"/>
  <c r="J1265" i="3"/>
  <c r="J1234" i="3"/>
  <c r="J1209" i="3"/>
  <c r="J1180" i="3"/>
  <c r="J1156" i="3"/>
  <c r="J1131" i="3"/>
  <c r="J1108" i="3"/>
  <c r="J1085" i="3"/>
  <c r="J1061" i="3"/>
  <c r="J1039" i="3"/>
  <c r="J1015" i="3"/>
  <c r="J991" i="3"/>
  <c r="J972" i="3"/>
  <c r="J948" i="3"/>
  <c r="J922" i="3"/>
  <c r="J901" i="3"/>
  <c r="J888" i="3"/>
  <c r="J874" i="3"/>
  <c r="J861" i="3"/>
  <c r="J846" i="3"/>
  <c r="J831" i="3"/>
  <c r="J818" i="3"/>
  <c r="J803" i="3"/>
  <c r="J788" i="3"/>
  <c r="J773" i="3"/>
  <c r="J760" i="3"/>
  <c r="J745" i="3"/>
  <c r="J731" i="3"/>
  <c r="J716" i="3"/>
  <c r="J704" i="3"/>
  <c r="J692" i="3"/>
  <c r="J680" i="3"/>
  <c r="J667" i="3"/>
  <c r="J656" i="3"/>
  <c r="J644" i="3"/>
  <c r="J633" i="3"/>
  <c r="J623" i="3"/>
  <c r="J612" i="3"/>
  <c r="J601" i="3"/>
  <c r="J591" i="3"/>
  <c r="J580" i="3"/>
  <c r="J571" i="3"/>
  <c r="J561" i="3"/>
  <c r="J552" i="3"/>
  <c r="J53" i="3"/>
  <c r="J44" i="3"/>
  <c r="J35" i="3"/>
  <c r="J26" i="3"/>
  <c r="J17" i="3"/>
  <c r="J7" i="3"/>
  <c r="J1552" i="3"/>
  <c r="J1527" i="3"/>
  <c r="J1495" i="3"/>
  <c r="J1475" i="3"/>
  <c r="J1444" i="3"/>
  <c r="J1417" i="3"/>
  <c r="J1366" i="3"/>
  <c r="J1343" i="3"/>
  <c r="J1313" i="3"/>
  <c r="J1282" i="3"/>
  <c r="J1259" i="3"/>
  <c r="J1230" i="3"/>
  <c r="J1206" i="3"/>
  <c r="J1179" i="3"/>
  <c r="J1151" i="3"/>
  <c r="J1128" i="3"/>
  <c r="J1107" i="3"/>
  <c r="J1082" i="3"/>
  <c r="J1060" i="3"/>
  <c r="J1037" i="3"/>
  <c r="J1013" i="3"/>
  <c r="J989" i="3"/>
  <c r="J971" i="3"/>
  <c r="J947" i="3"/>
  <c r="J921" i="3"/>
  <c r="J900" i="3"/>
  <c r="J885" i="3"/>
  <c r="J873" i="3"/>
  <c r="J860" i="3"/>
  <c r="J845" i="3"/>
  <c r="J830" i="3"/>
  <c r="J817" i="3"/>
  <c r="J802" i="3"/>
  <c r="J772" i="3"/>
  <c r="J730" i="3"/>
  <c r="J691" i="3"/>
  <c r="J666" i="3"/>
  <c r="J632" i="3"/>
  <c r="J590" i="3"/>
  <c r="J560" i="3"/>
  <c r="J52" i="3"/>
  <c r="J25" i="3"/>
  <c r="J1545" i="3"/>
  <c r="J1467" i="3"/>
  <c r="J1392" i="3"/>
  <c r="J1308" i="3"/>
  <c r="J1228" i="3"/>
  <c r="J1146" i="3"/>
  <c r="J1077" i="3"/>
  <c r="J1011" i="3"/>
  <c r="J940" i="3"/>
  <c r="J883" i="3"/>
  <c r="J843" i="3"/>
  <c r="J798" i="3"/>
  <c r="J754" i="3"/>
  <c r="J713" i="3"/>
  <c r="J676" i="3"/>
  <c r="J641" i="3"/>
  <c r="J609" i="3"/>
  <c r="J577" i="3"/>
  <c r="J550" i="3"/>
  <c r="J33" i="3"/>
  <c r="J5" i="3"/>
  <c r="J1492" i="3"/>
  <c r="J1414" i="3"/>
  <c r="J1330" i="3"/>
  <c r="J1252" i="3"/>
  <c r="J1175" i="3"/>
  <c r="J1101" i="3"/>
  <c r="J1029" i="3"/>
  <c r="J963" i="3"/>
  <c r="J897" i="3"/>
  <c r="J855" i="3"/>
  <c r="J812" i="3"/>
  <c r="J785" i="3"/>
  <c r="J740" i="3"/>
  <c r="J700" i="3"/>
  <c r="J664" i="3"/>
  <c r="J630" i="3"/>
  <c r="J598" i="3"/>
  <c r="J576" i="3"/>
  <c r="J549" i="3"/>
  <c r="J22" i="3"/>
  <c r="J1541" i="3"/>
  <c r="J1461" i="3"/>
  <c r="J1408" i="3"/>
  <c r="J1329" i="3"/>
  <c r="J557" i="3"/>
  <c r="J21" i="3"/>
  <c r="J59" i="3"/>
  <c r="J61" i="3"/>
  <c r="J62" i="3"/>
  <c r="C12" i="1"/>
  <c r="J2" i="3"/>
  <c r="G34" i="1" l="1"/>
  <c r="G35" i="1" s="1"/>
  <c r="I42" i="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E100" i="1"/>
  <c r="G69" i="1"/>
  <c r="E69" i="1"/>
  <c r="G102" i="1"/>
  <c r="G103" i="1" s="1"/>
  <c r="G104" i="1" s="1"/>
  <c r="G105" i="1" s="1"/>
  <c r="G74" i="1"/>
  <c r="G75" i="1" s="1"/>
  <c r="G76" i="1" s="1"/>
  <c r="G77" i="1" s="1"/>
  <c r="G78" i="1" s="1"/>
  <c r="G79" i="1" s="1"/>
  <c r="G80" i="1" s="1"/>
  <c r="G81" i="1" s="1"/>
  <c r="G82" i="1" s="1"/>
  <c r="G83" i="1" s="1"/>
  <c r="G36" i="1"/>
  <c r="G37" i="1" s="1"/>
  <c r="G28" i="1"/>
  <c r="G29" i="1" s="1"/>
  <c r="G30" i="1" s="1"/>
  <c r="G92" i="1"/>
  <c r="G93" i="1" s="1"/>
  <c r="G94" i="1" s="1"/>
  <c r="G95" i="1" s="1"/>
  <c r="G96" i="1" s="1"/>
  <c r="G97" i="1" s="1"/>
  <c r="G98" i="1" s="1"/>
  <c r="G99" i="1" s="1"/>
  <c r="G100" i="1" s="1"/>
  <c r="E39" i="1"/>
  <c r="E94" i="1"/>
  <c r="E80" i="1"/>
  <c r="E30" i="1"/>
  <c r="E83" i="1"/>
  <c r="E77" i="1"/>
  <c r="E78" i="1"/>
  <c r="I72" i="1"/>
  <c r="I73" i="1" s="1"/>
  <c r="I74" i="1" s="1"/>
  <c r="I75" i="1" s="1"/>
  <c r="I76" i="1" s="1"/>
  <c r="I77" i="1" s="1"/>
  <c r="I78" i="1" s="1"/>
  <c r="I79" i="1" s="1"/>
  <c r="I80" i="1" s="1"/>
  <c r="I81" i="1" s="1"/>
  <c r="I82" i="1" s="1"/>
  <c r="I83" i="1" s="1"/>
  <c r="I84" i="1" s="1"/>
  <c r="E81" i="1"/>
  <c r="E95" i="1"/>
  <c r="E93" i="1"/>
  <c r="E79" i="1"/>
  <c r="E82" i="1"/>
  <c r="E99" i="1"/>
  <c r="E101" i="1"/>
  <c r="E102" i="1" s="1"/>
  <c r="E103" i="1" s="1"/>
  <c r="E104" i="1" s="1"/>
  <c r="E105" i="1" s="1"/>
  <c r="E106" i="1" s="1"/>
  <c r="E107" i="1" s="1"/>
  <c r="E108" i="1" s="1"/>
  <c r="E109" i="1" s="1"/>
  <c r="E110" i="1" s="1"/>
  <c r="E111" i="1" s="1"/>
  <c r="E112" i="1" s="1"/>
  <c r="E113" i="1" s="1"/>
  <c r="E114" i="1" s="1"/>
  <c r="E115" i="1" s="1"/>
  <c r="E116" i="1" s="1"/>
  <c r="E117" i="1" s="1"/>
  <c r="E118" i="1" s="1"/>
  <c r="E119" i="1" s="1"/>
  <c r="E120" i="1" s="1"/>
  <c r="E121" i="1" s="1"/>
  <c r="E122" i="1" s="1"/>
  <c r="E123" i="1" s="1"/>
  <c r="E124" i="1" s="1"/>
  <c r="E125" i="1" s="1"/>
  <c r="E126" i="1" s="1"/>
  <c r="E127" i="1" s="1"/>
  <c r="E128" i="1" s="1"/>
  <c r="E129" i="1" s="1"/>
  <c r="E130" i="1" s="1"/>
  <c r="E131" i="1" s="1"/>
  <c r="E132" i="1" s="1"/>
  <c r="E133" i="1" s="1"/>
  <c r="E134" i="1" s="1"/>
  <c r="E135" i="1" s="1"/>
  <c r="E136" i="1" s="1"/>
  <c r="E137" i="1" s="1"/>
  <c r="E138" i="1" s="1"/>
  <c r="E139" i="1" s="1"/>
  <c r="E140" i="1" s="1"/>
  <c r="I92" i="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E41" i="1"/>
  <c r="E42" i="1" s="1"/>
  <c r="E43" i="1" s="1"/>
  <c r="E44" i="1" s="1"/>
  <c r="E45" i="1" s="1"/>
  <c r="E46" i="1" s="1"/>
  <c r="E47" i="1" s="1"/>
  <c r="E48" i="1" s="1"/>
  <c r="E49" i="1" s="1"/>
  <c r="E50" i="1" s="1"/>
  <c r="E51" i="1" s="1"/>
  <c r="E52" i="1" s="1"/>
  <c r="E53" i="1" s="1"/>
  <c r="E54" i="1" s="1"/>
  <c r="E55" i="1" s="1"/>
  <c r="E56" i="1" s="1"/>
  <c r="E57" i="1" s="1"/>
  <c r="E58" i="1" s="1"/>
  <c r="E59" i="1" s="1"/>
  <c r="E60" i="1" s="1"/>
  <c r="E61" i="1" s="1"/>
  <c r="E62" i="1" s="1"/>
  <c r="E63" i="1" s="1"/>
  <c r="E64" i="1" s="1"/>
  <c r="E65" i="1" s="1"/>
  <c r="E66" i="1" s="1"/>
  <c r="E67" i="1" s="1"/>
  <c r="E92" i="1"/>
  <c r="E71" i="1"/>
  <c r="E72" i="1" s="1"/>
  <c r="E73" i="1"/>
  <c r="E96" i="1"/>
  <c r="E91" i="1"/>
  <c r="E31" i="1"/>
  <c r="E32" i="1" s="1"/>
  <c r="E33" i="1" s="1"/>
  <c r="E34" i="1" s="1"/>
  <c r="E35" i="1" s="1"/>
  <c r="E36" i="1" s="1"/>
  <c r="E37" i="1" s="1"/>
  <c r="E38" i="1" s="1"/>
  <c r="E84" i="1"/>
  <c r="E98" i="1"/>
  <c r="E29" i="1"/>
  <c r="E74" i="1"/>
  <c r="E97" i="1"/>
  <c r="E76" i="1"/>
  <c r="E68" i="1"/>
  <c r="E27" i="1"/>
  <c r="E75" i="1"/>
  <c r="E28" i="1"/>
  <c r="G12" i="1"/>
  <c r="J149" i="3" l="1"/>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3" i="3"/>
  <c r="I12" i="1" l="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E12" i="1"/>
  <c r="E13" i="1" s="1"/>
  <c r="E14" i="1" s="1"/>
  <c r="E15" i="1" s="1"/>
  <c r="E16" i="1" s="1"/>
  <c r="E17" i="1" s="1"/>
  <c r="E18" i="1" s="1"/>
  <c r="E19" i="1" s="1"/>
  <c r="E20" i="1" s="1"/>
  <c r="E21" i="1" s="1"/>
  <c r="E22" i="1" s="1"/>
  <c r="E23" i="1" s="1"/>
  <c r="E24" i="1" s="1"/>
  <c r="E25" i="1" s="1"/>
  <c r="E26" i="1" s="1"/>
</calcChain>
</file>

<file path=xl/sharedStrings.xml><?xml version="1.0" encoding="utf-8"?>
<sst xmlns="http://schemas.openxmlformats.org/spreadsheetml/2006/main" count="9312" uniqueCount="3594">
  <si>
    <t>CPU-Modul CX5010, E-Bus, kein Betriebssystem, kein TwinCAT</t>
  </si>
  <si>
    <t>CPU-Modul CX5020, E-Bus, kein Betriebssystem, kein TwinCAT</t>
  </si>
  <si>
    <t>EL3403</t>
  </si>
  <si>
    <t>EL9100</t>
  </si>
  <si>
    <t>EL1502</t>
  </si>
  <si>
    <t>EL3112</t>
  </si>
  <si>
    <t>EL3162</t>
  </si>
  <si>
    <t>EL3314</t>
  </si>
  <si>
    <t>EL9400</t>
  </si>
  <si>
    <t>EL2022</t>
  </si>
  <si>
    <t>EL2004</t>
  </si>
  <si>
    <t>EL2612</t>
  </si>
  <si>
    <t>EL9011</t>
  </si>
  <si>
    <t>EL1104</t>
  </si>
  <si>
    <t>CX1100-0004</t>
  </si>
  <si>
    <t>EK1100</t>
  </si>
  <si>
    <t>EK1101</t>
  </si>
  <si>
    <t>EK1501</t>
  </si>
  <si>
    <t>EK1110</t>
  </si>
  <si>
    <t>EtherCAT-Verlängerung</t>
  </si>
  <si>
    <t>EL1124</t>
  </si>
  <si>
    <t>EL1144</t>
  </si>
  <si>
    <t>EL1134</t>
  </si>
  <si>
    <t>EL1002</t>
  </si>
  <si>
    <t>EL1004</t>
  </si>
  <si>
    <t>EL1008</t>
  </si>
  <si>
    <t>EL1012</t>
  </si>
  <si>
    <t>EL1014</t>
  </si>
  <si>
    <t>EL1018</t>
  </si>
  <si>
    <t>EL1024</t>
  </si>
  <si>
    <t>EL1034</t>
  </si>
  <si>
    <t>EL1114</t>
  </si>
  <si>
    <t>EL1084</t>
  </si>
  <si>
    <t>EL1088</t>
  </si>
  <si>
    <t>EL1094</t>
  </si>
  <si>
    <t>EL1098</t>
  </si>
  <si>
    <t>EL1202</t>
  </si>
  <si>
    <t>EL1252</t>
  </si>
  <si>
    <t>EL1262</t>
  </si>
  <si>
    <t>EL1904</t>
  </si>
  <si>
    <t>4-Kanal-Digital-Eingangsklemme, TwinSAFE, 24 V DC</t>
  </si>
  <si>
    <t>EL1702</t>
  </si>
  <si>
    <t>EL1712</t>
  </si>
  <si>
    <t>EL1722</t>
  </si>
  <si>
    <t>2-Kanal-Analog-Eingangsklemme 0…10 V, single-ended, 16 Bit</t>
  </si>
  <si>
    <t>EL1512</t>
  </si>
  <si>
    <t>EL2124</t>
  </si>
  <si>
    <t>EL2002</t>
  </si>
  <si>
    <t>EL2008</t>
  </si>
  <si>
    <t>EL2024</t>
  </si>
  <si>
    <t>EL2032</t>
  </si>
  <si>
    <t>EL2034</t>
  </si>
  <si>
    <t>EL2084</t>
  </si>
  <si>
    <t>EL2088</t>
  </si>
  <si>
    <t>EL2202</t>
  </si>
  <si>
    <t>EL2212</t>
  </si>
  <si>
    <t>EL2252</t>
  </si>
  <si>
    <t>EL2262</t>
  </si>
  <si>
    <t>EL2904</t>
  </si>
  <si>
    <t>EL2602</t>
  </si>
  <si>
    <t>EL2622</t>
  </si>
  <si>
    <t>EL2712</t>
  </si>
  <si>
    <t>EL2722</t>
  </si>
  <si>
    <t>EL2732</t>
  </si>
  <si>
    <t>EL2502</t>
  </si>
  <si>
    <t>EL2535</t>
  </si>
  <si>
    <t>EL2545</t>
  </si>
  <si>
    <t>EL2521</t>
  </si>
  <si>
    <t>EL3061</t>
  </si>
  <si>
    <t>EL3062</t>
  </si>
  <si>
    <t>EL3161</t>
  </si>
  <si>
    <t>1-Kanal-Analog-Eingangsklemme 0…10 V, single-ended, 16 Bit</t>
  </si>
  <si>
    <t>2-Kanal-Analog-Eingangsklemme 0…20 mA, Differenzeingang, 16 Bit</t>
  </si>
  <si>
    <t>EL3064</t>
  </si>
  <si>
    <t>EL3068</t>
  </si>
  <si>
    <t>EL3164</t>
  </si>
  <si>
    <t>EL3001</t>
  </si>
  <si>
    <t>EL3002</t>
  </si>
  <si>
    <t>EL3004</t>
  </si>
  <si>
    <t>EL3008</t>
  </si>
  <si>
    <t>EL3101</t>
  </si>
  <si>
    <t>EL3102</t>
  </si>
  <si>
    <t>EL3104</t>
  </si>
  <si>
    <t>EL3702</t>
  </si>
  <si>
    <t>EL3011</t>
  </si>
  <si>
    <t>EL3012</t>
  </si>
  <si>
    <t>1-Kanal-Analog-Eingangsklemme 0…20 mA, Differenzeingang, 16 Bit</t>
  </si>
  <si>
    <t>EL3041</t>
  </si>
  <si>
    <t>EL3042</t>
  </si>
  <si>
    <t>EL3141</t>
  </si>
  <si>
    <t>EL3142</t>
  </si>
  <si>
    <t>EL3014</t>
  </si>
  <si>
    <t>EL3111</t>
  </si>
  <si>
    <t>EL3114</t>
  </si>
  <si>
    <t>EL3044</t>
  </si>
  <si>
    <t>EL3048</t>
  </si>
  <si>
    <t>EL3144</t>
  </si>
  <si>
    <t>EL3742</t>
  </si>
  <si>
    <t>EL3021</t>
  </si>
  <si>
    <t>EL3022</t>
  </si>
  <si>
    <t>EL3121</t>
  </si>
  <si>
    <t>EL3122</t>
  </si>
  <si>
    <t>EL3051</t>
  </si>
  <si>
    <t>EL3052</t>
  </si>
  <si>
    <t>EL3151</t>
  </si>
  <si>
    <t>EL3152</t>
  </si>
  <si>
    <t>EL3024</t>
  </si>
  <si>
    <t>EL3124</t>
  </si>
  <si>
    <t>EL3054</t>
  </si>
  <si>
    <t>EL3058</t>
  </si>
  <si>
    <t>EL3154</t>
  </si>
  <si>
    <t>EL3312</t>
  </si>
  <si>
    <t>EL3311</t>
  </si>
  <si>
    <t>EL3201</t>
  </si>
  <si>
    <t>EL3202</t>
  </si>
  <si>
    <t>EL3204</t>
  </si>
  <si>
    <t>EL3356</t>
  </si>
  <si>
    <t>EL4001</t>
  </si>
  <si>
    <t>EL4002</t>
  </si>
  <si>
    <t>EL4102</t>
  </si>
  <si>
    <t>EL4004</t>
  </si>
  <si>
    <t>EL4008</t>
  </si>
  <si>
    <t>EL4104</t>
  </si>
  <si>
    <t>EL4031</t>
  </si>
  <si>
    <t>EL4032</t>
  </si>
  <si>
    <t>EL4132</t>
  </si>
  <si>
    <t>EL4034</t>
  </si>
  <si>
    <t>EL4038</t>
  </si>
  <si>
    <t>EL4134</t>
  </si>
  <si>
    <t>EL4732</t>
  </si>
  <si>
    <t>EL4011</t>
  </si>
  <si>
    <t>EL4012</t>
  </si>
  <si>
    <t>EL4112</t>
  </si>
  <si>
    <t>EL4014</t>
  </si>
  <si>
    <t>EL4018</t>
  </si>
  <si>
    <t>EL4712</t>
  </si>
  <si>
    <t>EL4021</t>
  </si>
  <si>
    <t>EL4022</t>
  </si>
  <si>
    <t>EL4122</t>
  </si>
  <si>
    <t>EL4024</t>
  </si>
  <si>
    <t>EL4028</t>
  </si>
  <si>
    <t>EL4124</t>
  </si>
  <si>
    <t>EL4114</t>
  </si>
  <si>
    <t>EL4112-0010</t>
  </si>
  <si>
    <t>EL5001</t>
  </si>
  <si>
    <t>EL5101</t>
  </si>
  <si>
    <t>EL5151</t>
  </si>
  <si>
    <t>EL6001</t>
  </si>
  <si>
    <t>Serielle Schnittstelle RS232</t>
  </si>
  <si>
    <t>EL6021</t>
  </si>
  <si>
    <t>Serielle Schnittstelle RS422/RS485</t>
  </si>
  <si>
    <t>EL6201</t>
  </si>
  <si>
    <t>AS-Interface-Masterklemme</t>
  </si>
  <si>
    <t>EL6224</t>
  </si>
  <si>
    <t>IO-Link-Klemme</t>
  </si>
  <si>
    <t>EL6601</t>
  </si>
  <si>
    <t>EL6614</t>
  </si>
  <si>
    <t>EL6692</t>
  </si>
  <si>
    <t>EtherCAT-Bridge-Klemme</t>
  </si>
  <si>
    <t>EL6731</t>
  </si>
  <si>
    <t>EL6731-0010</t>
  </si>
  <si>
    <t>PROFIBUS-Masterklemme</t>
  </si>
  <si>
    <t>PROFIBUS-Slaveklemme</t>
  </si>
  <si>
    <t>Interbus-Slaveklemme</t>
  </si>
  <si>
    <t>EL6751</t>
  </si>
  <si>
    <t>EL6751-0010</t>
  </si>
  <si>
    <t>CANopen-Masterklemme</t>
  </si>
  <si>
    <t>CANopen-Slaveklemme</t>
  </si>
  <si>
    <t>EL6752</t>
  </si>
  <si>
    <t>EL6752-0010</t>
  </si>
  <si>
    <t>DeviceNet-Masterklemme</t>
  </si>
  <si>
    <t>DeviceNet-Slaveklemme</t>
  </si>
  <si>
    <t>EL7031</t>
  </si>
  <si>
    <t>EL7041</t>
  </si>
  <si>
    <t>EL7332</t>
  </si>
  <si>
    <t>2-Kanal-DC-Motor-Endstufe 24 V DC, 1 A</t>
  </si>
  <si>
    <t>EL7342</t>
  </si>
  <si>
    <t>2-Kanal-DC-Motor-Endstufe 50 V DC, 3,5 A</t>
  </si>
  <si>
    <t>EL9190</t>
  </si>
  <si>
    <t>EL9110</t>
  </si>
  <si>
    <t>EL9150</t>
  </si>
  <si>
    <t>EL9160</t>
  </si>
  <si>
    <t>Potenzialeinspeiseklemme, 230 V AC</t>
  </si>
  <si>
    <t>Potenzialeinspeiseklemme mit Diagnose, 230 V AC</t>
  </si>
  <si>
    <t>Potenzialeinspeiseklemme mit Diagnose, 24 V DC</t>
  </si>
  <si>
    <t>EL9200</t>
  </si>
  <si>
    <t>EL9210</t>
  </si>
  <si>
    <t>EL9250</t>
  </si>
  <si>
    <t>EL9260</t>
  </si>
  <si>
    <t>EL9180</t>
  </si>
  <si>
    <t>EL9185</t>
  </si>
  <si>
    <t>EL9195</t>
  </si>
  <si>
    <t>EL9080</t>
  </si>
  <si>
    <t>Trennklemme</t>
  </si>
  <si>
    <t>Passive Potenzialeinspeiseklemme mit Sicherung, 24 V DC</t>
  </si>
  <si>
    <t>Potenzialeinspeiseklemme mit Diagnose und Sicherung, 24 V DC</t>
  </si>
  <si>
    <t>Passive Potenzialeinspeiseklemme mit Sicherung, 125 V AC…230 V AC</t>
  </si>
  <si>
    <t>Potenzialeinspeiseklemme mit Diagnose und Sicherung, 230 V AC</t>
  </si>
  <si>
    <t>Potenzialverteilungsklemme mit 2 Klemmstellen je Powerkontakt</t>
  </si>
  <si>
    <t>Potenzialverteilungsklemme mit je 4 Klemmstellen an 2 Powerkontakten</t>
  </si>
  <si>
    <t>Abschirmklemme</t>
  </si>
  <si>
    <t>EL9186</t>
  </si>
  <si>
    <t>EL9187</t>
  </si>
  <si>
    <t>Potenzialverteilungsklemme, 8 x 24 V DC</t>
  </si>
  <si>
    <t>Potenzialverteilungsklemme, 8 x 0 V</t>
  </si>
  <si>
    <t>Passive Potenzialeinspeiseklemme, 24 V DC</t>
  </si>
  <si>
    <t>EL9520</t>
  </si>
  <si>
    <t>AS-Interface-Potenzialeinspeiseklemme mit Filter</t>
  </si>
  <si>
    <t>EL9505</t>
  </si>
  <si>
    <t>EL9508</t>
  </si>
  <si>
    <t>EL9510</t>
  </si>
  <si>
    <t>EL9512</t>
  </si>
  <si>
    <t>EL9515</t>
  </si>
  <si>
    <t>Busendkappe</t>
  </si>
  <si>
    <t>EL9410</t>
  </si>
  <si>
    <t>EL9560</t>
  </si>
  <si>
    <t>EK1122</t>
  </si>
  <si>
    <t>2-Port-EtherCAT-Abzweig</t>
  </si>
  <si>
    <t>EK1521</t>
  </si>
  <si>
    <t>1-Port-EtherCAT-Multimode-LWL-Abzweig</t>
  </si>
  <si>
    <t>EL3201-0010</t>
  </si>
  <si>
    <t>EL3201-0020</t>
  </si>
  <si>
    <t>CX9000-0000</t>
  </si>
  <si>
    <t>CX9000-0001</t>
  </si>
  <si>
    <t>CX9001-0000</t>
  </si>
  <si>
    <t>CX9001-0001</t>
  </si>
  <si>
    <t>CX9001-0100</t>
  </si>
  <si>
    <t>CX9001-0101</t>
  </si>
  <si>
    <t>CX9010-0000</t>
  </si>
  <si>
    <t>CX9010-0001</t>
  </si>
  <si>
    <t>CX9010-0002</t>
  </si>
  <si>
    <t>CX9010-0100</t>
  </si>
  <si>
    <t>CX9010-0101</t>
  </si>
  <si>
    <t>CX9010-0102</t>
  </si>
  <si>
    <t>EL2042</t>
  </si>
  <si>
    <t>4-Kanal-Digital-Ausgangsklemme 24 V DC, N-schaltend, 0,5 A, 2-Leitertechnik</t>
  </si>
  <si>
    <t>EL3403-0010</t>
  </si>
  <si>
    <t>EL2521-0024</t>
  </si>
  <si>
    <t>1-Kanal-Pulse-Train-Ausgangsklemme, 2 Ausgänge 24 V DC (extern gespeist)</t>
  </si>
  <si>
    <t>1-Kanal-Pulse-Train-Ausgangsklemme, 2 RS422-Ausgänge (5 V Pegel)</t>
  </si>
  <si>
    <t>EL6720</t>
  </si>
  <si>
    <t>Lightbus-Masterklemme</t>
  </si>
  <si>
    <t>EL9290</t>
  </si>
  <si>
    <t>Passive Potenzialeinspeiseklemme, bis 400 V AC</t>
  </si>
  <si>
    <t>CPU-Modul CX9000, 16 MByte Flash/64 MByte RAM, E-Bus, kein TwinCAT</t>
  </si>
  <si>
    <t>CPU-Modul CX9000, 32 MByte Flash/128 MByte RAM, E-Bus, kein TwinCAT</t>
  </si>
  <si>
    <t>CPU-Modul CX9000, 32 MByte Flash/128 MByte RAM, DVI/USB, E-Bus, kein TwinCAT</t>
  </si>
  <si>
    <t>CPU-Modul CX9010, E-Bus, kein TwinCAT</t>
  </si>
  <si>
    <t>CPU-Modul CX9010, DVI/USB, E-Bus, kein TwinCAT</t>
  </si>
  <si>
    <t>EtherCAT-Koppler für E-Bus-Klemmen (ELxxxx)</t>
  </si>
  <si>
    <t>EtherCAT-Koppler mit ID-Switch für E-Bus-Klemmen (ELxxxx)</t>
  </si>
  <si>
    <t>EtherCAT-Koppler mit ID-Switch, Multimode-LWL-Anschluss für E-Bus-Klemmen (ELxxxx)</t>
  </si>
  <si>
    <t>EK1501-0010</t>
  </si>
  <si>
    <t>EK1521-0010</t>
  </si>
  <si>
    <t>EK3100</t>
  </si>
  <si>
    <t>PROFIBUS-Buskoppler für EtherCAT-Klemmen (ELxxxx)</t>
  </si>
  <si>
    <t>EK9000</t>
  </si>
  <si>
    <t>Ethernet-Buskoppler für EtherCAT-Klemmen (ELxxxx)</t>
  </si>
  <si>
    <t>EK9300</t>
  </si>
  <si>
    <t>EK9500</t>
  </si>
  <si>
    <t>EtherNet/IP-Buskoppler für EtherCAT-Klemmen (ELxxxx)</t>
  </si>
  <si>
    <t>EK9700</t>
  </si>
  <si>
    <t>SERCOS-III-Buskoppler für EtherCAT-Klemmen (ELxxxx)</t>
  </si>
  <si>
    <t>BK1250</t>
  </si>
  <si>
    <t>ES1002</t>
  </si>
  <si>
    <t>4-Kanal-Digital-Eingangsklemme 24 V DC, Filter 3,0 ms, 2-Leitertechnik</t>
  </si>
  <si>
    <t>ES1004</t>
  </si>
  <si>
    <t>8-Kanal-Digital-Eingangsklemme 24 V DC, Filter 3,0 ms, 1-Leitertechnik</t>
  </si>
  <si>
    <t>ES1008</t>
  </si>
  <si>
    <t>2-Kanal-Digital-Eingangsklemme 24 V DC, Filter 10 µs, 3-Leitertechnik</t>
  </si>
  <si>
    <t>ES1012</t>
  </si>
  <si>
    <t>4-Kanal-Digital-Eingangsklemme 24 V DC, Filter 10 µs, 2-Leitertechnik</t>
  </si>
  <si>
    <t>ES1014</t>
  </si>
  <si>
    <t>8-Kanal-Digital-Eingangsklemme 24 V DC, Filter 10 µs, 1-Leitertechnik</t>
  </si>
  <si>
    <t>ES1018</t>
  </si>
  <si>
    <t>ES1024</t>
  </si>
  <si>
    <t>ES1034</t>
  </si>
  <si>
    <t>4-Kanal-Digital-Eingangsklemme 24 V DC, N-schaltend, Filter 3,0 ms, 2-Leitertechnik</t>
  </si>
  <si>
    <t>ES1084</t>
  </si>
  <si>
    <t>8-Kanal-Digital-Eingangsklemme 24 V DC, N-schaltend, Filter 3,0 ms, 1-Leitertechnik</t>
  </si>
  <si>
    <t>ES1088</t>
  </si>
  <si>
    <t>4-Kanal-Digital-Eingangsklemme 24 V DC, N-schaltend, Filter 10 µs, 2-Leitertechnik</t>
  </si>
  <si>
    <t>ES1094</t>
  </si>
  <si>
    <t>8-Kanal-Digital-Eingangsklemme 24 V DC, N-schaltend, Filter 10 µs, 1-Leitertechnik</t>
  </si>
  <si>
    <t>ES1098</t>
  </si>
  <si>
    <t>ES1104</t>
  </si>
  <si>
    <t>ES1114</t>
  </si>
  <si>
    <t>ES1124</t>
  </si>
  <si>
    <t>ES1134</t>
  </si>
  <si>
    <t>ES1144</t>
  </si>
  <si>
    <t>2-Kanal-Digital-Eingangsklemme 24 V DC, TON/TOFF 1 µs, schnelle Eingänge</t>
  </si>
  <si>
    <t>ES1202</t>
  </si>
  <si>
    <t>ES1252</t>
  </si>
  <si>
    <t>2-Kanal-Digital-Eingangsklemme 24 V DC, Filter 1 µs, mit Oversampling</t>
  </si>
  <si>
    <t>ES1262</t>
  </si>
  <si>
    <t>Vor-/Rückwärtszähler 24 V DC, 100 kHz, 32-Bit-Zähler</t>
  </si>
  <si>
    <t>ES1502</t>
  </si>
  <si>
    <t>2-Kanal-Vor-/Rückwärtszähler 24 V DC, 1 kHz, 16-Bit-Zähler</t>
  </si>
  <si>
    <t>ES1512</t>
  </si>
  <si>
    <t>2-Kanal-Digital-Eingangsklemme 120 V AC…230 V AC, 4-Leitertechnik</t>
  </si>
  <si>
    <t>ES1702</t>
  </si>
  <si>
    <t>2-Kanal-Digital-Eingangsklemme 120 V AC/DC, 4-Leitertechnik</t>
  </si>
  <si>
    <t>ES1712</t>
  </si>
  <si>
    <t>2-Kanal-Digital-Eingangsklemme 120 V AC…230 V AC, ohne Powerkontakte, 4-Leitertechnik</t>
  </si>
  <si>
    <t>ES1722</t>
  </si>
  <si>
    <t>EL1804</t>
  </si>
  <si>
    <t>4-Kanal-Digital-Eingangsklemme 24 V DC, Filter 3,0 ms, 3-Leitertechnik</t>
  </si>
  <si>
    <t>EL1808</t>
  </si>
  <si>
    <t>8-Kanal-Digital-Eingangsklemme 24 V DC, Filter 3,0 ms, 2-Leitertechnik</t>
  </si>
  <si>
    <t>EL1809</t>
  </si>
  <si>
    <t>16-Kanal-Digital-Eingangsklemme 24 V DC, Filter 3,0 ms, Typ 3</t>
  </si>
  <si>
    <t>EL1814</t>
  </si>
  <si>
    <t>4-Kanal-Digital-Eingangsklemme 24 V DC, Filter 10 µs, 3-Leitertechnik</t>
  </si>
  <si>
    <t>EL1819</t>
  </si>
  <si>
    <t>16-Kanal-Digital-Eingangsklemme 24 V DC, Filter 10 µs, Typ 3</t>
  </si>
  <si>
    <t>EL1859</t>
  </si>
  <si>
    <t>EL1862</t>
  </si>
  <si>
    <t>16-Kanal-Digital-Eingangsklemme 24 V DC, Filter 3,0 ms, Flachbandkabelanschluss, Typ 3</t>
  </si>
  <si>
    <t>EL1862-0010</t>
  </si>
  <si>
    <t>16-Kanal-Digital-Eingangsklemme 24 V DC, Filter 3,0 ms, Flachbandkabelanschluss, Masse schaltend</t>
  </si>
  <si>
    <t>EL1872</t>
  </si>
  <si>
    <t>16-Kanal-Digital-Eingangsklemme 24 V DC, Filter 10 µs, Flachbandkabelanschluss, Typ 3</t>
  </si>
  <si>
    <t>EL1889</t>
  </si>
  <si>
    <t>16-Kanal-Digital-Eingangsklemme 24 V DC, Filter 3,0 ms, Masse schaltend</t>
  </si>
  <si>
    <t>ES2002</t>
  </si>
  <si>
    <t>4-Kanal-Digital-Ausgangsklemme 24 V DC, 0,5 A, 2-Leitertechnik</t>
  </si>
  <si>
    <t>ES2004</t>
  </si>
  <si>
    <t>ES2008</t>
  </si>
  <si>
    <t>2-Kanal-Digital-Ausgangsklemme 24 V DC, 2 A, 4-Leitertechnik</t>
  </si>
  <si>
    <t>ES2022</t>
  </si>
  <si>
    <t>4-Kanal-Digital-Ausgangsklemme 24 V DC, 2 A, 2-Leitertechnik</t>
  </si>
  <si>
    <t>ES2024</t>
  </si>
  <si>
    <t>EL2024-0010</t>
  </si>
  <si>
    <t>4-Kanal-Digital-Ausgangsklemme 12 V DC, 2 A, 2-Leitertechnik</t>
  </si>
  <si>
    <t>ES2032</t>
  </si>
  <si>
    <t xml:space="preserve">4-Kanal-Digital-Ausgangsklemme 24 V DC, 2 A, mit Diagnose, 2-Leitertechnik </t>
  </si>
  <si>
    <t>ES2034</t>
  </si>
  <si>
    <t>2-Kanal-Digital-Ausgangsklemme 24 V DC, 2 x 4 A/1 x 8 A, 3-Leitertechnik</t>
  </si>
  <si>
    <t>ES2042</t>
  </si>
  <si>
    <t>ES2084</t>
  </si>
  <si>
    <t>ES2088</t>
  </si>
  <si>
    <t>ES2124</t>
  </si>
  <si>
    <t>2-Kanal-Digital-Ausgangsklemme 24 V DC, TON/TOFF 1 µs, schnelle Ausgänge</t>
  </si>
  <si>
    <t>ES2202</t>
  </si>
  <si>
    <t>ES2212</t>
  </si>
  <si>
    <t>2-Kanal-Digital-Ausgangsklemme 24 V DC, 0,5 A, 4-Leitertechnik, schnelle Ausgänge mit Time-Stamp</t>
  </si>
  <si>
    <t>ES2252</t>
  </si>
  <si>
    <t>ES2262</t>
  </si>
  <si>
    <t>2-Kanal-Pulsweiten-Ausgangsklemme 24 V DC, 1 A, 4-Leitertechnik</t>
  </si>
  <si>
    <t>ES2502</t>
  </si>
  <si>
    <t>ES2521</t>
  </si>
  <si>
    <t>EL2521-0025</t>
  </si>
  <si>
    <t>1-Kanal-Pulse-Train-Ausgangsklemme, 24 V DC (extern gespeist), negativ schaltend</t>
  </si>
  <si>
    <t>EL2521-0124</t>
  </si>
  <si>
    <t>2-Kanal-Pulsweitenstromklemme 24 V DC, 1 A</t>
  </si>
  <si>
    <t>ES2535</t>
  </si>
  <si>
    <t>2-Kanal-Pulsweitenstromklemme 50 V DC, 3,5 A</t>
  </si>
  <si>
    <t>ES2545</t>
  </si>
  <si>
    <t>ES2602</t>
  </si>
  <si>
    <t>ES2612</t>
  </si>
  <si>
    <t>ES2622</t>
  </si>
  <si>
    <t>EL2624</t>
  </si>
  <si>
    <t>4-Kanal-Relais-Ausgangsklemme 125 V AC/30 V DC, 0,5 A AC/2 A DC, potenzialfreie Schließer</t>
  </si>
  <si>
    <t>ES2624</t>
  </si>
  <si>
    <t>2-Kanal-Triac-Ausgangsklemme 12…230 V AC, 0,5 A, 4-Leitertechnik</t>
  </si>
  <si>
    <t>ES2712</t>
  </si>
  <si>
    <t>2-Kanal-Triac-Ausgangsklemme 12…230 V AC, 1 A mit Verriegelungslogik</t>
  </si>
  <si>
    <t>ES2722</t>
  </si>
  <si>
    <t>2-Kanal-Triac-Ausgangsklemme 12…230 V AC, 0,5 A, ohne Powerkontakte</t>
  </si>
  <si>
    <t>ES2732</t>
  </si>
  <si>
    <t>EL2808</t>
  </si>
  <si>
    <t>8-Kanal-Digital-Ausgangsklemme 24 V DC, 0,5 A mit Verpolungsschutz, 2-Leitertechnik</t>
  </si>
  <si>
    <t>EL2809</t>
  </si>
  <si>
    <t>16-Kanal-Digital-Ausgangsklemme 24 V DC, 0,5 A, 1-Leitertechnik</t>
  </si>
  <si>
    <t>EL2872</t>
  </si>
  <si>
    <t>16-Kanal-Digital-Ausgangsklemme 24 V DC, 0,5 A, Flachbandkabelanschluss</t>
  </si>
  <si>
    <t>EL2872-0010</t>
  </si>
  <si>
    <t>16-Kanal-Digital-Ausgangsklemme 24 V DC, 0,5 A, Flachbandkabelanschluss, Masse schaltend</t>
  </si>
  <si>
    <t>EL2889</t>
  </si>
  <si>
    <t>16-Kanal-Digital-Ausgangsklemme 24 V DC, 0,5 A, Masse schaltend</t>
  </si>
  <si>
    <t>EL2902</t>
  </si>
  <si>
    <t>2-Kanal-Digital-Ausgangsklemme, TwinSAFE, 24 V DC, 2,3 A</t>
  </si>
  <si>
    <t>4-Kanal-Digital-Ausgangsklemme, TwinSAFE, 24 V DC, 0,5 A</t>
  </si>
  <si>
    <t>1-Kanal-Analog-Eingangsklemme -10 V…+10 V, single-ended, 12 Bit</t>
  </si>
  <si>
    <t>ES3001</t>
  </si>
  <si>
    <t xml:space="preserve">2-Kanal-Analog-Eingangsklemme -10 V…+10 V, single-ended, 12 Bit </t>
  </si>
  <si>
    <t>ES3002</t>
  </si>
  <si>
    <t xml:space="preserve">4-Kanal-Analog-Eingangsklemme -10 V…+10 V, single-ended, 12 Bit, 4 x 2-Leitertechnik </t>
  </si>
  <si>
    <t>ES3004</t>
  </si>
  <si>
    <t xml:space="preserve">8-Kanal-Analog-Eingangsklemme -10 V…+10 V, single-ended, 12 Bit, 1-Leitertechnik </t>
  </si>
  <si>
    <t>ES3008</t>
  </si>
  <si>
    <t>1-Kanal-Analog-Eingangsklemme 0…20 mA, Differenzeingang, 12 Bit</t>
  </si>
  <si>
    <t>ES3011</t>
  </si>
  <si>
    <t xml:space="preserve">2-Kanal-Analog-Eingangsklemme 0…20 mA, Differenzeingang, 12 Bit </t>
  </si>
  <si>
    <t>ES3012</t>
  </si>
  <si>
    <t>4-Kanal-Analog-Eingangsklemme 0…20 mA, Differenzeingang, 12 Bit</t>
  </si>
  <si>
    <t>ES3014</t>
  </si>
  <si>
    <t>1-Kanal-Analog-Eingangsklemme 4…20 mA, Differenzeingang, 12 Bit</t>
  </si>
  <si>
    <t>ES3021</t>
  </si>
  <si>
    <t xml:space="preserve">2-Kanal-Analog-Eingangsklemme 4…20 mA, Differenzeingang, 12 Bit </t>
  </si>
  <si>
    <t>ES3022</t>
  </si>
  <si>
    <t>4-Kanal-Analog-Eingangsklemme 4…20 mA, Differenzeingang, 12 Bit</t>
  </si>
  <si>
    <t>ES3024</t>
  </si>
  <si>
    <t xml:space="preserve">1-Kanal-Analog-Einspeiseklemme 0…20 mA, single-ended, 12 Bit </t>
  </si>
  <si>
    <t>ES3041</t>
  </si>
  <si>
    <t xml:space="preserve">2-Kanal-Analog-Einspeiseklemme 0…20 mA, single-ended, 12 Bit </t>
  </si>
  <si>
    <t>ES3042</t>
  </si>
  <si>
    <t>4-Kanal-Analog-Eingangsklemme 0…20 mA, single-ended, 12 Bit , 4 x 2-Leitertechnik</t>
  </si>
  <si>
    <t>ES3044</t>
  </si>
  <si>
    <t>8-Kanal-Analog-Eingangsklemme 0…20 mA, single-ended, 12 Bit, 1-Leitertechnik</t>
  </si>
  <si>
    <t>ES3048</t>
  </si>
  <si>
    <t xml:space="preserve">1-Kanal-Analog-Einspeiseklemme 4…20 mA, single-ended, 12 Bit </t>
  </si>
  <si>
    <t>ES3051</t>
  </si>
  <si>
    <t xml:space="preserve">2-Kanal-Analog-Einspeiseklemme 4…20 mA, single-ended, 12 Bit </t>
  </si>
  <si>
    <t>ES3052</t>
  </si>
  <si>
    <t>4-Kanal-Analog-Eingangsklemme 4…20 mA, single-ended, 12 Bit , 4 x 2-Leitertechnik</t>
  </si>
  <si>
    <t>ES3054</t>
  </si>
  <si>
    <t>8-Kanal-Analog-Eingangsklemme 4…20 mA, single-ended, 12 Bit, 1-Leitertechnik</t>
  </si>
  <si>
    <t>ES3058</t>
  </si>
  <si>
    <t xml:space="preserve">1-Kanal-Analog-Eingangsklemme 0…10 V, single-ended, 12 Bit </t>
  </si>
  <si>
    <t>ES3061</t>
  </si>
  <si>
    <t xml:space="preserve">2-Kanal-Analog-Eingangsklemme 0…10 V, single-ended, 12 Bit </t>
  </si>
  <si>
    <t>ES3062</t>
  </si>
  <si>
    <t>EL3062-0030</t>
  </si>
  <si>
    <t>2-Kanal-Analog-Eingangsklemme 0…30 V, single-ended, 12 Bit</t>
  </si>
  <si>
    <t>4-Kanal-Analog-Eingangsklemme 0…10 V, single-ended, 12 Bit , 4 x 2-Leitertechnik</t>
  </si>
  <si>
    <t>ES3064</t>
  </si>
  <si>
    <t>8-Kanal-Analog-Eingangsklemme 0…10 V, single-ended, 12 Bit, 1-Leitertechnik</t>
  </si>
  <si>
    <t>ES3068</t>
  </si>
  <si>
    <t>1-Kanal-Analog-Eingangsklemme -10 V…+10 V, Differenzeingang, 16 Bit</t>
  </si>
  <si>
    <t>ES3101</t>
  </si>
  <si>
    <t>2-Kanal-Analog-Eingangsklemme -10 V…+10 V, Differenzeingang, 16 Bit</t>
  </si>
  <si>
    <t>ES3102</t>
  </si>
  <si>
    <t>4-Kanal-Analog-Eingangsklemme -10 V…+10 V, Differenzeingang, 16 Bit</t>
  </si>
  <si>
    <t>ES3104</t>
  </si>
  <si>
    <t>ES3111</t>
  </si>
  <si>
    <t>ES3112</t>
  </si>
  <si>
    <t>4-Kanal-Analog-Eingangsklemme 0…20 mA, Differenzeingang, 16 Bit</t>
  </si>
  <si>
    <t>ES3114</t>
  </si>
  <si>
    <t>1-Kanal-Analog-Eingangsklemme 4…20 mA, Differenzeingang, 16 Bit</t>
  </si>
  <si>
    <t>ES3121</t>
  </si>
  <si>
    <t>2-Kanal-Analog-Eingangsklemme 4…20 mA, Differenzeingang, 16 Bit</t>
  </si>
  <si>
    <t>ES3122</t>
  </si>
  <si>
    <t>4-Kanal-Analog-Eingangsklemme 4…20 mA, Differenzeingang, 16 Bit</t>
  </si>
  <si>
    <t>ES3124</t>
  </si>
  <si>
    <t xml:space="preserve">1-Kanal-Analog-Einspeiseklemme 0…20 mA, single-ended, 16 Bit </t>
  </si>
  <si>
    <t>ES3141</t>
  </si>
  <si>
    <t xml:space="preserve">2-Kanal-Analog-Einspeiseklemme 0…20 mA, single-ended, 16 Bit </t>
  </si>
  <si>
    <t>ES3142</t>
  </si>
  <si>
    <t>EL3142-0010</t>
  </si>
  <si>
    <t xml:space="preserve">2-Kanal-Analog-Einspeiseklemme Signalstrom ±10 mA, single-ended, 16 Bit </t>
  </si>
  <si>
    <t>4-Kanal-Analog-Eingangsklemme 0…20 mA, single-ended, 16 Bit, 4 x 2-Leitertechnik</t>
  </si>
  <si>
    <t>ES3144</t>
  </si>
  <si>
    <t xml:space="preserve">1-Kanal-Analog-Einspeiseklemme 4…20 mA, single-ended, 16 Bit </t>
  </si>
  <si>
    <t>ES3151</t>
  </si>
  <si>
    <t xml:space="preserve">2-Kanal-Analog-Einspeiseklemme 4…20 mA, single-ended, 16 Bit </t>
  </si>
  <si>
    <t>ES3152</t>
  </si>
  <si>
    <t>4-Kanal-Analog-Eingangsklemme 4…20 mA, single-ended, 16 Bit , 4 x 2-Leitertechnik</t>
  </si>
  <si>
    <t>ES3154</t>
  </si>
  <si>
    <t>ES3161</t>
  </si>
  <si>
    <t>ES3162</t>
  </si>
  <si>
    <t>4-Kanal-Analog-Eingangsklemme 0…10 V, single-ended, 16 Bit, 4 x 2-Leitertechnik</t>
  </si>
  <si>
    <t>ES3164</t>
  </si>
  <si>
    <t>1-Kanal-Eingangsklemme PT100 (RTD) für Widerstandsthermometer, 16 Bit, 4-Leitertechnik</t>
  </si>
  <si>
    <t>ES3201</t>
  </si>
  <si>
    <t>2-Kanal-Eingangsklemme PT100 (RTD) für Widerstandsthermometer, 16 Bit, 2-, 3-Leitertechnik</t>
  </si>
  <si>
    <t>ES3202</t>
  </si>
  <si>
    <t>EL3202-0010</t>
  </si>
  <si>
    <t>2-Kanal-Eingangsklemme PT100 (RTD) für 4-Leiteranschluss, hochpräzise</t>
  </si>
  <si>
    <t>4-Kanal-Eingangsklemme PT100 (RTD) für Widerstandsthermometer, 16 Bit, 2-Leitertechnik</t>
  </si>
  <si>
    <t>ES3204</t>
  </si>
  <si>
    <t>EL3255</t>
  </si>
  <si>
    <t>1-Kanal-Eingangsklemme Thermoelement, voreingestellt auf Typ K, mit Drahtbruchmeldung, 16 Bit</t>
  </si>
  <si>
    <t>2-Kanal-Eingangsklemme Thermoelement, voreingestellt auf Typ K, mit Drahtbruchmeldung, 16 Bit</t>
  </si>
  <si>
    <t>4-Kanal-Eingangsklemme Thermoelement, voreingestellt auf Typ K, mit Drahtbruchmeldung, 16 Bit</t>
  </si>
  <si>
    <t>EL3318</t>
  </si>
  <si>
    <t>8-Kanal-Eingangsklemme Thermoelement, voreingestellt auf Typ K, mit Drahtbruchmeldung, 16 Bit</t>
  </si>
  <si>
    <t>EL3351</t>
  </si>
  <si>
    <t>1-Kanal-Eingangsklemme Widerstandsbrücke (DMS), 16 Bit</t>
  </si>
  <si>
    <t>ES3351</t>
  </si>
  <si>
    <t>1-Kanal-Eingangsklemme, präzise Widerstandsbrückenauswertung, mit Selbstkalibrierung, 16 Bit</t>
  </si>
  <si>
    <t>ES3356</t>
  </si>
  <si>
    <t>3-Phasen-Leistungsmessklemme, max. 500 V AC 3~, max. 1 A, über Messwandler x A/1A</t>
  </si>
  <si>
    <t>ES3403</t>
  </si>
  <si>
    <t>3-Phasen-Leistungsmessklemme, max. 500 V AC 3~, max. 5 A, über Messwandler x A/5A</t>
  </si>
  <si>
    <t>EL3403-0100</t>
  </si>
  <si>
    <t>3-Phasen-Leistungsmessklemme, max. 500 V AC 3~, 100 mA</t>
  </si>
  <si>
    <t>EL3403-0111</t>
  </si>
  <si>
    <t>EL3602</t>
  </si>
  <si>
    <t>ES3602</t>
  </si>
  <si>
    <t>EL3602-0010</t>
  </si>
  <si>
    <t>2-Kanal-Analog-Eingangsklemme -75…+75 mV, Differenzeingang, 24 Bit</t>
  </si>
  <si>
    <t>EL3612</t>
  </si>
  <si>
    <t>2-Kanal-Analog-Eingangsklemme 0…20 mA, Differenzeingang, 24 Bit</t>
  </si>
  <si>
    <t>ES3612</t>
  </si>
  <si>
    <t>EL3632</t>
  </si>
  <si>
    <t>2-Kanal-Analog-Eingangsklemme ±5 V, für Condition Monitoring (IEPE)</t>
  </si>
  <si>
    <t>EL3681</t>
  </si>
  <si>
    <t>Digital-Multimeter-Klemme</t>
  </si>
  <si>
    <t>ES3681</t>
  </si>
  <si>
    <t>EL3692</t>
  </si>
  <si>
    <t>2-kanalige Widerstandsmessklemme 10 mΩ…10 MΩ, hochpräzise</t>
  </si>
  <si>
    <t>2-Kanal-Analog-Eingangsklemme -10 V…+10 V, Differenzeingänge, 16 Bit, Oversampling</t>
  </si>
  <si>
    <t>ES3702</t>
  </si>
  <si>
    <t>2-Kanal-Analog-Eingangsklemme 0…20 mA, Differenzeingänge, 16 Bit, Oversampling</t>
  </si>
  <si>
    <t>ES3742</t>
  </si>
  <si>
    <t xml:space="preserve">1-Kanal-Analog-Ausgangsklemme 0…10 V, 12 Bit </t>
  </si>
  <si>
    <t>ES4001</t>
  </si>
  <si>
    <t xml:space="preserve">2-Kanal-Analog-Ausgangsklemme 0…10 V, 12 Bit </t>
  </si>
  <si>
    <t>ES4002</t>
  </si>
  <si>
    <t>4-Kanal-Analog-Ausgangsklemme 0…10 V, 12 Bit, 4 x 2-Leitertechnik</t>
  </si>
  <si>
    <t>ES4004</t>
  </si>
  <si>
    <t>8-Kanal-Analog-Ausgangsklemme 0…10 V, 12 Bit, 1-Leitertechnik</t>
  </si>
  <si>
    <t>ES4008</t>
  </si>
  <si>
    <t xml:space="preserve">1-Kanal-Analog-Ausgangsklemme 0…20 mA, 12 Bit </t>
  </si>
  <si>
    <t>ES4011</t>
  </si>
  <si>
    <t xml:space="preserve">2-Kanal-Analog-Ausgangsklemme 0…20 mA, 12 Bit </t>
  </si>
  <si>
    <t>ES4012</t>
  </si>
  <si>
    <t>4-Kanal-Analog-Ausgangsklemme 0…20 mA, 12 Bit, 4 x 2-Leitertechnik</t>
  </si>
  <si>
    <t>ES4014</t>
  </si>
  <si>
    <t xml:space="preserve">8-Kanal-Analog-Ausgangsklemme 0…20 mA, 12 Bit, 1-Leitertechnik </t>
  </si>
  <si>
    <t>ES4018</t>
  </si>
  <si>
    <t xml:space="preserve">1-Kanal-Analog-Ausgangsklemme 4…20 mA, 12 Bit </t>
  </si>
  <si>
    <t>ES4021</t>
  </si>
  <si>
    <t xml:space="preserve">2-Kanal-Analog-Ausgangsklemme 4…20 mA, 12 Bit </t>
  </si>
  <si>
    <t>ES4022</t>
  </si>
  <si>
    <t xml:space="preserve">4-Kanal-Analog-Ausgangsklemme 4…20 mA, 12 Bit, 4 x 2-Leitertechnik </t>
  </si>
  <si>
    <t>ES4024</t>
  </si>
  <si>
    <t xml:space="preserve">8-Kanal-Analog-Ausgangsklemme 4…20 mA, 12 Bit, 1-Leitertechnik </t>
  </si>
  <si>
    <t>ES4028</t>
  </si>
  <si>
    <t xml:space="preserve">1-Kanal-Analog-Ausgangsklemme -10 V…+10 V, 12 Bit </t>
  </si>
  <si>
    <t>ES4031</t>
  </si>
  <si>
    <t xml:space="preserve">2-Kanal-Analog-Ausgangsklemme -10 V…+10 V, 12 Bit </t>
  </si>
  <si>
    <t>ES4032</t>
  </si>
  <si>
    <t>4-Kanal-Analog-Ausgangsklemme -10 V…+10 V, 12 Bit, 4 x 2-Leitertechnik</t>
  </si>
  <si>
    <t>ES4034</t>
  </si>
  <si>
    <t xml:space="preserve">8-Kanal-Analog-Ausgangsklemme -10 V…+10 V, 12 Bit, 1-Leitertechnik </t>
  </si>
  <si>
    <t>ES4038</t>
  </si>
  <si>
    <t>2-Kanal-Analog-Ausgangsklemme 0…10 V, 16 Bit</t>
  </si>
  <si>
    <t>ES4102</t>
  </si>
  <si>
    <t>4-Kanal-Analog-Ausgangsklemme 0…10 V, 16 Bit</t>
  </si>
  <si>
    <t>ES4104</t>
  </si>
  <si>
    <t>2-Kanal-Analog-Ausgangsklemme 0…20 mA, 16 Bit</t>
  </si>
  <si>
    <t>ES4112</t>
  </si>
  <si>
    <t>2-Kanal-Analog-Ausgangsklemme -10…+10 mA, 16 Bit</t>
  </si>
  <si>
    <t>4-Kanal-Analog-Ausgangsklemme 0…20 mA, 16 Bit</t>
  </si>
  <si>
    <t>ES4114</t>
  </si>
  <si>
    <t>2-Kanal-Analog-Ausgangsklemme 4…20 mA, 16 Bit</t>
  </si>
  <si>
    <t>ES4122</t>
  </si>
  <si>
    <t>4-Kanal-Analog-Ausgangsklemme 4…20 mA, 16 Bit</t>
  </si>
  <si>
    <t>ES4124</t>
  </si>
  <si>
    <t>2-Kanal-Analog-Ausgangsklemme -10 V…+10 V, 16 Bit</t>
  </si>
  <si>
    <t>ES4132</t>
  </si>
  <si>
    <t>4-Kanal-Analog-Ausgangsklemme -10 V…+10 V, 16 Bit</t>
  </si>
  <si>
    <t>ES4134</t>
  </si>
  <si>
    <t>2-Kanal-Analog-Ausgangsklemme 0…20 mA, 16 Bit, mit Oversampling</t>
  </si>
  <si>
    <t>ES4712</t>
  </si>
  <si>
    <t>2-Kanal-Analog-Ausgangsklemme -10 V…+10 V, 16 Bit, mit Oversampling</t>
  </si>
  <si>
    <t>ES4732</t>
  </si>
  <si>
    <t>1-Kanal-SSI-Geber-Interface</t>
  </si>
  <si>
    <t>ES5001</t>
  </si>
  <si>
    <t>EL5001-0011</t>
  </si>
  <si>
    <t>1-Kanal-SSI-Monitor-Klemme</t>
  </si>
  <si>
    <t>EL5002</t>
  </si>
  <si>
    <t>2-Kanal-SSI-Geber-Interface</t>
  </si>
  <si>
    <t>ES5002</t>
  </si>
  <si>
    <t>EL5021</t>
  </si>
  <si>
    <t>1-Kanal-SinCos-Encoder-Interface, 1 VSS</t>
  </si>
  <si>
    <t>ES5021</t>
  </si>
  <si>
    <t>Inkremental-Encoder-Interface mit Differenzeingängen, 16 Bit</t>
  </si>
  <si>
    <t>ES5101</t>
  </si>
  <si>
    <t>EL5101-0010</t>
  </si>
  <si>
    <t>1-Kanal-Inkremental-Encoder-Interface, 32 Bit</t>
  </si>
  <si>
    <t>ES5151</t>
  </si>
  <si>
    <t>EL5152</t>
  </si>
  <si>
    <t>2-Kanal-Inkremental-Encoder-Interface, 32 Bit</t>
  </si>
  <si>
    <t>ES5152</t>
  </si>
  <si>
    <t>ES6001</t>
  </si>
  <si>
    <t>EL6002</t>
  </si>
  <si>
    <t>2-Kanal serielle Schnittstelle RS232, D-Sub-Anschluss</t>
  </si>
  <si>
    <t>ES6021</t>
  </si>
  <si>
    <t>EL6022</t>
  </si>
  <si>
    <t>2-Kanal serielle Schnittstelle RS422/RS485, D-Sub-Anschluss</t>
  </si>
  <si>
    <t>EL6080</t>
  </si>
  <si>
    <t>EtherCAT-Speicherklemme 128 kByte</t>
  </si>
  <si>
    <t>ES6201</t>
  </si>
  <si>
    <t>Ethernet-Switchklemme, 1-Port</t>
  </si>
  <si>
    <t>Ethernet-Switchklemme, 4-Port</t>
  </si>
  <si>
    <t>EL6631</t>
  </si>
  <si>
    <t>EL6631-0010</t>
  </si>
  <si>
    <t>EL6632</t>
  </si>
  <si>
    <t>PROFINET-IRT-Controller-Klemme</t>
  </si>
  <si>
    <t>EL6688</t>
  </si>
  <si>
    <t>IEEE-1588-External-Synchronisation-Interface</t>
  </si>
  <si>
    <t>EL6851</t>
  </si>
  <si>
    <t>DMX-Masterklemme</t>
  </si>
  <si>
    <t>EL6851-0010</t>
  </si>
  <si>
    <t>DMX-Slaveklemme</t>
  </si>
  <si>
    <t>EL6900</t>
  </si>
  <si>
    <t>Schrittmotorklemme 24 V DC, 1,5 A, 2 Phasen, 2 digitale Eingänge 24 V DC</t>
  </si>
  <si>
    <t>ES7031</t>
  </si>
  <si>
    <t>Schrittmotorklemme mit Inkremental-Encoder, 50 V DC, 5 A, 2 Phasen
2 digitale Eingänge 24 V DC
4 digitale Eingänge für ein Inkremental-Encoder-Gebersystem</t>
  </si>
  <si>
    <t>ES7041</t>
  </si>
  <si>
    <t>ES7332</t>
  </si>
  <si>
    <t>ES7342</t>
  </si>
  <si>
    <t>EL9070</t>
  </si>
  <si>
    <t>Schirmklemme, 8 x Schirm</t>
  </si>
  <si>
    <t>ES9100</t>
  </si>
  <si>
    <t>ES9110</t>
  </si>
  <si>
    <t>ES9150</t>
  </si>
  <si>
    <t>ES9160</t>
  </si>
  <si>
    <t>ES9180</t>
  </si>
  <si>
    <t>EL9184</t>
  </si>
  <si>
    <t>Potenzialverteilungsklemme, 8 x 24 V DC, 8 x 0 V DC</t>
  </si>
  <si>
    <t>ES9185</t>
  </si>
  <si>
    <t>ES9186</t>
  </si>
  <si>
    <t>ES9187</t>
  </si>
  <si>
    <t>EL9188</t>
  </si>
  <si>
    <t>Potenzialverteilungsklemme, 16 x 24 V DC</t>
  </si>
  <si>
    <t>EL9189</t>
  </si>
  <si>
    <t>Potenzialverteilungsklemme, 16 x 0 V DC</t>
  </si>
  <si>
    <t>Potenzialeinspeiseklemme für beliebige Spannungen bis 230 V, ohne LED</t>
  </si>
  <si>
    <t>ES9190</t>
  </si>
  <si>
    <t>ES9195</t>
  </si>
  <si>
    <t>Netzteilklemme zur E-Bus-Auffrischung, 24 V DC, 2 A</t>
  </si>
  <si>
    <t>ES9400</t>
  </si>
  <si>
    <t>Netzteilklemme zur E-Bus-Auffrischung, 24 V DC, 2 A mit Diagnose</t>
  </si>
  <si>
    <t>ES9410</t>
  </si>
  <si>
    <t>Netzteilklemme 24 V DC, Ausgang 5 V DC, 0,5 A</t>
  </si>
  <si>
    <t>ES9505</t>
  </si>
  <si>
    <t>Netzteilklemme 24 V DC, Ausgang 8 V DC, 0,5 A</t>
  </si>
  <si>
    <t>ES9508</t>
  </si>
  <si>
    <t>Netzteilklemme 24 V DC, Ausgang 10 V DC, 0,5 A</t>
  </si>
  <si>
    <t>ES9510</t>
  </si>
  <si>
    <t>Netzteilklemme 24 V DC, Ausgang 12 V DC, 0,5 A</t>
  </si>
  <si>
    <t>ES9512</t>
  </si>
  <si>
    <t>Netzteilklemme 24 V DC, Ausgang 15 V DC, 0,5 A</t>
  </si>
  <si>
    <t>ES9515</t>
  </si>
  <si>
    <t>ES9520</t>
  </si>
  <si>
    <t>EL9540</t>
  </si>
  <si>
    <t>Surgefilter-Feldversorgung</t>
  </si>
  <si>
    <t>ES9540</t>
  </si>
  <si>
    <t>EL9550</t>
  </si>
  <si>
    <t>Surgefilter-System- und -Feldversorgung</t>
  </si>
  <si>
    <t>ES9550</t>
  </si>
  <si>
    <t>ES9560</t>
  </si>
  <si>
    <t>EL9570</t>
  </si>
  <si>
    <t>Puffer-Kondensator-Klemme</t>
  </si>
  <si>
    <t>ES9570</t>
  </si>
  <si>
    <t>CX5010-0100</t>
  </si>
  <si>
    <t>CX5010-0110</t>
  </si>
  <si>
    <t>CX5010-0111</t>
  </si>
  <si>
    <t>CX5010-0112</t>
  </si>
  <si>
    <t>CX5010-0120</t>
  </si>
  <si>
    <t>CX5010-0121</t>
  </si>
  <si>
    <t>CX5010-0122</t>
  </si>
  <si>
    <t>CX5020-0111</t>
  </si>
  <si>
    <t>CX5020-0112</t>
  </si>
  <si>
    <t>CX5020-0120</t>
  </si>
  <si>
    <t>CX5020-0121</t>
  </si>
  <si>
    <t>CX5020-0122</t>
  </si>
  <si>
    <t>CX5020-0100</t>
  </si>
  <si>
    <t>CX5020-0110</t>
  </si>
  <si>
    <t>CX1100-0014</t>
  </si>
  <si>
    <t>EM2042</t>
  </si>
  <si>
    <t>EM7004-0000</t>
  </si>
  <si>
    <t>EM7004-0002</t>
  </si>
  <si>
    <t>EM7004-0004</t>
  </si>
  <si>
    <t>16-Kanal-Digital-Ausgang 24 V, 0,5 A, D-Sub-Anschluss</t>
  </si>
  <si>
    <t>4-Achs-Interface, ohne Stecker</t>
  </si>
  <si>
    <t>4-Achs-Interface, 1-Leiterstecker mit LEDs</t>
  </si>
  <si>
    <t>4-Achs-Interface, 3-Leiterstecker mit LEDs</t>
  </si>
  <si>
    <t>EL7201</t>
  </si>
  <si>
    <t>EK1914</t>
  </si>
  <si>
    <t>EK1541</t>
  </si>
  <si>
    <t>EK1561</t>
  </si>
  <si>
    <t>EL1004-0020</t>
  </si>
  <si>
    <t>EL2535-0002</t>
  </si>
  <si>
    <t>EL2535-0050</t>
  </si>
  <si>
    <t>EL2798</t>
  </si>
  <si>
    <t>EL3202-0020</t>
  </si>
  <si>
    <t>EL3314-0010</t>
  </si>
  <si>
    <t>EL3356-0010</t>
  </si>
  <si>
    <t>EL3413</t>
  </si>
  <si>
    <t>EL3433</t>
  </si>
  <si>
    <t>EL3773</t>
  </si>
  <si>
    <t>EL9181</t>
  </si>
  <si>
    <t>EL9182</t>
  </si>
  <si>
    <t>EL9183</t>
  </si>
  <si>
    <t>CX2100-0004</t>
  </si>
  <si>
    <t>CX2100-0904</t>
  </si>
  <si>
    <t>CX2100-0914</t>
  </si>
  <si>
    <t>2-Kanal-Pulsweitenstromklemme 24 V DC, 2 A</t>
  </si>
  <si>
    <t>2-Kanal-Pulsweitenstromklemme 24 V DC, 50 mA</t>
  </si>
  <si>
    <t>4-Kanal-Eingangsklemme Thermoelement, voreingestellt auf Typ K, mit Drahtbruchmeldung, 24 Bit, hochpräzise</t>
  </si>
  <si>
    <t>1-Kanal-Eingangsklemme, präzise Wägezellenauswertung (Widerstandsbrücke), 24 Bit</t>
  </si>
  <si>
    <t>3-Phasen-Leistungsmessklemme, max. 500 V AC 3~, max. 10 A</t>
  </si>
  <si>
    <t>Netzmonitoring-Oversampling-Klemme</t>
  </si>
  <si>
    <t>Potenzialverteilerklemme mit 16 Klemmstellen, max. 60 V AC/DC, Powerkontakte getunnelt,
2 getrennte Potenziale mit 8 Klemmstellen pro Potenzial</t>
  </si>
  <si>
    <t>Potenzialverteilerklemme mit 16 Klemmstellen, max. 60 V AC/DC, Powerkontakte getunnelt,
8 getrennte Potenziale mit 2 Klemmstellen pro Potenzial</t>
  </si>
  <si>
    <t>Potenzialverteilerklemme mit 16 Klemmstellen, max. 60 V AC/DC, Powerkontakte getunnelt,
1 getrenntes Potenzial mit 16 Klemmstellen</t>
  </si>
  <si>
    <t>4-Kanal-Digital-Eingangsklemme 24 V DC, Trennspannung &gt; 2500 V, Filter 3,0 ms, 2-Leitertechnik</t>
  </si>
  <si>
    <t>1-Port-EtherCAT-POF-Abzweig</t>
  </si>
  <si>
    <t>EtherCAT-Koppler mit ID-Switch, POF-Anschluss für E-Bus-Klemmen (ELxxxx)</t>
  </si>
  <si>
    <t>CX8010</t>
  </si>
  <si>
    <t>CX8031</t>
  </si>
  <si>
    <t>CX8051</t>
  </si>
  <si>
    <t>CX8090</t>
  </si>
  <si>
    <t>CX8093</t>
  </si>
  <si>
    <t>CX8095</t>
  </si>
  <si>
    <t>EK1101-0080</t>
  </si>
  <si>
    <t>EK1122-0080</t>
  </si>
  <si>
    <t>EK1814</t>
  </si>
  <si>
    <t>EK1818</t>
  </si>
  <si>
    <t>EK1828</t>
  </si>
  <si>
    <t>EK1828-0010</t>
  </si>
  <si>
    <t>EL1258</t>
  </si>
  <si>
    <t>EL1259</t>
  </si>
  <si>
    <t>EL1262-0050</t>
  </si>
  <si>
    <t>EL2258</t>
  </si>
  <si>
    <t>EL3204-0200</t>
  </si>
  <si>
    <t>EL6930</t>
  </si>
  <si>
    <t>EtherCAT-Koppler mit ID-Switch für E-Bus-Klemmen (ELxxxx), Fast-Hot-Connect</t>
  </si>
  <si>
    <t>2-Port-EtherCAT-Abzweig, Fast-Hot-Connect</t>
  </si>
  <si>
    <t>8-Kanal-Digital-Eingangsklemme 24 V DC, Filter 1 µs, Typ 3,
+ 8-Kanal-Digital-Ausgangsklemme 24 V DC, 0,5 A, 1-Leitertechnik, Time-Stamp</t>
  </si>
  <si>
    <t>1-Port-EtherCAT-Singlemode-LWL-Abzweig, Länge zwischen Stationen bis zu 20 km</t>
  </si>
  <si>
    <t>EtherCAT-„Compact“-Koppler zwischen EtherCAT-Klemmen (E-Bus) und Busklemmen (K-Bus), Adapterklemme</t>
  </si>
  <si>
    <t>2-Kanal-Digital-Eingangsklemme 24 V DC, Filter 3,0 ms, 4-Leitertechnik</t>
  </si>
  <si>
    <t>4-Kanal-Digital-Eingangsklemme 24 V DC für Typ-2-Sensoren, IEC 61131-2, Filter 3,0 ms, 
2-Leitertechnik</t>
  </si>
  <si>
    <t>4-Kanal-Digital-Eingangsklemme 24 V DC für Typ-1-Sensoren, IEC 61131-2,
potenzialfreie Eingänge, Filter 10 µs, 2-Leitertechnik</t>
  </si>
  <si>
    <t>4-Kanal-Digital-Eingangsklemme 24 V DC, Filter 3,0 ms,
2 Eingänge 3-Leitertechnik, 2 Eingänge 1-Leitertechnik</t>
  </si>
  <si>
    <t>4-Kanal-Digital-Eingangsklemme 24 V DC, Filter 10 µs
2 Eingänge 3-Leitertechnik, 2 Eingänge 1-Leitertechnik</t>
  </si>
  <si>
    <t>4-Kanal-Digital-Eingangsklemme 48 V DC, Filter 10 µs
2 Eingänge 3-Leitertechnik, 2 Eingänge 1-Leitertechnik</t>
  </si>
  <si>
    <t>4-Kanal-Digital-Eingangsklemme 12 V DC, Filter 10 µs,
2 Eingänge 3-Leitertechnik, 2 Eingänge, 1-Leitertechnik</t>
  </si>
  <si>
    <t>8-Kanal-Digital-Eingangsklemme 24 V DC, Filter 3,0 ms, Typ 3,
+ 8-Kanal-Digital-Ausgangsklemme 24 V DC, 0,5 A, 1-Leitertechnik</t>
  </si>
  <si>
    <t>2-Kanal-Digital-Ausgangsklemme 24 V DC, 0,5 A, 4-Leitertechnik</t>
  </si>
  <si>
    <t>8-Kanal-Digital-Ausgangsklemme 24 V DC, 0,5 A, 1-Leitertechnik</t>
  </si>
  <si>
    <t>2-Kanal-Digital-Ausgangsklemme 24 V DC, 2 A, mit Diagnose, 4-Leitertechnik</t>
  </si>
  <si>
    <t>8-Kanal-Digital-Ausgangsklemme 24 V DC, 0,5 A, N-schaltend, 1-Leitertechnik</t>
  </si>
  <si>
    <t>4-Kanal-Digital-Ausgangsklemme 5 V DC, 0,02 A,
2 Ausgänge 3-Leitertechnik, 2 Ausgänge 1-Leitertechnik</t>
  </si>
  <si>
    <t>8-Kanal-Digital-Ausgangsklemme 24 V DC, 0,5 A, 2-Leitertechnik, schnelle Ausgänge mit Time-Stamp</t>
  </si>
  <si>
    <t>2-Kanal-Digital-Ausgangsklemme 24 V DC, 0,5 A, 4-Leitertechnik, schnelle Ausgänge mit 
Oversampling</t>
  </si>
  <si>
    <t>2-Kanal-Relais-Ausgangsklemme 230 V AC, 2 A, potenzialfreie Schließer,
ohne Powerkontakte</t>
  </si>
  <si>
    <t>5-Kanal-Analog-Eingangsklemme, Potentiometerauswertung mit 10 V Sensorversorgung, 
3-Leitertechnik</t>
  </si>
  <si>
    <t>3-Phasen-Leistungsmessklemme, max. 500 V AC 3~, je ein Stromeingang
mit 10-, 100-, 1000-mA-Messbereich</t>
  </si>
  <si>
    <t>Inkremental-Encoder-Interface mit Differenzeingängen, 16 Bit, 20 Mio. Inkremente/s</t>
  </si>
  <si>
    <t>TwinSAFE/PROFIsafe-Logic- und -Gateway-Klemme</t>
  </si>
  <si>
    <t>Netzteilklemme 24 V DC, Ausgang 24 V DC, 0,1 A, galvanisch getrennte Ausgangsspannung</t>
  </si>
  <si>
    <t>CX9020-0110</t>
  </si>
  <si>
    <t>CX9020-0111</t>
  </si>
  <si>
    <t>CX9020-0112</t>
  </si>
  <si>
    <t>CX2100-0014</t>
  </si>
  <si>
    <t>EK1960</t>
  </si>
  <si>
    <t>EL2595</t>
  </si>
  <si>
    <t>EL2828</t>
  </si>
  <si>
    <t>EL2901</t>
  </si>
  <si>
    <t>EL3602-0002</t>
  </si>
  <si>
    <t>EL5032</t>
  </si>
  <si>
    <t>EL6652-0010</t>
  </si>
  <si>
    <t>EL7201-0010</t>
  </si>
  <si>
    <t>1-Kanal-LED-Konstantstromklemme, 48 V DC, 700 mA, regelbar, 2-Leitertechnik</t>
  </si>
  <si>
    <t>8-Kanal-Digital-Ausgangsklemme 24 V DC, 2 A, Summenstrom 10 A, 2-Leitertechnik</t>
  </si>
  <si>
    <t>Potenzialeinspeiseklemme, TwinSAFE, 24 V DC, 10 A</t>
  </si>
  <si>
    <t>2-Kanal-EnDat-2.2-Interfaceklemme</t>
  </si>
  <si>
    <t>EtherNet/IP-Slaveklemme</t>
  </si>
  <si>
    <t>EL2652</t>
  </si>
  <si>
    <t>2-Kanal-Relais-Ausgangsklemme 230 V AC/300 V DC, 1 A, potenzialfreie Wechsler</t>
  </si>
  <si>
    <t>ES2652</t>
  </si>
  <si>
    <t>EL2819</t>
  </si>
  <si>
    <t>16-Kanal-Digital-Ausgangsklemme 24 V DC, 0,5 A, 1-Leitertechnik, mit Diagnose</t>
  </si>
  <si>
    <t>EL6070</t>
  </si>
  <si>
    <t>EL6090</t>
  </si>
  <si>
    <t>Displayklemme mit Navigationstaster und Betriebsstundenzähler</t>
  </si>
  <si>
    <t>EL7211</t>
  </si>
  <si>
    <t>EL7211-0010</t>
  </si>
  <si>
    <t>8-channel digital input terminal 24 V DC, filter 3.0 ms, type 3,
+ 8-channel digital output terminal 24 V DC, 0.5 A, 1-wire system</t>
  </si>
  <si>
    <t>16-channel digital input terminal 24 V DC, filter 3.0 ms, flat-ribbon cable connection, type 3</t>
  </si>
  <si>
    <t>16-channel digital input terminal 24 V DC, filter 3.0 ms, flat-ribbon cable connection, switching to ground potential</t>
  </si>
  <si>
    <t>16-channel digital input terminal 24 V DC, filter 10 µs, flat-ribbon cable connection, type 3</t>
  </si>
  <si>
    <t>16-channel digital input terminal 24 V DC, filter 3.0 ms, switching to ground potential</t>
  </si>
  <si>
    <t>4-channel digital input terminal, TwinSAFE, 24 V DC</t>
  </si>
  <si>
    <t>2-channel digital output terminal 24 V DC, 0.5 A, 4-wire system</t>
  </si>
  <si>
    <t>4-channel digital output terminal 24 V DC, 0.5 A, 2-wire system</t>
  </si>
  <si>
    <t>8-channel digital output terminal 24 V DC, 0.5 A, 1-wire system</t>
  </si>
  <si>
    <t>2-channel digital output terminal 24 V DC, 2 A, 4-wire system</t>
  </si>
  <si>
    <t>4-channel digital output terminal 24 V DC, 2 A, 2-wire system</t>
  </si>
  <si>
    <t>4-channel digital output terminal 12 V DC, 2 A, 2-wire system</t>
  </si>
  <si>
    <t>2-channel digital output terminal 24 V DC, 2 A, with diagnostics, 4-wire system</t>
  </si>
  <si>
    <t xml:space="preserve">4-channel digital output terminal 24 V DC, 2 A, with diagnostics, 2-wire system </t>
  </si>
  <si>
    <t>2-channel digital output terminal 24 V DC, 2 x 4 A/1 x 8 A, 3-wire system</t>
  </si>
  <si>
    <t>4-channel digital output terminal 24 V DC, negative switching, 0.5 A, 2-wire system</t>
  </si>
  <si>
    <t>8-channel digital output terminal 24 V DC, 0.5 A, negative switching, 1-wire system</t>
  </si>
  <si>
    <t>4-channel digital output terminal 5 V DC, 0.02 A,
2 outputs 3-wire system, 2 outputs 1-wire system</t>
  </si>
  <si>
    <t>2-channel digital output terminal 24 V DC, TON/TOFF 1 μs, push-pull outputs</t>
  </si>
  <si>
    <t>2-channel digital output terminal 24…72 V DC with overexcitation, multi-timestamp</t>
  </si>
  <si>
    <t>2-channel digital output terminal 24 V DC, 0.5 A, 4-wire system, high-speed outputs with time stamp</t>
  </si>
  <si>
    <t>8-channel digital output terminal 24 V DC, 0.5 A, 2-wire system, high-speed outputs with time stamp</t>
  </si>
  <si>
    <t>2-channel digital output terminal 24 V DC, 0.5 A, 4-wire system, high-speed outputs with oversampling</t>
  </si>
  <si>
    <t>2-channel pulse width output terminal 24 V DC, 1 A, 4-wire system</t>
  </si>
  <si>
    <t>1-channel pulse train output terminal, 2 RS422 outputs (5 V level)</t>
  </si>
  <si>
    <t>1-channel pulse train output terminal, 2 outputs 24 V DC (supplied from an external source)</t>
  </si>
  <si>
    <t>1-channel pulse train output terminal, 24 V DC (supplied from an external source), negative switching</t>
  </si>
  <si>
    <t>2-channel pulse width current terminal 24 V DC, 1 A</t>
  </si>
  <si>
    <t>2-channel pulse width current terminal 24 V DC, 2 A</t>
  </si>
  <si>
    <t>2-channel pulse width current terminal 24 V DC, 50 mA</t>
  </si>
  <si>
    <t>2-channel pulse width current terminal 50 V DC, 3.5 A</t>
  </si>
  <si>
    <t>1-channel LED constant current terminal, 48 V DC, 700 mA, adjustable, 2-wire system</t>
  </si>
  <si>
    <t>2-channel relay output terminal 230 V AC, 5 A, make contacts, 4-wire system</t>
  </si>
  <si>
    <t>2-channel relay output terminal 125 V AC, 2 A, potential-free change-over, 4-wire system,
no power contacts</t>
  </si>
  <si>
    <t>2-channel relay output terminal 230 V AC, 2 A, potential-free make contacts,
no power contacts</t>
  </si>
  <si>
    <t>4-channel relay output terminal 125 V AC/30 V DC, 0.5 A AC/2 A DC, potential-free make contacts</t>
  </si>
  <si>
    <t>2-channel relay output terminal 230 V AC/300 V DC, 1 A, isolated change-over</t>
  </si>
  <si>
    <t>2-channel triac output terminal 12…230 V AC, 0.5 A, 4-wire system</t>
  </si>
  <si>
    <t>2-channel triac output terminal 12…230 V AC, 1 A with mutually locked outputs</t>
  </si>
  <si>
    <t>2-channel triac output terminal 12…230 V AC, 0.5 A, no power contacts</t>
  </si>
  <si>
    <t>8-channel digital output terminal 24 V DC, 0.5 A with polarity protection, 2-wire system</t>
  </si>
  <si>
    <t>16-channel digital output terminal 24 V DC, 0.5 A, 1-wire system</t>
  </si>
  <si>
    <t>16-channel digital output terminal 24 V DC, 0.5 A, 1-wire system, with diagnostics</t>
  </si>
  <si>
    <t>8-channel digital output terminal 24 V DC, 2 A, total current 10 A, 2-wire system</t>
  </si>
  <si>
    <t>16-channel digital output terminal 24 V DC, 0.5 A, flat-ribbon cable connection</t>
  </si>
  <si>
    <t>16-channel digital output terminal 24 V DC, 0.5 A, flat-ribbon cable connection, switching to ground potential</t>
  </si>
  <si>
    <t>16-channel digital output terminal 24 V DC, 0.5 A, switching to ground potential</t>
  </si>
  <si>
    <t>Potential supply terminal, TwinSAFE, 24 V DC, 10 A</t>
  </si>
  <si>
    <t>2-channel digital output terminal, TwinSAFE, 24 V DC, 2.3 A</t>
  </si>
  <si>
    <t>4-channel digital output terminal, TwinSAFE, 24 V DC, 0.5 A</t>
  </si>
  <si>
    <t>1-channel analog input terminal -10 V…+10 V, single-ended, 12 bit</t>
  </si>
  <si>
    <t xml:space="preserve">2-channel analog input terminal -10 V…+10 V, single-ended, 12 bit </t>
  </si>
  <si>
    <t xml:space="preserve">4-channel analog input terminal -10 V…+10 V, single-ended, 12 bit, 4 x 2-wire system </t>
  </si>
  <si>
    <t xml:space="preserve">8-channel analog input terminal -10 V…+10 V, single-ended, 12 bit, 1-wire system </t>
  </si>
  <si>
    <t>1-channel analog input terminal 0…20 mA, differential input, 12 bit</t>
  </si>
  <si>
    <t xml:space="preserve">2-channel analog input terminal 0…20 mA, differential input, 12 bit </t>
  </si>
  <si>
    <t>4-channel analog input terminal 0…20 mA, differential input, 12 bit</t>
  </si>
  <si>
    <t>1-channel analog input terminal 4…20 mA, differential input, 12 bit</t>
  </si>
  <si>
    <t xml:space="preserve">2-channel analog input terminal 4…20 mA, differential input, 12 bit </t>
  </si>
  <si>
    <t>4-channel analog input terminal 4…20 mA, differential input, 12 bit</t>
  </si>
  <si>
    <t>1-channel analog supply terminal 0…20 mA, single-ended, 12 bit</t>
  </si>
  <si>
    <t>2-channel analog supply terminal 0…20 mA, single-ended, 12 bit</t>
  </si>
  <si>
    <t>4-channel analog input terminal 0…20 mA, single-ended, 12 bit,  4 x 2-wire system</t>
  </si>
  <si>
    <t>8-channel analog input terminal 0…20 mA, single-ended, 12 bit, 1-wire system</t>
  </si>
  <si>
    <t>1-channel analog supply terminal 4…20 mA, single-ended, 12 bit</t>
  </si>
  <si>
    <t>2-channel analog supply terminal 4…20 mA, single-ended, 12 bit</t>
  </si>
  <si>
    <t xml:space="preserve">4-channel analog input terminal 4…20 mA, single-ended, 12 bit, 4 x 2-wire system </t>
  </si>
  <si>
    <t>8-channel analog input terminal 4…20 mA, single-ended, 12 bit, 1-wire system</t>
  </si>
  <si>
    <t xml:space="preserve">1-channel analog input terminal 0…10 V, single-ended, 12 bit </t>
  </si>
  <si>
    <t xml:space="preserve">2-channel analog input terminal 0…10 V, single-ended, 12 bit </t>
  </si>
  <si>
    <t>2-channel analog input terminal 0…30 V, single-ended, 12 bit</t>
  </si>
  <si>
    <t>4-channel analog input terminal 0…10 V, single-ended, 12 bit, 4 x 2-wire system</t>
  </si>
  <si>
    <t>8-channel analog input terminal 0…10 V, single-ended, 12 bit, 1-wire system</t>
  </si>
  <si>
    <t>1-channel analog input terminal -10 V…+10 V, differential input, 16 bit</t>
  </si>
  <si>
    <t>2-channel analog input terminal -10 V…+10 V, differential input, 16 bit</t>
  </si>
  <si>
    <t>4-channel analog input terminal -10 V…+10 V, differential input, 16 bit</t>
  </si>
  <si>
    <t>1-channel analog input terminal 0…20 mA, differential input, 16 bit</t>
  </si>
  <si>
    <t>2-channel analog input terminal 0…20 mA, differential input, 16 bit</t>
  </si>
  <si>
    <t>4-channel analog input terminal 0…20 mA, differential input, 16 bit</t>
  </si>
  <si>
    <t>1-channel analog input terminal 4…20 mA, differential input, 16 bit</t>
  </si>
  <si>
    <t>2-channel analog input terminal 4…20 mA, differential input, 16 bit</t>
  </si>
  <si>
    <t>4-channel analog input terminal 4…20 mA, differential input, 16 bit</t>
  </si>
  <si>
    <t xml:space="preserve">1-channel analog supply terminal 0…20 mA, single-ended, 16 bit </t>
  </si>
  <si>
    <t xml:space="preserve">2-channel analog supply terminal 0…20 mA, single-ended, 16 bit </t>
  </si>
  <si>
    <t xml:space="preserve">2-channel analog supply terminal signal current ±10 mA, single-ended, 16 bit </t>
  </si>
  <si>
    <t>4-channel analog input terminal 0…20 mA, single-ended, 16 bit, 4 x 2-wire system</t>
  </si>
  <si>
    <t xml:space="preserve">1-channel analog supply terminal 4…20 mA, single-ended, 16 bit </t>
  </si>
  <si>
    <t xml:space="preserve">2-channel analog supply terminal 4…20 mA, single-ended, 16 bit </t>
  </si>
  <si>
    <t xml:space="preserve">4-channel analog input terminal 4…20 mA, single-ended, 16 bit, 4 x 2-wire system </t>
  </si>
  <si>
    <t>1-channel analog input terminal 0…10 V, single-ended, 16 bit</t>
  </si>
  <si>
    <t>2-channel analog input terminal 0…10 V, single-ended, 16 bit</t>
  </si>
  <si>
    <t>4-channel analog input terminal 0…10 V, single-ended, 16 bit, 4 x 2-wire system</t>
  </si>
  <si>
    <t>1-channel input terminal PT100 (RTD) for resistance sensors, 16 bit, 4-wire system</t>
  </si>
  <si>
    <t>1-channel input terminal PT100 (RTD) for 2-, 3- or 4-wire connection, 16 bit, high-precision</t>
  </si>
  <si>
    <t>2-channel input terminal PT100 (RTD)  for resistance sensors, 16 bit, 2-, 3-wire system</t>
  </si>
  <si>
    <t>2-channel input terminal PT100 (RTD) for 4-wire connection, high-precision</t>
  </si>
  <si>
    <t>2-channel input terminal PT100 (RTD) for 4-wire connection, 16 bit, high-precision, with calibration certificate</t>
  </si>
  <si>
    <t>4-channel input terminal PT100 (RTD) for resistance sensors, 16 bit, 2-wire system</t>
  </si>
  <si>
    <t>5-channel analog input terminal, potentiometer measurement with 10 V sensor supply, 3-wire system</t>
  </si>
  <si>
    <t>1-channel thermocouple input terminal, preset to type K, with wire breakage detection, 16 bit</t>
  </si>
  <si>
    <t>2-channel thermocouple input terminal, preset to type K, with wire breakage detection, 16 bit</t>
  </si>
  <si>
    <t>4-channel thermocouple input terminal, preset to type K, with wire breakage detection, 16 bit</t>
  </si>
  <si>
    <t>4-channel thermocouple input terminal, preset to type K, with wire breakage detection, 24 bit, high-precision</t>
  </si>
  <si>
    <t>8-channel thermocouple input terminal, preset to type K, with wire breakage detection, 16 bit</t>
  </si>
  <si>
    <t>1-channel resistor bridge input terminal (strain gauge), 16 bit</t>
  </si>
  <si>
    <t>1-channel input terminal, accurate resistance bridge evaluation, with self-calibration, 16 bit</t>
  </si>
  <si>
    <t>1-channel input terminal, precise load cell analysis (resistor bridge), 24 bit</t>
  </si>
  <si>
    <t>3-phase power measurement terminal, max. 500 V AC 3~, max. 1 A, 
via measuring transformers x A/1A</t>
  </si>
  <si>
    <t>3-phase power measurement terminal, max. 500 V AC 3~, max. 5 A, 
via measuring transformers x A/5A</t>
  </si>
  <si>
    <t>3-phase power measurement terminal, max. 500 V AC 3~, 100 mA</t>
  </si>
  <si>
    <t>3-phase power measurement terminal, max. 500 V AC 3~, one current
input for each measurement range: 10, 100 and 1000 mA</t>
  </si>
  <si>
    <t>3-phase power measurement terminal, max. 690 V AC 3~, max. 5 A, 
via measuring transformers x A/5 A, galvanically isolated current inputs, harmonic analysis</t>
  </si>
  <si>
    <t>3-phase power measurement terminal, max. 500 V AC 3~, max. 10 A</t>
  </si>
  <si>
    <t>2-channel analog input terminal -10…+10 V, differential inputs, 24 bit</t>
  </si>
  <si>
    <t>2-channel analog input terminal ±200 mV, differential input, 24 bit</t>
  </si>
  <si>
    <t>2-channel analog input terminal -75…+75 mV, differential input, 24 bit</t>
  </si>
  <si>
    <t>2-channel analog input terminal 0…20 mA, differential input, 24 bit</t>
  </si>
  <si>
    <t>2-channel analog input terminal, ±5 V, for Condition Monitoring (IEPE)</t>
  </si>
  <si>
    <t>Digital multimeter terminal</t>
  </si>
  <si>
    <t>2-channel resistance measurement terminal 10 mΩ…10 MΩ, high-precision</t>
  </si>
  <si>
    <t>2-channel analog input terminal -10 V…+10 V, differential inputs, 16 bit, oversampling</t>
  </si>
  <si>
    <t>2-channel analog input terminal 0…20 mA, differential inputs, 16 bit, oversampling</t>
  </si>
  <si>
    <t>Power monitoring oversampling terminal</t>
  </si>
  <si>
    <t xml:space="preserve">1-channel analog output terminal 0…10 V, 12 bit </t>
  </si>
  <si>
    <t xml:space="preserve">2-channel analog output terminal 0…10 V, 12 bit </t>
  </si>
  <si>
    <t>4-channel analog output terminal 0…10 V, 12 bit, 4 x 2-wire system</t>
  </si>
  <si>
    <t>8-channel analog output terminal 0…10 V, 12 bit, 1-wire system</t>
  </si>
  <si>
    <t xml:space="preserve">1-channel analog output terminal 0…20 mA, 12 bit </t>
  </si>
  <si>
    <t xml:space="preserve">2-channel analog output terminal 0…20 mA, 12 bit </t>
  </si>
  <si>
    <t>4-channel analog output terminal 0…20 mA, 12 bit, 4 x 2-wire system</t>
  </si>
  <si>
    <t xml:space="preserve">8-channel analog output terminal 0…20 mA, 12 bit, 1-wire system </t>
  </si>
  <si>
    <t xml:space="preserve">1-channel analog output terminal 4…20 mA, 12 bit </t>
  </si>
  <si>
    <t xml:space="preserve">2-channel analog output terminal 4…20 mA, 12 bit </t>
  </si>
  <si>
    <t xml:space="preserve">4-channel analog output terminal 4…20 mA, 12 bit, 4 x 2-wire system </t>
  </si>
  <si>
    <t xml:space="preserve">8-channel analog output terminal 4…20 mA, 12 bit, 1-wire system </t>
  </si>
  <si>
    <t xml:space="preserve">1-channel analog output terminal -10 V…+10 V, 12 bit </t>
  </si>
  <si>
    <t xml:space="preserve">2-channel analog output terminal -10 V…+10 V, 12 bit </t>
  </si>
  <si>
    <t>4-channel analog output terminal -10 V…+10 V, 12 bit, 4 x 2-wire system</t>
  </si>
  <si>
    <t xml:space="preserve">8-channel analog output terminal -10 V…+10 V, 12 bit, 1-wire system </t>
  </si>
  <si>
    <t>2-channel analog output terminal 0…10 V, 16 bit</t>
  </si>
  <si>
    <t>4-channel analog output terminal 0…10 V, 16 bit</t>
  </si>
  <si>
    <t>2-channel analog output terminal 0…20 mA, 16 bit</t>
  </si>
  <si>
    <t>2-channel analog output terminal -10…+10 mA, 16 bit</t>
  </si>
  <si>
    <t>4-channel analog output terminal 0…20 mA, 16 bit</t>
  </si>
  <si>
    <t>2-channel analog output terminal 4…20 mA, 16 bit</t>
  </si>
  <si>
    <t>4-channel analog output terminal 4…20 mA, 16 bit</t>
  </si>
  <si>
    <t>2-channel analog output terminal -10 V…+10 V, 16 bit</t>
  </si>
  <si>
    <t>4-channel analog output terminal -10 V…+10 V, 16 bit</t>
  </si>
  <si>
    <t>2-channel analog output terminal 0…20 mA, 16 bit, with oversampling</t>
  </si>
  <si>
    <t>2-channel analog output terminal -10 V…+10 V, 16 bit, with oversampling</t>
  </si>
  <si>
    <t>1-channel SSI encoder interface</t>
  </si>
  <si>
    <t>1-channel SSI monitor terminal</t>
  </si>
  <si>
    <t>2-channel SSI encoder interface</t>
  </si>
  <si>
    <t>1-channel SinCos encoder interface, 1 VSS</t>
  </si>
  <si>
    <t>2-channel EnDat 2.2 interface terminal</t>
  </si>
  <si>
    <t>Incremental encoder interface with differential input, 16 bit</t>
  </si>
  <si>
    <t>Incremental encoder interface with differential input, 16 bit, 20 million increments/s</t>
  </si>
  <si>
    <t>1-channel incremental encoder interface, 32 bit</t>
  </si>
  <si>
    <t>2-channel incremental encoder interface, 32 bit</t>
  </si>
  <si>
    <t>Serial interface RS232</t>
  </si>
  <si>
    <t>2-channel serial interfaces RS232, D-sub connection</t>
  </si>
  <si>
    <t>Serial interface RS422/RS485</t>
  </si>
  <si>
    <t>2-channel serial interfaces RS422/RS485, D-sub connection</t>
  </si>
  <si>
    <t>EtherCAT memory terminal 128 kbyte</t>
  </si>
  <si>
    <t>Display terminal with navigation switch and operating hours counter</t>
  </si>
  <si>
    <t>AS-interface master terminal</t>
  </si>
  <si>
    <t>IO-Link terminal</t>
  </si>
  <si>
    <t>1-port Ethernet Switch terminal</t>
  </si>
  <si>
    <t>4-port Ethernet Switch terminal</t>
  </si>
  <si>
    <t>PROFINET IRT controller terminal</t>
  </si>
  <si>
    <t xml:space="preserve">EtherNet/IP slave terminal </t>
  </si>
  <si>
    <t>IEEE 1588 external synchronisation interface</t>
  </si>
  <si>
    <t>EtherCAT bridge terminal</t>
  </si>
  <si>
    <t>Lightbus master terminal</t>
  </si>
  <si>
    <t>PROFIBUS master terminal</t>
  </si>
  <si>
    <t>PROFIBUS slave terminal</t>
  </si>
  <si>
    <t>Interbus slave terminal</t>
  </si>
  <si>
    <t>CANopen master terminal</t>
  </si>
  <si>
    <t>CANopen slave terminal</t>
  </si>
  <si>
    <t>DeviceNet master terminal</t>
  </si>
  <si>
    <t>DeviceNet slave terminal</t>
  </si>
  <si>
    <t>DMX master terminal</t>
  </si>
  <si>
    <t>DMX slave terminal</t>
  </si>
  <si>
    <t>TwinSAFE/PROFIsafe logic and gateway terminal</t>
  </si>
  <si>
    <t>2-channel DC motor output stage 24 V DC, 1 A</t>
  </si>
  <si>
    <t>2-channel DC motor output stage 50 V DC, 3.5 A</t>
  </si>
  <si>
    <t>Bus end cap</t>
  </si>
  <si>
    <t>Shield terminal, 8 x shield</t>
  </si>
  <si>
    <t>Isolation terminal</t>
  </si>
  <si>
    <t>Passive potential feed terminal, 24 V DC</t>
  </si>
  <si>
    <t>Power supply terminal with diagnostics, 24 V DC</t>
  </si>
  <si>
    <t>Power supply terminal, 230 V AC</t>
  </si>
  <si>
    <t>Power supply terminal with diagnostics, 230 V AC</t>
  </si>
  <si>
    <t>Potential distribution terminal with 2 clamps per power contact</t>
  </si>
  <si>
    <t>Potential distribution terminal, 8 x 24 V DC, 8 x 0 V DC</t>
  </si>
  <si>
    <t>Potential distribution terminal with 4 clamps per power contact</t>
  </si>
  <si>
    <t>Potential distribution terminal, 8 x 24 V DC</t>
  </si>
  <si>
    <t>Potential distribution terminal, 8 x 0 V</t>
  </si>
  <si>
    <t>Potential distribution terminal, 16 x 24 V DC</t>
  </si>
  <si>
    <t>Potential distribution terminal, 16 x 0 V DC</t>
  </si>
  <si>
    <t>Power supply terminal for any voltage up to 230 V, without LED</t>
  </si>
  <si>
    <t>Shield terminal</t>
  </si>
  <si>
    <t>Power supply terminal with fuse, 24 V DC</t>
  </si>
  <si>
    <t>Power supply terminal with fuse and diagnostics, 24 V DC</t>
  </si>
  <si>
    <t>Power supply terminal with fuse, 125 V AC...230 V AC</t>
  </si>
  <si>
    <t>Power supply terminal with fuse and diagnostics, 230 V AC</t>
  </si>
  <si>
    <t>Power supply terminal, up to 400 V AC</t>
  </si>
  <si>
    <t>Power supply terminal for E-bus, 24 V DC, 2 A</t>
  </si>
  <si>
    <t>Power supply terminal for E-bus, 24 V DC, 2 A with diagnostics</t>
  </si>
  <si>
    <t>Power supply unit terminal 24 V DC, output 5 V DC, 0.5 A</t>
  </si>
  <si>
    <t>Power supply unit terminal 24 V DC, output 8 V DC, 0.5 A</t>
  </si>
  <si>
    <t>Power supply unit terminal 24 V DC, output 10 V DC, 0.5 A</t>
  </si>
  <si>
    <t>Power supply unit terminal 24 V DC, output 12 V DC, 0.5 A</t>
  </si>
  <si>
    <t>Power supply unit terminal 24 V DC, output 15 V DC, 0.5 A</t>
  </si>
  <si>
    <t>AS interface potential feed terminal with filter</t>
  </si>
  <si>
    <t>Surge filter field supply</t>
  </si>
  <si>
    <t>Surge filter system and field supply</t>
  </si>
  <si>
    <t>Power supply terminal 24 V DC, output 24 V DC, 0.1 A</t>
  </si>
  <si>
    <t>Buffer capacitor terminal</t>
  </si>
  <si>
    <t>16-channel digital output 24 V, 0.5 A, D-sub connection</t>
  </si>
  <si>
    <t>4-axis interface, without connector</t>
  </si>
  <si>
    <t>4-axis interface, 1-wire connector with LEDs</t>
  </si>
  <si>
    <t>4-axis interface, 3-wire connector with LEDs</t>
  </si>
  <si>
    <t>EtherCAT Coupler for E-bus terminals (ELxxxx)</t>
  </si>
  <si>
    <t>EtherCAT Coupler with ID switch for E-bus terminals (ELxxxx)</t>
  </si>
  <si>
    <t>EtherCAT Coupler with ID switch for E-bus terminals (ELxxxx), Fast Hot Connect</t>
  </si>
  <si>
    <t>EtherCAT extension</t>
  </si>
  <si>
    <t>2-port EtherCAT junction</t>
  </si>
  <si>
    <t>2-port EtherCAT junction, Fast Hot Connect</t>
  </si>
  <si>
    <t>EtherCAT Coupler with ID switch, multimode fibre optic for E-bus terminals (ELxxxx)</t>
  </si>
  <si>
    <t>1-port EtherCAT multi-mode fibre optic junction</t>
  </si>
  <si>
    <t>1-port EtherCAT singlemode fibre optic junction, distance between stations up to 20 km</t>
  </si>
  <si>
    <t>EtherCAT Coupler with ID switch, plastic optical fibre for E-bus terminals (ELxxxx)</t>
  </si>
  <si>
    <t>1-port EtherCAT plastic optical fibre junction</t>
  </si>
  <si>
    <t>PROFIBUS Bus Coupler for EtherCAT Terminals (ELxxxx)</t>
  </si>
  <si>
    <t>Ethernet Bus Coupler for EtherCAT Terminals (ELxxxx)</t>
  </si>
  <si>
    <t>EtherNet/IP Bus Coupler for EtherCAT Terminals (ELxxxx)</t>
  </si>
  <si>
    <t>SERCOS III Bus Coupler for EtherCAT Terminals (ELxxxx)</t>
  </si>
  <si>
    <t>EtherCAT “Compact“ Coupler between EtherCAT Terminals (E-bus) and Bus Terminals (K-bus), adapter terminal</t>
  </si>
  <si>
    <t>2-channel digital input terminal 24 V DC, filter 3.0 ms, 4-wire system</t>
  </si>
  <si>
    <t>4-channel digital input terminal 24 V DC, filter 3.0 ms, 2-wire system</t>
  </si>
  <si>
    <t>4-channel digital input terminal 24 V DC, isolation voltage &gt; 2,500 V, filter 3.0 ms, 2-wire system</t>
  </si>
  <si>
    <t>8-channel digital input terminal 24 V DC, filter 3.0 ms, 1-wire system</t>
  </si>
  <si>
    <t>2-channel digital input terminal 24 V DC, filter 10 µs, 3-wire system</t>
  </si>
  <si>
    <t>4-channel digital input terminal 24 V DC, filter 10 µs, 2-wire system</t>
  </si>
  <si>
    <t>8-channel digital input terminal 24 V DC, filter 10 µs, 1-wire system</t>
  </si>
  <si>
    <t>4-channel digital input terminal 24 V DC for type 2 sensors, IEC 61131-2, filter 3.0 ms, 
2-wire system</t>
  </si>
  <si>
    <t>4-channel digital input terminal 24 V DC for type 1 sensors, IEC 61131-2,
potential-free inputs, filter 10 µs, 2-wire system</t>
  </si>
  <si>
    <t>4-channel digital input terminal 24 V DC, negative switching, filter 3.0 ms, 2-wire system</t>
  </si>
  <si>
    <t>8-channel digital input terminal 24 V DC, negative switching, filter 3.0 ms, 1-wire system</t>
  </si>
  <si>
    <t>4-channel digital input terminal 24 V DC, negative switching, filter 10 µs, 2-wire system</t>
  </si>
  <si>
    <t>8-channel digital input terminal 24 V DC, negative switching, filter 10 µs, 1-wire system</t>
  </si>
  <si>
    <t>4-channel digital input terminal 24 V DC, filter 3.0 ms,
2 inputs 3-wire system, 2 inputs 1-wire system</t>
  </si>
  <si>
    <t>4-channel digital input terminal 24 V DC, filter 10 µs,
2 inputs 3-wire system, 2 inputs 1-wire system</t>
  </si>
  <si>
    <t>4-channel digital input terminal 48 V DC, filter 10 µs,
2 inputs 3-wire system, 2 inputs 1-wire system</t>
  </si>
  <si>
    <t>4-channel digital input terminal 12 V DC, filter 10 µs,
2 inputs 3-wire system, 2 inputs 1-wire system</t>
  </si>
  <si>
    <t>2-channel digital input terminal 24 V DC, TON/TOFF 1 μs</t>
  </si>
  <si>
    <t>2-channel digital input terminal 24 V DC, filter 1 µs, with time stamp</t>
  </si>
  <si>
    <t>8-channel digital input terminal 24 V DC, filter 1 µs, with time stamp</t>
  </si>
  <si>
    <t>8-channel digital input terminal 24 V DC, filter 1 µs, type 3,
+ 8-channel digital output terminal 24 V DC, 0.5 A, 1-wire system, time stamp</t>
  </si>
  <si>
    <t>2-channel digital input terminal 24 V DC, filter 1 µs, with oversampling</t>
  </si>
  <si>
    <t>Up/down counter 24 V DC, 100 kHz, 32 bit counter depth</t>
  </si>
  <si>
    <t>2-channel, up/down counter, 24 V DC, 1 kHz, 16 bit counter</t>
  </si>
  <si>
    <t>2-channel digital input terminal 120 V AC…230 V AC, 4-wire system</t>
  </si>
  <si>
    <t>2-channel digital input terminal 120 V AC/DC, 4-wire system</t>
  </si>
  <si>
    <t>2-channel digital input terminal 120 V AC…230 V AC, no power contacts, 4-wire system</t>
  </si>
  <si>
    <t>4-channel digital input terminal 24 V DC, filter 3.0 ms, 3-wire system</t>
  </si>
  <si>
    <t>8-channel digital input terminal 24 V DC, filter 3.0 ms, 2-wire system</t>
  </si>
  <si>
    <t>16-channel digital input terminal 24 V DC, filter 3.0 ms, type 3</t>
  </si>
  <si>
    <t>4-channel digital input terminal 24 V DC, filter 10 µs, 3-wire system</t>
  </si>
  <si>
    <t>16-channel digital input terminal 24 V DC, filter 10 µs, type 3</t>
  </si>
  <si>
    <t>Nr</t>
  </si>
  <si>
    <t>CX8030</t>
  </si>
  <si>
    <t>CX8050</t>
  </si>
  <si>
    <t>CX8080</t>
  </si>
  <si>
    <t>CX8091</t>
  </si>
  <si>
    <t>CX9000-1000</t>
  </si>
  <si>
    <t>CX9000-1001</t>
  </si>
  <si>
    <t>CX9001-1000</t>
  </si>
  <si>
    <t>CX9001-1001</t>
  </si>
  <si>
    <t>CX9001-1100</t>
  </si>
  <si>
    <t>CX9001-1101</t>
  </si>
  <si>
    <t>CX9010-1000</t>
  </si>
  <si>
    <t>CX9010-1001</t>
  </si>
  <si>
    <t>CX9010-1002</t>
  </si>
  <si>
    <t>CX9010-1100</t>
  </si>
  <si>
    <t>CX9010-1101</t>
  </si>
  <si>
    <t>CX9010-1102</t>
  </si>
  <si>
    <t>CX5010-1100</t>
  </si>
  <si>
    <t>CX5010-1110</t>
  </si>
  <si>
    <t>CX5010-1111</t>
  </si>
  <si>
    <t>CX5010-1112</t>
  </si>
  <si>
    <t>CX5010-1120</t>
  </si>
  <si>
    <t>CX5010-1121</t>
  </si>
  <si>
    <t>CX5010-1122</t>
  </si>
  <si>
    <t>CX5020-1100</t>
  </si>
  <si>
    <t>CX5020-1110</t>
  </si>
  <si>
    <t>CX5020-1111</t>
  </si>
  <si>
    <t>CX5020-1112</t>
  </si>
  <si>
    <t>CX5020-1120</t>
  </si>
  <si>
    <t>CX5020-1121</t>
  </si>
  <si>
    <t>CX5020-1122</t>
  </si>
  <si>
    <t>CX5140-0100</t>
  </si>
  <si>
    <t>CX5140-0120</t>
  </si>
  <si>
    <t>CX5140-0121</t>
  </si>
  <si>
    <t>CX5140-0122</t>
  </si>
  <si>
    <t>CX5140-0123</t>
  </si>
  <si>
    <t>CX5140-0130</t>
  </si>
  <si>
    <t>CX5130-0100</t>
  </si>
  <si>
    <t>CX5130-0120</t>
  </si>
  <si>
    <t>CX5130-0121</t>
  </si>
  <si>
    <t>CX5130-0122</t>
  </si>
  <si>
    <t>CX5130-0123</t>
  </si>
  <si>
    <t>CX5130-0130</t>
  </si>
  <si>
    <t>CX5120-0100</t>
  </si>
  <si>
    <t>CX5120-0120</t>
  </si>
  <si>
    <t>CX5120-0121</t>
  </si>
  <si>
    <t>CX5120-0122</t>
  </si>
  <si>
    <t>CX5120-0123</t>
  </si>
  <si>
    <t>CX5120-0130</t>
  </si>
  <si>
    <t>CPU-Modul CX5010, K-Bus, kein Betriebssystem, kein TwinCAT</t>
  </si>
  <si>
    <t>CPU-Modul CX5010, K-Bus, Microsoft Windows Embedded CE 6.0, kein TwinCAT</t>
  </si>
  <si>
    <t>CPU-Modul CX5020, E-Bus, Microsoft Windows Embedded CE 6.0, kein TwinCAT</t>
  </si>
  <si>
    <t>CPU-Modul CX5020, K-Bus, kein Betriebssystem, kein TwinCAT</t>
  </si>
  <si>
    <t>CPU-Modul CX5020, K-Bus, Microsoft Windows Embedded CE 6.0, kein TwinCAT</t>
  </si>
  <si>
    <t>CPU-Modul CX5120, kein Betriebssystem, kein TwinCAT</t>
  </si>
  <si>
    <t>CPU-Modul CX5130, kein Betriebssystem, kein TwinCAT</t>
  </si>
  <si>
    <t>CPU-Modul CX5140, kein Betriebssystem, kein TwinCAT</t>
  </si>
  <si>
    <t>CPU-Modul CX9000, 16 MByte Flash/64 MByte RAM, K-Bus, kein TwinCAT</t>
  </si>
  <si>
    <t>CPU-Modul CX9000, 32 MByte Flash/128 MByte RAM, K-Bus, kein TwinCAT</t>
  </si>
  <si>
    <t>CPU-Modul CX9000, 32 MByte Flash/128 MByte RAM, DVI/USB, K-Bus, kein TwinCAT</t>
  </si>
  <si>
    <t>CPU-Modul CX9010, K-Bus, kein TwinCAT</t>
  </si>
  <si>
    <t>CPU-Modul CX9010, DVI/USB, K-Bus, kein TwinCAT</t>
  </si>
  <si>
    <t>EK1100-0008</t>
  </si>
  <si>
    <t>EtherCAT-Koppler für E-Bus-Klemmen (ELxxxx), mit M8-Buchsen</t>
  </si>
  <si>
    <t>EtherCAT Coupler for E-bus terminals (ELxxxx), with M8 screw-type connectors</t>
  </si>
  <si>
    <t>EK1122-0008</t>
  </si>
  <si>
    <t>2-Port-EtherCAT-Abzweig, mit M8-Buchsen</t>
  </si>
  <si>
    <t>2-port EtherCAT junction, with M8 screw-type connectors</t>
  </si>
  <si>
    <t>EK1501-0100</t>
  </si>
  <si>
    <t>EK1300</t>
  </si>
  <si>
    <t>EK1310</t>
  </si>
  <si>
    <t>EK1322</t>
  </si>
  <si>
    <t>EL1382</t>
  </si>
  <si>
    <t>ES1382</t>
  </si>
  <si>
    <t>EL2522</t>
  </si>
  <si>
    <t>EL2784</t>
  </si>
  <si>
    <t>EL2788</t>
  </si>
  <si>
    <t>EL2794</t>
  </si>
  <si>
    <t>EL3174</t>
  </si>
  <si>
    <t>EL3174-0002</t>
  </si>
  <si>
    <t>EL3208</t>
  </si>
  <si>
    <t>EL3214</t>
  </si>
  <si>
    <t>EL3314-0020</t>
  </si>
  <si>
    <t>EL3356-0020</t>
  </si>
  <si>
    <t>EL3413-0001</t>
  </si>
  <si>
    <t>EL3413-0120</t>
  </si>
  <si>
    <t>EL3602-0020</t>
  </si>
  <si>
    <t>EL3612-0020</t>
  </si>
  <si>
    <t>EL3632-0020</t>
  </si>
  <si>
    <t>EL3681-0020</t>
  </si>
  <si>
    <t>EL3692-0020</t>
  </si>
  <si>
    <t>EL3751</t>
  </si>
  <si>
    <t>EL4114-0020</t>
  </si>
  <si>
    <t>EL4134-0020</t>
  </si>
  <si>
    <t>EL5151-0021</t>
  </si>
  <si>
    <t>EL6652</t>
  </si>
  <si>
    <t>EL6695</t>
  </si>
  <si>
    <t>EL6740-0010</t>
  </si>
  <si>
    <t>EL6910</t>
  </si>
  <si>
    <t>EL7037</t>
  </si>
  <si>
    <t>EL7047</t>
  </si>
  <si>
    <t>EL9576</t>
  </si>
  <si>
    <t>ES9576</t>
  </si>
  <si>
    <t>EM3701</t>
  </si>
  <si>
    <t>EM3702</t>
  </si>
  <si>
    <t>EM3712</t>
  </si>
  <si>
    <t>EtherCAT P Coupler for E-bus terminals (ELxxxx)</t>
  </si>
  <si>
    <t>EtherCAT P extension</t>
  </si>
  <si>
    <t>2-port EtherCAT P junction</t>
  </si>
  <si>
    <t>EtherCAT Coupler, media converter (multimode fibre optic to RJ45) with ID switch, for E-bus terminals (ELxxxx)</t>
  </si>
  <si>
    <t>2-channel digital input terminal thermistor, filter 30 ms</t>
  </si>
  <si>
    <t>Incremental encoder simulation terminal (pulse train)</t>
  </si>
  <si>
    <t>4-channel digital output terminal 30 V AC/DC (inductive), 48 V DC (ohmic), 2 A, solid state relay</t>
  </si>
  <si>
    <t>8-channel digital output terminal 30 V AC/DC (inductive), 48 V DC (ohmic), 2 A, solid state relay</t>
  </si>
  <si>
    <t>4-channel digital output terminal 30 V AC/DC (inductive), 48 V DC (ohmic), 2 A, solid state relay, potential-free</t>
  </si>
  <si>
    <t>4-channel analog input, parameterisable, -10/0…+10 V, -20/0/+4…+20 mA, 16 bit</t>
  </si>
  <si>
    <t>4-channel analog input, parameterisable, -10/0…+10 V, -20/0/+4…+20 mA, electrically isolated, differential, 16 bit</t>
  </si>
  <si>
    <t>8-channel input terminal PT100 (RTD) for resistance sensors, 16 bit, 2-wire system</t>
  </si>
  <si>
    <t>4-channel input terminal PT100 (RTD)  for resistance sensors, 16 bit, 3-wire system</t>
  </si>
  <si>
    <t>4-channel thermocouple input terminal, preset to type K, with wire breakage detection, 24 bit, high-precision, with calibration certificate</t>
  </si>
  <si>
    <t>1-channel input terminal, precise load cell analysis (resistor bridge), 24 bit, with calibration certificate</t>
  </si>
  <si>
    <t>3-phase power measurement terminal, max. 690 V AC 3~, max. 5 A, 
via measuring transformers x A/5 A, galvanically isolated current inputs, harmonic analysis, UL-approval</t>
  </si>
  <si>
    <t>3-phase power measurement terminal, 210 V AC input voltage, max. 5 A, 
via measuring transformers x A/5 A, galvanically isolated current inputs, harmonic analysis</t>
  </si>
  <si>
    <t>2-channel analog input terminal -10…+10 V, differential inputs, 24 bit, with calibration certificate</t>
  </si>
  <si>
    <t>2-channel analog input terminal 0…20 mA, differential input, 24 bit, with calibration certificate</t>
  </si>
  <si>
    <t>2-channel analog input terminal, ±5 V, for Condition Monitoring (IEPE), with calibration certificate</t>
  </si>
  <si>
    <t>Digital multimeter terminal, with calibration certificate</t>
  </si>
  <si>
    <t>2-channel resistance measurement terminal 10 mΩ…10 MΩ, high-precision, with calibration certificate</t>
  </si>
  <si>
    <t>1-channel analog input, high-precision, parameterisable, 24 bit, 10 kSps, differential, oversampling</t>
  </si>
  <si>
    <t>4-channel analog output terminal 0…20 mA, 16 bit, with calibration certificate</t>
  </si>
  <si>
    <t>4-channel analog output terminal -10 V…+10 V, 16 bit, with calibration certificate</t>
  </si>
  <si>
    <t>1-channel incremental encoder interface, 32 bit, with parameterisable 24 V DC output</t>
  </si>
  <si>
    <t>EtherCAT bridge terminal, flexible CoE configuration, device emulation</t>
  </si>
  <si>
    <t>TwinSAFE Logic, safety protocol: TwinSAFE/Safety over EtherCAT</t>
  </si>
  <si>
    <t>Stepper motor terminal with incremental encoder, 24 V DC, 1.5 A, 2 phases
2 digital inputs 24 V DC
4 digital inputs for an incremental encoder
vector control</t>
  </si>
  <si>
    <t>Stepper motor terminal with incremental encoder, 50 V DC, 5 A, 2 phases
2 digital inputs 24 V DC
4 digital inputs for an incremental encoder
vector control</t>
  </si>
  <si>
    <t>Brake chopper terminal</t>
  </si>
  <si>
    <t>1-channel differential pressure measuring terminal -100…+100 hPa (-100…+100 mbar)</t>
  </si>
  <si>
    <t>2-channel relative pressure measuring terminal 7,500 hPa (7.5 bar)</t>
  </si>
  <si>
    <t>2-channel relative pressure measuring terminal -1,000…+1,000 hPa (-1…+1 bar)</t>
  </si>
  <si>
    <t>EtherCAT-P-Koppler für E-Bus-Klemmen (ELxxxx)</t>
  </si>
  <si>
    <t>EtherCAT-P-Verlängerung</t>
  </si>
  <si>
    <t>2-Port-EtherCAT-P-Abzweig</t>
  </si>
  <si>
    <t>EtherCAT-Koppler, Medienkonverter (Multimode-LWL auf RJ45) mit ID-Switch, für E-Bus-Klemmen (ELxxxx)</t>
  </si>
  <si>
    <t>EtherCAT-Koppler für E-Bus-Klemmen (ELxxxx) mit integrierten I/Os:
– 4 digitale Eingänge 24 V DC, Filter 3 ms, Typ 3
– 4 digitale Ausgänge 24 V DC, 0,5 A, 1-Leitertechnik</t>
  </si>
  <si>
    <t>EtherCAT-Koppler für E-Bus-Klemmen (ELxxxx) mit integrierten I/Os:
– 8 digitale Eingänge 24 V DC, Filter 3 ms, Typ 3
– 4 digitale Ausgänge 24 V DC, 0,5 A, 1-Leitertechnik</t>
  </si>
  <si>
    <t>EtherCAT-Koppler für E-Bus-Klemmen (ELxxxx) mit integrierten I/Os:
– 4 digitale Eingänge 24 V DC, Filter 3 ms, Typ 3
– 8 digitale Ausgänge 24 V DC, 0,5 A, 1-Leitertechnik</t>
  </si>
  <si>
    <t>EtherCAT-Koppler für E-Bus-Klemmen (ELxxxx) mit integrierten I/Os:
– 8 digitale Ausgänge 24 V DC, 0,5 A, 1-Leitertechnik</t>
  </si>
  <si>
    <t>EtherCAT-Koppler für E-Bus-Klemmen (ELxxxx) mit integrierten Standard- und Safety-I/Os:
– 6 digitale Eingänge, davon 2 sichere Eingänge, 24 V DC, Filter 3 ms, Typ 3
– 6 digitale Ausgänge, davon 2 sichere Ausgänge, 24 V DC, 0,5 A, 1-Leitertechnik</t>
  </si>
  <si>
    <t>TwinSAFE-Compact-Controller für E-Bus-Klemmen (ELxxxx) mit integrierten I/Os:
– digitale sichere Eingänge 24 V DC
– digitale sichere Ausgänge 24 V DC, 2 A, 1-Leitertechnik
– digitale sichere Ausgänge, potenzialfreie Schließer (optional)
Safety-Protokoll: TwinSAFE/Safety-over-EtherCAT</t>
  </si>
  <si>
    <t>PROFINET-RT-Buskoppler für EtherCAT-Klemmen (ELxxxx)</t>
  </si>
  <si>
    <t>4-Kanal-Digital-Eingangsklemme 5 V DC, Filter 0,05 µs,
2 Eingänge 3-Leitertechnik, 2 Eingänge 1-Leitertechnik</t>
  </si>
  <si>
    <t>2-Kanal-Digital-Eingangsklemme 24 V DC, Filter 1 µs, mit Time-Stamp</t>
  </si>
  <si>
    <t>8-Kanal-Digital-Eingangsklemme 24 V DC, Filter 1 µs, mit Time-Stamp</t>
  </si>
  <si>
    <t>2-Kanal-Digital-Eingangsklemme Thermistor, Filter 30 ms</t>
  </si>
  <si>
    <t>2-Kanal-Digital-Ausgangsklemme 24…72 V DC mit Übererregung, Multi-Timestamp</t>
  </si>
  <si>
    <t>Inkremental-Encoder-Simulationsklemme (Pulse-Train)</t>
  </si>
  <si>
    <t>2-Kanal-Relais-Ausgangsklemme 230 V AC, 5 A, Schließer, 4-Leitertechnik</t>
  </si>
  <si>
    <t>2-Kanal-Relais-Ausgangsklemme 125 V AC, 2 A, potenzialfreie Wechsler, 4-Leitertechnik,
ohne Powerkontakte</t>
  </si>
  <si>
    <t>4-Kanal-Digital-Ausgangsklemme 30 V AC/DC (induktiv), 48 V DC (ohmsch), 2 A, Solid-State-Relais</t>
  </si>
  <si>
    <t>8-Kanal-Digital-Ausgangsklemme 30 V AC/DC (induktiv), 48 V DC (ohmsch), 2 A, Solid-State-Relais</t>
  </si>
  <si>
    <t>4-Kanal-Digital-Ausgangsklemme 30 V AC/DC (induktiv), 48 V DC (ohmsch), 2 A, Solid-State-Relais, potentialfreie Schließer</t>
  </si>
  <si>
    <t>8-Kanal-Digital-Ausgangsklemme 30 V AC/DC (induktiv), 48 V DC (ohmsch), 2 A, Solid-State-Relais, potentialfreie Schließer</t>
  </si>
  <si>
    <t>4-Kanal-Analog-Eingang, parametrierbar, -10/0…+10 V, -20/0/+4…+20 mA, 16 Bit</t>
  </si>
  <si>
    <t>4-Kanal-Analog-Eingang, parametrierbar, -10/0…+10 V, -20/0/+4…+20 mA, galvanisch getrennt, differenziell, 16 Bit</t>
  </si>
  <si>
    <t>2-Kanal-Eingangsklemme PT100 (RTD) für 4-Leiteranschluss, 16 Bit, hochpräzise, mit Kalibrierungszertifikat</t>
  </si>
  <si>
    <t>4-Kanal-Universaleingangsklemme für RTD bis 240 kΩ, NTC 20 k, 16 Bit, 2-Leitertechnik</t>
  </si>
  <si>
    <t>8-Kanal-Eingangsklemme PT100 (RTD) für Widerstandsthermometer, 16 Bit, 2-Leitertechnik</t>
  </si>
  <si>
    <t>4-Kanal-Eingangsklemme PT100 (RTD) für Widerstandsthermometer, 16 Bit, 3-Leitertechnik</t>
  </si>
  <si>
    <t>4-Kanal-Eingangsklemme Thermoelement, voreingestellt auf Typ K, mit Drahtbruchmeldung, 24 Bit, hochpräzise, mit Kalibrierungszertifikat</t>
  </si>
  <si>
    <t>1-Kanal-Eingangsklemme, präzise Wägezellenauswertung (Widerstandsbrücke), 24 Bit, mit Kalibrierungszertifikat</t>
  </si>
  <si>
    <t>3-Phasen-Leistungsmessklemme, max. 690 V AC 3~, max. 5 A, über Messwandler x A/5 A,
galvanisch getrennte Stromeingänge, Oberschwingungsanalyse</t>
  </si>
  <si>
    <t>3-Phasen-Leistungsmessklemme, max. 690 V AC 3~, max. 5 A, über Messwandler x A/5 A,
galvanisch getrennte Stromeingänge, Oberschwingungsanalyse, UL-Zulassung</t>
  </si>
  <si>
    <t>3-Phasen-Leistungsmessklemme, max. 210 V AC Eingangsspannung, max. 5 A, über Messwandler x A/5 A,
galvanisch getrennte Stromeingänge, Oberschwingungsanalyse</t>
  </si>
  <si>
    <t>2-Kanal-Analog-Eingangsklemme -10…+10 V, Differenzeingänge, 24 Bit</t>
  </si>
  <si>
    <t>2-Kanal-Analog-Eingangsklemme ±200 mV, Differenzeingang, 24 Bit</t>
  </si>
  <si>
    <t>2-Kanal-Analog-Eingangsklemme -10…+10 V, Differenzeingänge, 24 Bit, mit Kalibrierungszertifikat</t>
  </si>
  <si>
    <t>2-Kanal-Analog-Eingangsklemme 0…20 mA, Differenzeingang, 24 Bit, mit Kalibrierungszertifikat</t>
  </si>
  <si>
    <t>2-Kanal-Analog-Eingangsklemme ±5 V, für Condition Monitoring (IEPE), mit Kalibrierungszertifikat</t>
  </si>
  <si>
    <t>Digital-Multimeter-Klemme, mit Kalibrierungszertifikat</t>
  </si>
  <si>
    <t>2-kanalige Widerstandsmessklemme 10 mΩ…10 MΩ, hochpräzise, mit Kalibrierungszertifikat</t>
  </si>
  <si>
    <t>1-Kanal-Analog-Eingang, hochpräzise, parametrierbar, 24 Bit, 10 kSps, differenziell, Oversampling</t>
  </si>
  <si>
    <t>4-Kanal-Analog-Ausgangsklemme 0…20 mA, 16 Bit, mit Kalibrierungszertifikat</t>
  </si>
  <si>
    <t>4-Kanal-Analog-Ausgangsklemme -10 V…+10 V, 16 Bit, mit Kalibrierungszertifikat</t>
  </si>
  <si>
    <t>1-Kanal-Inkremental-Encoder-Interface, 32 Bit, mit parametrierbarem 24-V-DC-Ausgang</t>
  </si>
  <si>
    <t>License-Key-Klemme für TwinCAT 3.1</t>
  </si>
  <si>
    <t>PROFINET-RT-Controller-Klemme</t>
  </si>
  <si>
    <t>PROFINET-RT-Device-Klemme</t>
  </si>
  <si>
    <t>EtherNet/IP-Masterklemme</t>
  </si>
  <si>
    <t>EtherCAT-Bridge-Klemme, flexible CoE-Konfiguration, Geräteemulation</t>
  </si>
  <si>
    <t>TwinSAFE-Logic, Protokoll TwinSAFE/Safety-over-EtherCAT</t>
  </si>
  <si>
    <t>TwinSAFE-Logic, Safety-Protokoll: TwinSAFE/Safety-over-EtherCAT</t>
  </si>
  <si>
    <t>Schrittmotorklemme mit Inkremental-Encoder, 24 V DC, 1,5 A, 2 Phasen
2 digitale Eingänge 24 V DC
4 digitale Eingänge für ein Inkremental-Encoder-Gebersystem
feldorientierte Regelung</t>
  </si>
  <si>
    <t>Schrittmotorklemme mit Inkremental-Encoder, 50 V DC, 5 A, 2 Phasen
2 digitale Eingänge 24 V DC
4 digitale Eingänge für ein Inkremental-Encoder-Gebersystem
feldorientierte Regelung</t>
  </si>
  <si>
    <t>Servomotorklemme 50 V DC, 2,8 ARMS/4 A Scheitelwert
1 Resolvereingang
1 digitaler Ausgang Motorbremse 24 V DC</t>
  </si>
  <si>
    <t>Servomotorklemme mit OCT, integriertes Absolutwert-Interface, 50 V DC, 2,8 ARMS/4 A Scheitelwert
2 digitale Eingänge 24 V DC
1 digitaler Ausgang Motorbremse 24 V DC</t>
  </si>
  <si>
    <t>Servomotorklemme 50 V DC, 4,5 ARMS/6,3 A Scheitelwert
1 Resolvereingang
1 digitaler Ausgang Motorbremse 24 V DC</t>
  </si>
  <si>
    <t>Servomotorklemme mit OCT, integriertes Absolutwert-Interface, 50 V DC, 4,5 ARMS/6,3 A Scheitelwert
2 digitale Eingänge 24 V DC
1 digitaler Ausgang Motorbremse 24 V DC</t>
  </si>
  <si>
    <t>Brems-Chopper-Klemme</t>
  </si>
  <si>
    <t>1-Kanal-Differenzdruckmessklemme -100…+100 hPa (-100…+100 mbar)</t>
  </si>
  <si>
    <t>2-Kanal-Relativdruckmessklemme 7.500 hPa (7,5 bar)</t>
  </si>
  <si>
    <t>2-Kanal-Relativdruckmessklemme -1.000…+1.000 hPa (-1…+1 bar)</t>
  </si>
  <si>
    <t>KL3202</t>
  </si>
  <si>
    <t>KL5101</t>
  </si>
  <si>
    <t>KL2404</t>
  </si>
  <si>
    <t>KL9010</t>
  </si>
  <si>
    <t>KL1104</t>
  </si>
  <si>
    <t>BK1150</t>
  </si>
  <si>
    <t>KL9400</t>
  </si>
  <si>
    <t>KL9110</t>
  </si>
  <si>
    <t>English</t>
  </si>
  <si>
    <t>Sprache / Language:</t>
  </si>
  <si>
    <t>CX1100-0002</t>
  </si>
  <si>
    <t>CX1100-0003</t>
  </si>
  <si>
    <t>CX1100-0012</t>
  </si>
  <si>
    <t>CX1100-0013</t>
  </si>
  <si>
    <t>BC3100</t>
  </si>
  <si>
    <t>Busklemmen Controller mit integrierter IEC 61131-3-SPS, 32 kByte Programmspeicher,
PROFIBUS-Schnittstelle, 12 MBaud</t>
  </si>
  <si>
    <t>Bus Terminal Controller with integrated IEC 61131-3 PLC, 32 kbytes program memory,
PROFIBUS interface, 12 Mbaud</t>
  </si>
  <si>
    <t>BC3150</t>
  </si>
  <si>
    <t>"Compact"-Busklemmen Controller mit integrierter IEC 61131-3-SPS, 48 kByte Programmspeicher,
PROFIBUS-Schnittstelle, 12 MBaud</t>
  </si>
  <si>
    <t>“Compact“ Bus Terminal Controller with integrated IEC 61131-3 PLC, 48 kbytes program memory,
PROFIBUS interface, 12 Mbaud</t>
  </si>
  <si>
    <t>BC5150</t>
  </si>
  <si>
    <t>„Compact“-Busklemmen Controller mit integrierter IEC 61131-3-SPS, 48 kByte Programmspeicher,
CANopen-Schnittstelle, 1 MBaud</t>
  </si>
  <si>
    <t>“Compact“ Bus Terminal Controller with integrated IEC 61131-3 PLC, 48 kbytes program memory,
CANopen interface, 1 Mbaud</t>
  </si>
  <si>
    <t>BC5250</t>
  </si>
  <si>
    <t>„Compact“-Busklemmen Controller mit integrierter IEC 61131-3-SPS, 48 kByte Programmspeicher,
DeviceNet-Schnittstelle, 500 kBaud</t>
  </si>
  <si>
    <t>“Compact“ Bus Terminal Controller with integrated IEC 61131-3 PLC, 48 kbytes program memory,
DeviceNet interface, 500 kbaud</t>
  </si>
  <si>
    <t>BC7300</t>
  </si>
  <si>
    <t>Busklemmen Controller mit integrierter IEC 61131-3-SPS, 32 kByte Programmspeicher,
Modbus-Schnittstelle</t>
  </si>
  <si>
    <t>Bus Terminal Controller with integrated IEC 61131-3 PLC, 32 kbytes program memory,
Modbus interface</t>
  </si>
  <si>
    <t>BC8050</t>
  </si>
  <si>
    <t>"Compact"-Busklemmen Controller mit integrierter IEC 61131-3-SPS, 48 kByte Programmspeicher,
RS485-Schnittstelle</t>
  </si>
  <si>
    <t>“Compact“ Bus Terminal Controller with integrated IEC 61131-3 PLC, 48 kbytes program memory,
RS2485 interface</t>
  </si>
  <si>
    <t>BC8150</t>
  </si>
  <si>
    <t>"Compact"-Busklemmen Controller mit integrierter IEC 61131-3-SPS, 48 kByte Programmspeicher,
RS232-Schnittstelle</t>
  </si>
  <si>
    <t>“Compact“ Bus Terminal Controller with integrated IEC 61131-3 PLC, 48 kbytes program memory,
RS232 interface</t>
  </si>
  <si>
    <t>BC9000</t>
  </si>
  <si>
    <t>Busklemmen Controller mit integrierter IEC 61131-3-SPS, 64 kByte Programmspeicher, Ethernet TCP/IP-Schnittstelle; Ethernet-Protokolle TwinCAT ADS, Modbus TCP</t>
  </si>
  <si>
    <t>Bus Terminal Controller with integrated IEC 61131-3 PLC, 64 kbytes program memory,
Ethernet TCP/IP interface; Ethernet protocols TwinCAT ADS, Modbus TCP</t>
  </si>
  <si>
    <t>BC9020</t>
  </si>
  <si>
    <t>„Economy plus“-Busklemmen-Controller mit integrierter IEC 61131-3-SPS, 128 kByte Programmspeicher, 
Ethernet-TCP/IP-Schnittstelle; Ethernet-Protokolle TwinCAT ADS, Modbus TCP</t>
  </si>
  <si>
    <t>“Economy plus” Bus Terminal Controller with integrated IEC 61131-3 PLC, 128 kbytes program memory,
Ethernet TCP/IP interface; Ethernet protocols TwinCAT ADS, Modbus TCP</t>
  </si>
  <si>
    <t>BC9050</t>
  </si>
  <si>
    <t>„Compact“-Busklemmen-Controller mit integrierter IEC 61131-3-SPS, 48 kByte Programmspeicher,
Ethernet TCP/IP-Schnittstelle; Ethernet-Protokolle TwinCAT ADS, Modbus TCP</t>
  </si>
  <si>
    <t>“Compact“ Bus Terminal Controller with integrated IEC 61131-3 PLC, 48 kbytes program memory,
Ethernet TCP/IP interface; Ethernet protocols TwinCAT ADS, Modbus TCP</t>
  </si>
  <si>
    <t>BC9100</t>
  </si>
  <si>
    <t>Busklemmen Controller mit integrierter IEC 61131-3-SPS, 64 kByte Programmspeicher,
Ethernet TCP/IP-Schnittstelle und integriertem 2-Kanal-Switch; Ethernet-Protokolle TwinCAT ADS, Modbus TCP</t>
  </si>
  <si>
    <t>Bus Terminal Controller with integrated IEC 61131-3 PLC, 64 kbytes program memory,
Ethernet TCP/IP interface and integrated 2-channel switch; Ethernet protocols TwinCAT ADS, Modbus TCP</t>
  </si>
  <si>
    <t>BC9120</t>
  </si>
  <si>
    <t>„Economy plus“-Busklemmen-Controller mit integrierter IEC 61131-3-SPS, 128 kByte Programmspeicher, 
Ethernet-TCP/IP-Schnittstelle und integriertem 2-Kanal-Switch; Ethernet-Protokolle TwinCAT ADS, Modbus TCP</t>
  </si>
  <si>
    <t>“Economy plus” Bus Terminal Controller with integrated IEC 61131-3 PLC, 128 kbytes program memory,
Ethernet TCP/IP interface and integrated 2-channel switch; Ethernet protocols TwinCAT ADS, Modbus TCP</t>
  </si>
  <si>
    <t>BC9191</t>
  </si>
  <si>
    <t xml:space="preserve">Building-Automation-Raum-Controller mit integrierter IEC 61131-3-SPS,
Ethernet-TCP/IP-Schnittstelle und integriertem 2-Kanal-Switch
– Programmspeicher: 48 kByte
– Spannungsversorgung: 230 V AC
– Ethernet-Protokolle: TwinCAT ADS, Modbus TCP
– Sub-Bussystem: 1 x Anbindung an EnOcean KL6583
– K-Bus-Interface
– on-board I/Os:
    – 3 digitale Eingänge
    – 1 analoger Eingang PT/NI1000
    – 1 analoger Eingang, Widerstandsmessung zur Sollwertvorgabe (0…10 kΩ)
    – 3 analoge Eingänge 0...10 V
    – 1 digitaler Ausgang für LED, 10 mA
    – 1 digitaler Relais-Ausgang 230 V AC, 10 A
    – 3 digitale Relais-Ausgänge 230 V AC, 1 A
    – 2 digitale Triac-Ausgänge 230 V AC, 1 A
    – 2 analoge Ausgänge 0…10 V </t>
  </si>
  <si>
    <t xml:space="preserve">Bus Terminal Controller with integrated IEC 61131-3 PLC,
Ethernet TCP/IP interface and integrated 2-channel switch
– Program memory: 48 kbytes
– Supply voltage: 230 V AC
– Ethernet protocols: TwinCAT ADS, Modbus TCP
– Sub bus system: 1 connection to EnOcean KL6583
– K-bus interface
– on board I/Os:
    – 3 digital inputs
    – 1 analog input PT/NI1000
    – 1 analog input, resistance measurement for set value specification (0…10 kΩ)
    – 3 analog inputs 0...10 V
    – 1 digital output for LED, 10 mA
    – 1 digital relay output 230 V AC, 10 A
    – 3 digital relay outputs 230 V AC, 1 A
    – 2 digital triac outputs 230 V AC, 1 A
    – 2 analog outputs 0…10 V </t>
  </si>
  <si>
    <t>BC9191-0100</t>
  </si>
  <si>
    <t xml:space="preserve">Building-Automation-Raum-Controller mit integrierter IEC 61131-3-SPS,
Ethernet-TCP/IP-Schnittstelle und integriertem 2-Kanal-Switch
– Programmspeicher: 128 kByte
– Spannungsversorgung: 230 V AC
– Ethernet-Protokolle: TwinCAT ADS, Modbus TCP
– Sub-Bussystem: 1 x RS485
– K-Bus-Interface
– on-board I/Os:
    – 3 digitale Eingänge
    – 1 analoger Eingang PT/NI1000
    – 1 analoger Eingang, Widerstandsmessung zur Sollwertvorgabe (0…10 kΩ)
    – 3 analoge Eingänge 0...10 V
    – 1 digitaler Ausgang für LED, 10 mA
    – 1 digitaler Relais-Ausgang 230 V AC, 10 A
    – 3 digitale Relais-Ausgänge 230 V AC, 1 A
    – 2 digitale Triac-Ausgänge 230 V AC, 1 A
    – 2 analoge Ausgänge 0…10 V </t>
  </si>
  <si>
    <t xml:space="preserve">Bus Terminal Controller with integrated IEC 61131-3 PLC,
Ethernet TCP/IP interface and integrated 2-channel switch
– Program memory: 128 kbytes
– Supply voltage: 230 V AC
– Ethernet protocols: TwinCAT ADS, Modbus TCP
– Sub bus system: 1 x RS485
– K-bus interface
– on board I/Os:
    – 3 digital inputs
    – 1 analog input 1 x Pt/NI1000
    – 1 analog input, resistance measurement for set value specification (0…10 kΩ)
    – 3 analog inputs 0...10 V
    – 1 digital output for LED, 10 mA
    – 1 digital relay output 230 V AC, 10 A
    – 3 digital relay outputs 230 V AC, 1 A
    – 2 digital triac outputs 230 V AC, 1 A
    – 2 analog outputs 0…10 V </t>
  </si>
  <si>
    <t>BK1120</t>
  </si>
  <si>
    <t>EtherCAT-„Economy plus“-Buskoppler für bis zu 64 Busklemmen (255 mit K-Bus-Verlängerung)</t>
  </si>
  <si>
    <t>EtherCAT “Economy plus“ Bus Coupler for up to 64 Bus Terminals (255 with K-bus extension)</t>
  </si>
  <si>
    <t>EtherCAT-„Compact“-Buskoppler für bis zu 64 Busklemmen (255 mit K-Bus-Verlängerung)</t>
  </si>
  <si>
    <t>EtherCAT “Compact“ Bus Coupler for up to 64 Bus Terminals (255 with K-bus extension)</t>
  </si>
  <si>
    <t>BK2000</t>
  </si>
  <si>
    <t>Lightbus-Buskoppler für bis zu 64 Busklemmen</t>
  </si>
  <si>
    <t>Lightbus Bus Coupler for up to 64 Bus Terminals</t>
  </si>
  <si>
    <t>BK2010</t>
  </si>
  <si>
    <t>Lightbus-Buskoppler für bis zu 64 digitale Busklemmen</t>
  </si>
  <si>
    <t>Lightbus Bus Coupler for up to 64 digital Bus Terminals</t>
  </si>
  <si>
    <t>BK2020</t>
  </si>
  <si>
    <t>Lightbus-„Economy plus“-Buskoppler für bis zu 64 Busklemmen (255 mit K-Bus-Verlängerung)</t>
  </si>
  <si>
    <t>Lightbus “Economy plus“ Bus Coupler for up to 64 Bus Terminals (255 with K-bus extension)</t>
  </si>
  <si>
    <t>BK3010</t>
  </si>
  <si>
    <t>PROFIBUS-Buskoppler für bis zu 64 digitale Busklemmen, 1,5 MBaud</t>
  </si>
  <si>
    <t>PROFIBUS Bus Coupler for up to 64 digital Bus Terminals, 1.5 Mbaud</t>
  </si>
  <si>
    <t>BK3100</t>
  </si>
  <si>
    <t>PROFIBUS-DP/FMS-Buskoppler für bis zu 64 Busklemmen, 12 MBaud</t>
  </si>
  <si>
    <t>PROFIBUS DP/FMS Bus Coupler for up to 64 Bus Terminals, 12 Mbaud</t>
  </si>
  <si>
    <t>BK3110</t>
  </si>
  <si>
    <t>PROFIBUS-Buskoppler für bis zu 64 digitale Busklemmen, 12 MBaud</t>
  </si>
  <si>
    <t>PROFIBUS Bus Coupler for up to 64 digital Bus Terminals, 12 Mbaud</t>
  </si>
  <si>
    <t>BK3120</t>
  </si>
  <si>
    <t>PROFIBUS-„Economy plus“-Buskoppler für bis zu 64 Busklemmen (255 mit K-Bus-Verlängerung), 12 MBaud</t>
  </si>
  <si>
    <t>PROFIBUS “Economy plus“ Bus Coupler for up to 64 Bus Terminals (255 with K-bus extension), 12 Mbaud</t>
  </si>
  <si>
    <t>BK3150</t>
  </si>
  <si>
    <t>PROFIBUS-„Compact“-Buskoppler für bis zu 64 Busklemmen (255 mit K-Bus-Verlängerung), 12 MBaud</t>
  </si>
  <si>
    <t>PROFIBUS “Compact“ Bus Coupler for up to 64 Bus Terminals (255 with K-bus extension), 12 Mbaud</t>
  </si>
  <si>
    <t>BK3520</t>
  </si>
  <si>
    <t>PROFIBUS-„Economy plus“-Buskoppler mit LWL-Anschluss für bis zu 64 Busklemmen 
(255 mit K-Bus-Verlängerung), 12 MBaud</t>
  </si>
  <si>
    <t>PROFIBUS “Economy plus“ Bus Coupler with fibre optic connection for up to 64 Bus Terminals
(255 with K-bus extension), 12 Mbaud</t>
  </si>
  <si>
    <t>BK4000</t>
  </si>
  <si>
    <t>Interbus-Buskoppler für bis zu 64 Busklemmen</t>
  </si>
  <si>
    <t>Interbus Bus Coupler for up to 64 Bus Terminals</t>
  </si>
  <si>
    <t>BK4020</t>
  </si>
  <si>
    <t>Interbus-„Economy plus“-Buskoppler für bis zu 64 Busklemmen (255 mit K-Bus-Verlängerung)</t>
  </si>
  <si>
    <t>Interbus “Economy plus“ Bus Coupler for up to 64 Bus Terminals (255 with K-bus extension)</t>
  </si>
  <si>
    <t>BK5110</t>
  </si>
  <si>
    <t>CANopen-Buskoppler für bis zu 64 digitale Busklemmen</t>
  </si>
  <si>
    <t>CANopen Bus Coupler for up to 64 digital Bus Terminals</t>
  </si>
  <si>
    <t>BK5120</t>
  </si>
  <si>
    <t>CANopen-„Economy plus“-Buskoppler für bis zu 64 Busklemmen (255 mit K-Bus-Verlängerung)</t>
  </si>
  <si>
    <t>CANopen “Economy plus“ Bus Coupler for up to 64 Bus Terminals (255 with K-bus extension)</t>
  </si>
  <si>
    <t>BK5150</t>
  </si>
  <si>
    <t>CANopen-„Compact“-Buskoppler für bis zu 64 Busklemmen (255 mit K-Bus-Verlängerung)</t>
  </si>
  <si>
    <t>CANopen “Compact“ Bus Coupler for up to 64 Bus Terminals (255 with K-bus extension)</t>
  </si>
  <si>
    <t>BK5151</t>
  </si>
  <si>
    <t>CANopen-„Compact“-Buskoppler für bis zu 64 Busklemmen (255 mit K-Bus-Verlängerung),
Busanschluss: D-Sub-Stecker, 9-polig, anstatt Open-Style-Connector</t>
  </si>
  <si>
    <t>CANopen “Compact“ Bus Coupler for up to 64 Bus Terminals (255 with K-bus extension),
Bus connection: D-sub plug, 9-pin instead of open style connector</t>
  </si>
  <si>
    <t>BK5200</t>
  </si>
  <si>
    <t>DeviceNet-Buskoppler für bis zu 64 Busklemmen</t>
  </si>
  <si>
    <t>DeviceNet Bus Coupler for up to 64 Bus Terminals</t>
  </si>
  <si>
    <t>BK5210</t>
  </si>
  <si>
    <t>DeviceNet-Buskoppler für bis zu 64 digitale Busklemmen</t>
  </si>
  <si>
    <t>DeviceNet Bus Coupler for up to 64 digital Bus Terminals</t>
  </si>
  <si>
    <t>BK5220</t>
  </si>
  <si>
    <t>DeviceNet-„Economy plus“-Buskoppler für bis zu 64 Busklemmen (255 mit K-Bus-Verlängerung)</t>
  </si>
  <si>
    <t>DeviceNet “Economy plus“ Bus Coupler for up to 64 Bus Terminals (255 with K-bus extension)</t>
  </si>
  <si>
    <t>BK5250</t>
  </si>
  <si>
    <t>DeviceNet-„Compact“-Buskoppler für bis zu 64 Busklemmen (255 mit K-Bus-Verlängerung)</t>
  </si>
  <si>
    <t>DeviceNet “Compact“ Bus Coupler for up to 64 Bus Terminals (255 with K-bus extension)</t>
  </si>
  <si>
    <t>BK7000</t>
  </si>
  <si>
    <t>ControlNet-Buskoppler für bis zu 64 Busklemmen</t>
  </si>
  <si>
    <t>ControlNet Bus Coupler for up to 64 Bus Terminals</t>
  </si>
  <si>
    <t>BK7150</t>
  </si>
  <si>
    <t>CC-Link-„Compact“-Buskoppler für bis zu 64 Busklemmen (255 mit K-Bus-Verlängerung)</t>
  </si>
  <si>
    <t>CC-Link “Compact“ Bus Coupler for up to 64 Bus Terminals (255 with K-bus extension)</t>
  </si>
  <si>
    <t>BK7300</t>
  </si>
  <si>
    <t>Modbus-Buskoppler für bis zu 64 Busklemmen</t>
  </si>
  <si>
    <t>Modbus Bus Coupler for up to 64 Bus Terminals</t>
  </si>
  <si>
    <t>BK7350</t>
  </si>
  <si>
    <t>Modbus-„Compact“-Buskoppler für bis zu 64 Busklemmen (255 mit K-Bus-Verlängerung)</t>
  </si>
  <si>
    <t>Modbus "Compact" Bus Coupler  for up to 64 Bus Terminals (255 with K-bus extension)</t>
  </si>
  <si>
    <t>BK7500</t>
  </si>
  <si>
    <t>SERCOS-Buskoppler für bis zu 64 Busklemmen, 2,4 MBaud</t>
  </si>
  <si>
    <t>SERCOS interface Bus Coupler for up to 64 Bus Terminals, 2.4 Mbaud</t>
  </si>
  <si>
    <t>BK7520</t>
  </si>
  <si>
    <t>SERCOS-„Economy plus“-Buskoppler für bis zu 64 Busklemmen (255 mit K-Bus-Verlängerung),
2, 4, 8, 16 MBaud</t>
  </si>
  <si>
    <t>SERCOS interface “Economy plus“ Bus Coupler for up to 64 Bus Terminals (255 with K-bus extension)
2, 4, 8, 16 Mbaud</t>
  </si>
  <si>
    <t>BK8000</t>
  </si>
  <si>
    <t>RS485-Buskoppler für bis zu 64 Busklemmen</t>
  </si>
  <si>
    <t>RS485 Bus Coupler for up to 64 Bus Terminals</t>
  </si>
  <si>
    <t>BK8100</t>
  </si>
  <si>
    <t>RS232-Buskoppler für bis zu 64 Busklemmen</t>
  </si>
  <si>
    <t>RS232 Bus Coupler for up to 64 Bus Terminals</t>
  </si>
  <si>
    <t>BK9000</t>
  </si>
  <si>
    <t>Ethernet TCP/IP-Buskoppler für bis zu 64 Busklemmen; Ethernet-Protokolle TwinCAT ADS, Modbus TCP, 
Beckhoff Realtime-Ethernet</t>
  </si>
  <si>
    <t>Ethernet TCP/IP Bus Coupler for up to 64 Bus Terminals; Ethernet protocols TwinCAT ADS, Modbus TCP,
Beckhoff real-time Ethernet</t>
  </si>
  <si>
    <t>BK9050</t>
  </si>
  <si>
    <t>Ethernet-TCP/IP-„Compact“-Buskoppler für bis zu 64 Busklemmen (255 mit K-Bus-Verlängerung)</t>
  </si>
  <si>
    <t>Ethernet TCP/IP “Compact“ Bus Coupler for up to 64 Bus Terminals (255 with K-bus extension)</t>
  </si>
  <si>
    <t>BK9053</t>
  </si>
  <si>
    <t>PROFINET-„Compact“-Buskoppler für bis zu 64 Busklemmen (255 mit K-Bus-Verlängerung)</t>
  </si>
  <si>
    <t>PROFINET “Compact” Bus Coupler for up to 64 Bus Terminals (255 with K-bus extension)</t>
  </si>
  <si>
    <t>BK9055</t>
  </si>
  <si>
    <t>EtherNet/IP-„Compact“-Buskoppler für bis zu 64 Busklemmen (255 mit K-Bus-Verlängerung)</t>
  </si>
  <si>
    <t>EtherNet/IP “Compact“ Bus Coupler for up to 64 Bus Terminals (255 with K-bus extension)</t>
  </si>
  <si>
    <t>BK9100</t>
  </si>
  <si>
    <t>Ethernet-TCP/IP-Buskoppler für bis zu 64 Busklemmen (255 mit K-Bus-Verlängerung),mit integriertem 2-Kanal-Switch;
Ethernet-Protokolle TwinCAT ADS, Modbus TCP, Beckhoff Realtime-Ethernet</t>
  </si>
  <si>
    <t>Ethernet TCP/IP Bus Coupler for up to 64 Bus Terminals (255 with K-bus extension), with integrated 2-channel switch;
Ethernet protocols TwinCAT ADS, Modbus TCP, Beckhoff real-time Ethernet</t>
  </si>
  <si>
    <t>BK9103</t>
  </si>
  <si>
    <t>PROFINET-Buskoppler für bis zu 64 Busklemmen (mit integriertem 2-Kanal-Switch)</t>
  </si>
  <si>
    <t>PROFINET Bus Coupler for up to 64 Bus Terminals (with integrated 2-channel switch)</t>
  </si>
  <si>
    <t>BK9105</t>
  </si>
  <si>
    <t>EtherNet/IP-Buskoppler für bis zu 64 Busklemmen (mit integriertem 2-Kanal-Switch)</t>
  </si>
  <si>
    <t>EtherNet/IP Bus Coupler for up to 64 Bus Terminals (with integrated 2-channel switch)</t>
  </si>
  <si>
    <t>BK9500</t>
  </si>
  <si>
    <t>USB-Buskoppler für bis zu 64 Busklemmen</t>
  </si>
  <si>
    <t>USB Bus Coupler for up to 64 Bus Terminals</t>
  </si>
  <si>
    <t>BX3100</t>
  </si>
  <si>
    <t>Busklemmen Controller mit integrierter IEC 61131-3-SPS, 256 kByte Programmspeicher,
PROFIBUS-Schnittstelle, 12 MBaud</t>
  </si>
  <si>
    <t>Bus Terminal Controller with integrated IEC 61131-3 PLC, 256 kbytes program memory,
PROFIBUS interface, 12 Mbaud</t>
  </si>
  <si>
    <t>BX5100</t>
  </si>
  <si>
    <t>Busklemmen Controller mit integrierter IEC 61131-3-SPS, 256 kByte Programmspeicher,
CANopen-Schnittstelle, 1 MBaud</t>
  </si>
  <si>
    <t>Bus Terminal Controller with integrated IEC 61131-3 PLC, 256 kbytes program memory,
CANopen interface, 1 Mbaud</t>
  </si>
  <si>
    <t>BX5200</t>
  </si>
  <si>
    <t>Busklemmen Controller mit integrierter IEC 61131-3-SPS, 256 kByte Programmspeicher,
DeviceNet-Schnittstelle, 500 kBaud</t>
  </si>
  <si>
    <t>Bus Terminal Controller with integrated IEC 61131-3 PLC, 256 kbytes program memory,
DeviceNet interface, 500 kbaud</t>
  </si>
  <si>
    <t>BX8000</t>
  </si>
  <si>
    <t>Busklemmen Controller mit integrierter IEC 61131-3-SPS, 256 kByte Programmspeicher,
RS232/485-Schnittstelle</t>
  </si>
  <si>
    <t>Bus Terminal Controller with integrated IEC 61131-3 PLC, 256 kbytes program memory,
RS232/485 interface</t>
  </si>
  <si>
    <t>BX9000</t>
  </si>
  <si>
    <t>Busklemmen Controller mit integrierter IEC 61131-3-SPS; 256 kByte Programmspeicher,
Ethernet-Protokolle TwinCAT ADS, Modbus TCP</t>
  </si>
  <si>
    <t>Bus Terminal Controller with integrated IEC 61131-3 PLC, 256 kbytes program memory,
Ethernet TCP/IP interface; Ethernet protocols TwinCAT ADS, Modbus TCP</t>
  </si>
  <si>
    <t>EJ1008</t>
  </si>
  <si>
    <t>EtherCAT-Steckmodul, 8-Kanal-Digital-Eingang 24 V DC, Filter 3,0 ms</t>
  </si>
  <si>
    <t>EtherCAT plug-in module, 8-channel digital input 24 V DC, 3.0 ms</t>
  </si>
  <si>
    <t>EJ1100</t>
  </si>
  <si>
    <t>EtherCAT-Steckmodul, EtherCAT-Koppler für EtherCAT-Steckmodule (EJxxxx)</t>
  </si>
  <si>
    <t>EtherCAT plug-in module, EtherCAT Coupler for EtherCAT plug-in modules (EJxxxx)</t>
  </si>
  <si>
    <t>EJ1101-0022</t>
  </si>
  <si>
    <t>EtherCAT-Steckmodul, EtherCAT-Koppler mit externen Steckern, Netzteil und optionalen ID-Switchen</t>
  </si>
  <si>
    <t>EtherCAT plug-in module, EtherCAT Coupler with external connectors, power supply module and optional ID switches</t>
  </si>
  <si>
    <t>EJ1128</t>
  </si>
  <si>
    <t>EtherCAT-Steckmodul, 8-Kanal-Digital-Eingang, 5 V DC</t>
  </si>
  <si>
    <t>EtherCAT plug-in module, 8-channel digital input, 5 V DC</t>
  </si>
  <si>
    <t>EJ1809</t>
  </si>
  <si>
    <t>EtherCAT-Steckmodul, 16-Kanal-Digital-Eingang 24 V DC, Filter 3,0 ms</t>
  </si>
  <si>
    <t>EtherCAT plug-in module, 16-channel digital input 24 V DC, 3.0 ms</t>
  </si>
  <si>
    <t>EJ1859</t>
  </si>
  <si>
    <t>EtherCAT-Steckmodul, 8-Kanal-Digital-Eingang + 8-Kanal-Digital-Ausgang 24 V DC</t>
  </si>
  <si>
    <t>EtherCAT plug-in module, 8-channel digital input + 8-channel digital output 24 V DC</t>
  </si>
  <si>
    <t>EJ1889</t>
  </si>
  <si>
    <t>EtherCAT-Steckmodul, 16-Kanal-Digital-Eingang 24 V DC, Filter 3,0 ms, Masse schaltend</t>
  </si>
  <si>
    <t>EtherCAT plug-in module, 16-channel digital input 24 V DC, 3.0 ms, 0 V (ground) switching</t>
  </si>
  <si>
    <t>EJ1914</t>
  </si>
  <si>
    <t>EtherCAT-Steckmodul, 4-Kanal-Digital-Ausgang, TwinSAFE, 24 V DC</t>
  </si>
  <si>
    <t>EtherCAT plug-in module, 4-channel digital output, TwinSAFE, 24 V DC</t>
  </si>
  <si>
    <t>EJ1918</t>
  </si>
  <si>
    <t>EtherCAT-Steckmodul, 8-Kanal-Digital-Eingang, TwinSAFE, 24 V DC</t>
  </si>
  <si>
    <t>EtherCAT plug-in module, 8-channel digital input, TwinSAFE, 24 V DC</t>
  </si>
  <si>
    <t>EJ1957</t>
  </si>
  <si>
    <t>EtherCAT-Steckmodul, 8 fehlersichere Eingänge, 4 fehlersichere Ausgänge, TwinSAFE, 24 V DC</t>
  </si>
  <si>
    <t>EtherCAT plug-in module, 8 fail-safe inputs, 4 fail-safe outputs, TwinSAFE, 24 V DC</t>
  </si>
  <si>
    <t>EJ2008</t>
  </si>
  <si>
    <t>EtherCAT-Steckmodul, 8-Kanal-Digital-Ausgang 24 V DC, 0,5 A</t>
  </si>
  <si>
    <t>EtherCAT plug-in module, 8-channel digital output 24 V DC, 0.5 A</t>
  </si>
  <si>
    <t>EJ2502</t>
  </si>
  <si>
    <t>EtherCAT-Steckmodul, 2-Kanal-Pulsweiten-Ausgang 24 V DC, 0,5 A</t>
  </si>
  <si>
    <t>EtherCAT plug-in module, 2-channel pulse width output 24 V DC, 0.5 A</t>
  </si>
  <si>
    <t>EJ2809</t>
  </si>
  <si>
    <t>EtherCAT-Steckmodul, 16-Kanal-Digital-Ausgang 24 V DC, 0,5 A</t>
  </si>
  <si>
    <t>EtherCAT plug-in module, 16-channel digital output 24 V DC, 0.5 A</t>
  </si>
  <si>
    <t>EJ2889</t>
  </si>
  <si>
    <t>EtherCAT-Steckmodul, 16-Kanal-Digital-Ausgang 24 V DC, 0,5 A, Masse schaltend</t>
  </si>
  <si>
    <t>EtherCAT plug-in module, 16-channel digital output 24 V DC, 0.5 A, 0 V (ground) switching</t>
  </si>
  <si>
    <t>EJ2914</t>
  </si>
  <si>
    <t>EtherCAT-Steckmodul, 4-Kanal-Digital-Ausgang, TwinSAFE, 24 V DC, 0,5 A</t>
  </si>
  <si>
    <t>EtherCAT plug-in module, 4-channel digital output, TwinSAFE, 24 V DC, 0.5 A</t>
  </si>
  <si>
    <t>EJ2918</t>
  </si>
  <si>
    <t>EtherCAT-Steckmodul, 8-Kanal-Digital-Ausgang, TwinSAFE, 24 V DC, 0,5 A</t>
  </si>
  <si>
    <t>EtherCAT plug-in module, 8-channel digital output, TwinSAFE, 24 V DC, 0.5 A</t>
  </si>
  <si>
    <t>EJ3004</t>
  </si>
  <si>
    <t>EtherCAT-Steckmodul, 4-Kanal-Analog-Eingang -10…+10 V, single-ended, 12 Bit</t>
  </si>
  <si>
    <t>EtherCAT plug-in module, 4-channel analog input -10…+10 V, single-ended, 12 bit</t>
  </si>
  <si>
    <t>EJ3108</t>
  </si>
  <si>
    <t>EtherCAT-Steckmodul, 8-Kanal-Analog-Eingang -10…+10 V, 6 x Differenzeingang, 2 x single-ended, 16 Bit</t>
  </si>
  <si>
    <t>EtherCAT plug-in module, 8-channel analog input -10…+10 V, 6 x differential input, 2 x single-ended, 16 bit</t>
  </si>
  <si>
    <t>EJ3202</t>
  </si>
  <si>
    <t>EtherCAT-Steckmodul, 2-Kanal-Analog-Eingang PT100 (RTD)</t>
  </si>
  <si>
    <t>EtherCAT plug-in module, 2-channel analog input PT100 (RTD)</t>
  </si>
  <si>
    <t>EJ3214</t>
  </si>
  <si>
    <t>EtherCAT-Steckmodul, 4-Kanal-Analog-Eingang PT100 (RTD)</t>
  </si>
  <si>
    <t>EtherCAT plug-in module, 4-channel analog input PT100 (RTD)</t>
  </si>
  <si>
    <t>EJ4002</t>
  </si>
  <si>
    <t>EtherCAT-Steckmodul, 2-Kanal-Analog-Ausgang 0…10 V, 12 Bit</t>
  </si>
  <si>
    <t>EtherCAT plug-in module, 2-channel analog output 0…10 V, 12 bit</t>
  </si>
  <si>
    <t>EJ4134</t>
  </si>
  <si>
    <t>EtherCAT-Steckmodul, 4-Kanal-Analog-Ausgang -10…+10 V, 16 Bit</t>
  </si>
  <si>
    <t>EtherCAT plug-in module, 4-channel analog output -10…+10 V, 16 bit</t>
  </si>
  <si>
    <t>EJ5002</t>
  </si>
  <si>
    <t>EtherCAT-Steckmodul, 2-Kanal-SSI-Geber-Interface</t>
  </si>
  <si>
    <t>EtherCAT plug-in module, 2-channel SSI encoder interface</t>
  </si>
  <si>
    <t>EJ6910</t>
  </si>
  <si>
    <t>EJ7047</t>
  </si>
  <si>
    <t>EtherCAT-Steckmodul, Schrittmotormodul 50 V DC, 5 A, mit Inkremental-Encoder, feldorientierte Regelung</t>
  </si>
  <si>
    <t>EtherCAT plug-in module, stepper motor module 50 V DC, 5 A, with incremental encoder, vector control</t>
  </si>
  <si>
    <t>EJ7211-0010</t>
  </si>
  <si>
    <t>EtherCAT-Steckmodul, Servomotormodul mit OCT, 50 V DC, 4,5 ARMS</t>
  </si>
  <si>
    <t>EtherCAT plug-in module, servomotor module with OCT, 50 V DC, 4.5 ARMS</t>
  </si>
  <si>
    <t>EJ7342</t>
  </si>
  <si>
    <t>EtherCAT-Steckmodul, 2-Kanal-DC-Motor-Endstufe 50 V DC, 3,5 A</t>
  </si>
  <si>
    <t>EtherCAT plug-in module, 2-channel DC motor output stage 50 V DC, 3.5 A</t>
  </si>
  <si>
    <t>EJ9001</t>
  </si>
  <si>
    <t>EtherCAT-Steckmodul, Platzhaltermodul</t>
  </si>
  <si>
    <t>EtherCAT plug-in module, placeholder module</t>
  </si>
  <si>
    <t>EJ9400</t>
  </si>
  <si>
    <t>Netzteil-Steckmodul zur E-Bus-Auffrischung, 2,5 A</t>
  </si>
  <si>
    <t>power supply plug-in module for E-bus, 2.5 A</t>
  </si>
  <si>
    <t>EJ9404</t>
  </si>
  <si>
    <t>Netzteil-Steckmodul zur E-Bus-Auffrischung, 12 A</t>
  </si>
  <si>
    <t>power supply plug-in module for E-bus, 12 A</t>
  </si>
  <si>
    <t>EJ9505</t>
  </si>
  <si>
    <t>Netzteil-Steckmodul 5 V DC</t>
  </si>
  <si>
    <t>power supply plug-in module 5 V DC</t>
  </si>
  <si>
    <t>EJ9576</t>
  </si>
  <si>
    <t>EtherCAT-Steckmodul, Brems-Chopper-Modul</t>
  </si>
  <si>
    <t>EtherCAT plug-in module, brake chopper module</t>
  </si>
  <si>
    <t>EK1110-0008</t>
  </si>
  <si>
    <t>EtherCAT-Verlängerung, mit M8-Buchse</t>
  </si>
  <si>
    <t>EtherCAT extension, with M8 socket</t>
  </si>
  <si>
    <t>EtherCAT-Koppler mit ID-Switch, Singlemode-LWL-Anschluss für E-Bus-Klemmen (ELxxxx), Länge zwischen Stationen bis zu 20 km</t>
  </si>
  <si>
    <t>EtherCAT Coupler with ID switch, singlemode fibre optic for E-bus terminals (ELxxxx), distance between stations up to 20 km</t>
  </si>
  <si>
    <t>EtherCAT Coupler for E-bus terminals (ELxxxx) with integrated digital I/Os:
– 4 digital inputs 24 V DC, filter 3.0 ms, type 3
– 4 digital outputs 24 V DC, 0.5 A, 1-wire system</t>
  </si>
  <si>
    <t>EtherCAT Coupler for E-bus terminals (ELxxxx) with integrated digital I/Os:
– 8 digital inputs 24 V DC, filter 3.0 ms, type 3
– 4 digital outputs 24 V DC, 0.5 A, 1-wire system</t>
  </si>
  <si>
    <t>EtherCAT Coupler for E-bus terminals (ELxxxx) with integrated digital I/Os:
– 4 digital inputs 24 V DC, filter 3.0 ms, type 3
– 8 digital outputs 24 V DC, 0.5 A, 1-wire system</t>
  </si>
  <si>
    <t>EtherCAT Coupler for E-bus terminals (ELxxxx) with integrated digital I/Os:
– 8 digital outputs 24 V DC, 0.5 A, 1-wire system</t>
  </si>
  <si>
    <t>EtherCAT Coupler for E-bus terminals (ELxxxx) with integrated digital standard and safety I/Os:
– 6 digital inputs, 2 of which are fail-safe inputs, 24 V DC, filter 3.0 ms, type 3
– 6 digital outputs, 2 of which are fail-safe outputs, 24 V DC, 0.5 A, 1-wire system</t>
  </si>
  <si>
    <t>TwinSAFE Compact Controller for EtherCAT Terminals (ELxxxx) with integrated I/Os:
– safe digital inputs 24 V DC
– safe digital outputs 24 V DC, 2 A, 1-wire system
– safe digital outputs, potential-free make contacts (optional)
safety protocol: TwinSAFE/Safety over EtherCAT</t>
  </si>
  <si>
    <t>---</t>
  </si>
  <si>
    <t>EK9160</t>
  </si>
  <si>
    <t>IoT-Buskoppler für EtherCAT-Klemmen (ELxxxx)</t>
  </si>
  <si>
    <t>IoT Bus Coupler for EtherCAT Terminals (ELxxxx)</t>
  </si>
  <si>
    <t>PROFINET RT Bus Coupler for EtherCAT Terminals (ELxxxx)</t>
  </si>
  <si>
    <t>4-channel digital input terminal 5 V DC, filter 0,05 µs,
2 inputs 3-wire system, 2 inputs 1-wire system</t>
  </si>
  <si>
    <t>EL2014</t>
  </si>
  <si>
    <t>4-Kanal-Digital-Ausgangsklemme 24 V DC, 0,5 A, 1-Leitertechnik, mit Diagnose</t>
  </si>
  <si>
    <t>4-channel digital output terminal 24 V DC, 0.5 A, 1-wire system, with diagnostics</t>
  </si>
  <si>
    <t>8-channel digital output terminal 30 V AC/DC (inductive), 48 V DC (ohmic), 2 A, solid state relay, potential-free</t>
  </si>
  <si>
    <t>1-Kanal-Eingangsklemme PT100 (RTD) für 2-, 3- und 4-Leiteranschluss, 16 Bit, hochpräzise</t>
  </si>
  <si>
    <t>1-Kanal-Eingangsklemme PT100 (RTD) für 2-, 3- und 4-Leiteranschluss, 16 Bit, hochpräzise, 
mit Kalibrierungszertifikat</t>
  </si>
  <si>
    <t>1-channel input terminal PT100 (RTD) for 2-, 3- or 4-wire connection, 16 bit, high-precision, 
with calibration certificate</t>
  </si>
  <si>
    <t>4-channel universal input terminal for RTD up to 240 kΩ, NTC 20 k, 16 bit, 2-wire system</t>
  </si>
  <si>
    <t>EL3621-0020</t>
  </si>
  <si>
    <t>1-Kanal-Analog-Eingangsklemme 4…20 mA, Differenzeingang, 24 Bit, mit Kalibierungszertifikat</t>
  </si>
  <si>
    <t>1-channel analog input terminal 4…20 mA, differential input, 24 bit, with calibration certificate</t>
  </si>
  <si>
    <t>EL5101-0011</t>
  </si>
  <si>
    <t>Inkremental-Encoder-Interface mit Oversampling</t>
  </si>
  <si>
    <t>Incremental encoder interface with oversampling</t>
  </si>
  <si>
    <t>License key terminal for TwinCAT 3.1</t>
  </si>
  <si>
    <t>PROFINET RT controller terminal</t>
  </si>
  <si>
    <t>PROFINET RT device terminal terminal</t>
  </si>
  <si>
    <t>EtherNet/IP master terminal</t>
  </si>
  <si>
    <t>TwinSAFE Logic, protocol TwinSAFE/Safety over EtherCAT</t>
  </si>
  <si>
    <t>Stepper motor terminal 24 V DC, 1.5 A, 2 phases, 2 digital inputs 24 V DC</t>
  </si>
  <si>
    <t>Stepper motor terminal with incremental encoder, 50 V DC, 5 A, 2 phases
2 digital inputs 24 V DC
4 digital inputs for an incremental encoder</t>
  </si>
  <si>
    <t>Servomotor terminal 50 V DC, 2.8 ARMS/4 A (peak value)
1 resolver input
1 digital output for a motor brake 24 V DC</t>
  </si>
  <si>
    <t>Servomotor terminal with OCT, integrated absolute value interface, 50 V DC, 2.8 ARMS/4 A (peak value)
2 digital inputs 24 V DC
1 digital output for a motor brake 24 V DC</t>
  </si>
  <si>
    <t>EL7201-9014</t>
  </si>
  <si>
    <t>Servomotor-EtherCAT-Klemme mit OCT und STO-Eingang, 50 V DC, 2,8 ARMS</t>
  </si>
  <si>
    <t>Servomotor terminal 50 V DC, 4.5 ARMS/6.3 A (peak value)
1 resolver input
1 digital output for a motor brake 24 V DC</t>
  </si>
  <si>
    <t>Servomotor terminal with OCT, integrated absolute value interface, 50 V DC, 4.5 ARMS/6.3 A (peak value)
2 digital inputs 24 V DC
1 digital output for a motor brake 24 V DC</t>
  </si>
  <si>
    <t>EL7211-9014</t>
  </si>
  <si>
    <t>Servomotor-EtherCAT-Klemme mit OCT und STO-Eingang, 50 V DC, 4,5 ARMS</t>
  </si>
  <si>
    <t>Servomotor EtherCAT Terminal with OCT and STO input, 50 V DC, 4.5 ARMS</t>
  </si>
  <si>
    <t>Potential distribution terminals with 16 terminal connections, max. 60 V AC/DC, power contacts are fed through, 2 separate potentials with 8 terminal points per potential</t>
  </si>
  <si>
    <t>Potential distribution terminals with 16 terminal connections, max. 60 V AC/DC, power contacts are fed through, 8 separate potentials with 2 terminal points per potential</t>
  </si>
  <si>
    <t>Potential distribution terminals with 16 terminal connections, max. 60 V AC/DC, power contacts are fed through, 1 separate potential with 16 terminal points per potential</t>
  </si>
  <si>
    <t>KL1002</t>
  </si>
  <si>
    <t>KL1012</t>
  </si>
  <si>
    <t>2-Kanal-Digital-Eingangsklemme 24 V DC, Filter 0,2 ms, 4-Leitertechnik</t>
  </si>
  <si>
    <t>2-channel digital input terminal 24 V DC, filter 0.2 ms, 4-wire system</t>
  </si>
  <si>
    <t>KL1032</t>
  </si>
  <si>
    <t>2-Kanal-Digital-Eingangsklemme 48 V DC, Filter 3,0 ms, 4-Leitertechnik</t>
  </si>
  <si>
    <t>2-channel digital input terminal 48 V DC, filter 3.0 ms, 4-wire system</t>
  </si>
  <si>
    <t>KL1052</t>
  </si>
  <si>
    <t>2-Kanal-Digital-Eingangsklemme 24 V DC, P/N-schaltend, Filter 3,0 ms, 4-Leitertechnik</t>
  </si>
  <si>
    <t>2-channel digital input terminal 24 V DC, positive/negative switching, filter 3.0 ms, 4-wire system</t>
  </si>
  <si>
    <t>4-channel digital input terminal 24 V DC, filter 3.0 ms, 
2 inputs 3-wire system, 2 inputs 1-wire system</t>
  </si>
  <si>
    <t>KL1114</t>
  </si>
  <si>
    <t>4-Kanal-Digital-Eingangsklemme 24 V DC, Filter 0,2 ms,
2 Eingänge 3-Leitertechnik, 2 Eingänge 1-Leitertechnik</t>
  </si>
  <si>
    <t>4-channel digital input terminal 24 V DC, filter 0.2 ms, 
2 inputs 3-wire system, 2 inputs 1-wire system</t>
  </si>
  <si>
    <t>KL1124</t>
  </si>
  <si>
    <t>4-Kanal-Digital-Eingangsklemme 5 V DC, Filter 0,2 ms,
2 Eingänge 3-Leitertechnik, 2 Eingänge 1-Leitertechnik</t>
  </si>
  <si>
    <t>4-channel digital input terminal 5 V DC, filter 0.2 ms, 
2 inputs 3-wire system, 2 inputs 1-wire system</t>
  </si>
  <si>
    <t>KL1154</t>
  </si>
  <si>
    <t>4-Kanal-Digital-Eingangsklemme 24 V DC, P/N-schaltend, Filter 3,0 ms
2 Eingänge 3-Leitertechnik, 2 Eingänge 1-Leitertechnik</t>
  </si>
  <si>
    <t>4-channel digital input terminal 24 V DC, positive/negative switching, filter 3.0 ms,
2 inputs 3-wire system, 2 inputs 1-wire system</t>
  </si>
  <si>
    <t>KL1164</t>
  </si>
  <si>
    <t>4-Kanal-Digital-Eingangsklemme 24 V DC, P/N-schaltend, Filter 0,2 ms
2 Eingänge 3-Leitertechnik, 2 Eingänge 1-Leitertechnik</t>
  </si>
  <si>
    <t>4-channel digital input terminal 24 V DC, positive/negative switching, filter 0.2 ms,
2 inputs 3-wire system, 2 inputs 1-wire system</t>
  </si>
  <si>
    <t>KL1184</t>
  </si>
  <si>
    <t>4-Kanal-Digital-Eingangsklemme 24 V DC, N-schaltend, Filter 3,0 ms
2 Eingänge 3-Leitertechnik, 2 Eingänge 1-Leitertechnik</t>
  </si>
  <si>
    <t>4-channel digital input terminal 24 V DC, negative switching, filter 3.0 ms, 
2 inputs 3-wire system, 2 inputs 1-wire system</t>
  </si>
  <si>
    <t>KL1194</t>
  </si>
  <si>
    <t>4-Kanal-Digital-Eingangsklemme 24 V DC, N-schaltend, Filter 0,2 ms
2 Eingänge 3-Leitertechnik, 2 Eingänge 1-Leitertechnik</t>
  </si>
  <si>
    <t>4-channel digital input terminal 24 V DC, negative switching, filter 0.2 ms, 
2 inputs 3-wire system, 2 inputs 1-wire system</t>
  </si>
  <si>
    <t>KL1212</t>
  </si>
  <si>
    <t>2-Kanal-Digital-Eingangsklemme 24 V DC, mit kurzschlussfester Sensorversorgung und Diagnose, 
Filter 3,0 ms, 2 Eingänge 3-Leitertechnik, 4-Bit-Ein- und 2-Bit-Ausgänge</t>
  </si>
  <si>
    <t xml:space="preserve">2-channel digital input terminal 24 V DC, with short-circuit proof sensor supply and diagnostics, 
filter 3.0 ms, 2 inputs 3-wire system, 4 bit input and 2 bit output </t>
  </si>
  <si>
    <t>KL1232</t>
  </si>
  <si>
    <t>2-Kanal-Digital-Eingangsklemme 24 V DC, Filter 0,2 ms, 4-Leitertechnik
mit flankengetriggerter Impulsverlängerung 100 ms</t>
  </si>
  <si>
    <t>2-channel digital input terminal 24 V DC, filter 0.2 ms, 4-wire system
with edge triggered puls expansion 100 ms</t>
  </si>
  <si>
    <t>KL1302</t>
  </si>
  <si>
    <t>2-Kanal-Digital-Eingangsklemme 24 V DC für 2-Drahtsensoren Typ 2, IEC 61131-2, Filter 3,0 ms
2 Eingänge 2-Leitertechnik, 2-Bit-Eingänge</t>
  </si>
  <si>
    <t>2-channel digital input terminal 24 V DC for 2-wire sensors type 2, EN 61131-2, filter 3.0 ms
2 inputs 2-wire system, 2 bit inputs</t>
  </si>
  <si>
    <t>KL1304</t>
  </si>
  <si>
    <t>4-Kanal-Digital-Eingangsklemme 24 V DC für 2-Drahtsensoren Typ 2, IEC 61131-2, Filter 3,0 ms
4 Eingänge 2-Leitertechnik, 4-Bit-Eingänge</t>
  </si>
  <si>
    <t>4-channel digital input terminal 24 V DC for 2-wire sensors type 2, EN 61131-2, filter 3.0 ms
4 inputs 2-wire system, 4 bit inputs</t>
  </si>
  <si>
    <t>KL1312</t>
  </si>
  <si>
    <t>2-Kanal-Digital-Eingangsklemme 24 V DC für 2-Drahtsensoren Typ 2, IEC 61131-2, Filter 0,2 ms
2 Eingänge 2-Leitertechnik, 2-Bit-Eingänge</t>
  </si>
  <si>
    <t>2-channel digital input terminal 24 V DC for 2-wire sensors type 2, EN 61131-2, filter 0.2 ms
2 inputs 2-wire system, 2 bit inputs</t>
  </si>
  <si>
    <t>KL1314</t>
  </si>
  <si>
    <t>4-Kanal-Digital-Eingangsklemme 24 V DC für 2-Drahtsensoren Typ 2, IEC 61131-2, Filter 0,2 ms
4 Eingänge 2-Leitertechnik, 4-Bit-Eingänge</t>
  </si>
  <si>
    <t>4-channel digital input terminal 24 V DC for 2-wire sensors type 2, EN 61131-2, filter 0.2 ms
4 inputs 2-wire system, 4 bit inputs</t>
  </si>
  <si>
    <t>KL1352</t>
  </si>
  <si>
    <t>2-Kanal-Digital-Eingangsklemme 24 V DC für NAMUR-Sensoren, 
2-Leitertechnik, 2-Bit-Eingänge, 2-Bit-Diagnose</t>
  </si>
  <si>
    <t>2-channel digital input terminal 24 V DC for NAMUR sensors, 2-wire connection,
2 bit inputs, 2 bit diagnostics</t>
  </si>
  <si>
    <t>KL1362</t>
  </si>
  <si>
    <t>2-Kanal-Digital-Eingangsklemme für Einbruchsmeldung, Filter 3,0 ms</t>
  </si>
  <si>
    <t>2-channel digital input terminal for break-in alarm, filter 3.0 ms</t>
  </si>
  <si>
    <t>KL1382</t>
  </si>
  <si>
    <t>KL1402</t>
  </si>
  <si>
    <t>2-Kanal-Digital-Eingangsklemme 24 V DC für 2-Drahtsensoren Typ 3, IEC 61131-2, Filter 3,0 ms, 
2-Leitertechnik</t>
  </si>
  <si>
    <t>2-channel digital input terminal 24 V DC for 2-wire sensors type 3, EN 61131-2, filter 3.0 ms,
2-wire system</t>
  </si>
  <si>
    <t>KL1404</t>
  </si>
  <si>
    <t>4-Kanal-Digital-Eingangsklemme 24 V DC für 2-Drahtsensoren, IEC 61131-2, Typ 3, Filter 3,0 ms,
3 mA, 2-Leitertechnik</t>
  </si>
  <si>
    <t>4-channel digital input terminal 24 V DC for 2-wire sensors type 3, IEC 61131-2, filter 3.0 ms, 
3 mA, 2-wire system</t>
  </si>
  <si>
    <t>KL1408</t>
  </si>
  <si>
    <t>8-Kanal-Digital-Eingangsklemme 24 V DC, IEC 61131-2, Typ 3, Filter 3,0 ms,
1-Leitertechnik</t>
  </si>
  <si>
    <t>8-channel digital input terminal 24 V DC, IEC 61131-2, type 3, filter 3.0 ms, 1-wire system</t>
  </si>
  <si>
    <t>KL1412</t>
  </si>
  <si>
    <t>2-Kanal-Digital-Eingangsklemme 24 V DC für 2 Drahtsensoren Typ 3 , IEC 61131-2, Filter 0,2 ms, 
2-Leitertechnik</t>
  </si>
  <si>
    <t>2-channel digital input terminal 24 V DC for 2-wire sensors type 3, EN 61131-2, filter 0.2 ms,
2-wire system</t>
  </si>
  <si>
    <t>KL1414</t>
  </si>
  <si>
    <t>4-Kanal-Digital-Eingangsklemme 24 V DC für 2-Drahtsensoren, Typ 3, IEC 61131-2, Filter 0,2 ms, 
3 mA, 2-Leitertechnik</t>
  </si>
  <si>
    <t>4-channel digital input terminal 24 V DC for 2-wire sensors type 3, IEC 61131-2, filter 0.2 ms, 
3 mA, 2-wire system</t>
  </si>
  <si>
    <t>KL1418</t>
  </si>
  <si>
    <t>8-Kanal-Digital-Eingangsklemme 24 V DC, IEC 61131-2, Typ 3, Filter 0,2 ms,
1-Leitertechnik</t>
  </si>
  <si>
    <t>8-channel digital input terminal 24 V DC, IEC 61131-2, type 3, filter 0.2 ms, 1-wire system</t>
  </si>
  <si>
    <t>KL1434</t>
  </si>
  <si>
    <t>4-Kanal-Digital-Eingangsklemme 24 V DC für 2-Drahtsensoren, Typ 2, IEC 61131-2, Filter 0,2 ms, 
6 mA, 2-Leitertechnik</t>
  </si>
  <si>
    <t>4-channel digital input terminal 24 V DC for 2-wire sensors type 2, EN 61131-2, filter 0.2 ms, 
6 mA, 2-wire system</t>
  </si>
  <si>
    <t>KL1488</t>
  </si>
  <si>
    <t>8-Kanal-Digital-Eingangsklemme 24 V DC, Filter 3,0 ms, 1-Leitertechnik, negativschaltend</t>
  </si>
  <si>
    <t>8-channel digital input terminal 24 V DC, filter 3.0 ms, 1-wire system, negative switching</t>
  </si>
  <si>
    <t>KL1498</t>
  </si>
  <si>
    <t>8-Kanal-Digital-Eingangsklemme 24 V DC, Filter 0,2 ms, 1-Leitertechnik, negativschaltend</t>
  </si>
  <si>
    <t>8-channel digital input terminal 24 V DC, filter 0.2 ms, 1-wire system, negative switching</t>
  </si>
  <si>
    <t>KL1501</t>
  </si>
  <si>
    <t>up/down counter 24 V DC, 100 kHz, 32 bit counter</t>
  </si>
  <si>
    <t>KL1512</t>
  </si>
  <si>
    <t>KL1702</t>
  </si>
  <si>
    <t>2-Kanal-Digital-Eingangsklemme 120 V AC bis 230 V AC, 4-Leitertechnik</t>
  </si>
  <si>
    <t>2-channel digital input terminal 120 V AC to 230 V AC, 4-wire system</t>
  </si>
  <si>
    <t>KL1704</t>
  </si>
  <si>
    <t>4-Kanal-Digital-Eingangsklemme 120 V AC bis 230 V AC, 2-Leitertechnik</t>
  </si>
  <si>
    <t>4-channel digital input terminal 120 V AC to 230 V AC, 2-wire system</t>
  </si>
  <si>
    <t>KL1712</t>
  </si>
  <si>
    <t>KL1712-0060</t>
  </si>
  <si>
    <t>2-Kanal-Digital-Eingangsklemme 60 V DC, 4-Leitertechnik</t>
  </si>
  <si>
    <t>2-channel digital input terminal 60 V DC, 4-wire system</t>
  </si>
  <si>
    <t>KL1722</t>
  </si>
  <si>
    <t>2-Kanal-Digital-Eingangsklemme 120 V AC bis 230 V AC, ohne Powerkontakte, 4-Leitertechnik</t>
  </si>
  <si>
    <t>2-channel digital input terminal 120 V AC to 230 V AC, without power contacts, 4-wire system</t>
  </si>
  <si>
    <t>KL1804</t>
  </si>
  <si>
    <t>KL1808</t>
  </si>
  <si>
    <t>KL1809</t>
  </si>
  <si>
    <t>KL1814</t>
  </si>
  <si>
    <t>4-Kanal-Digital-Eingangsklemme 24 V DC, Filter 0,2 ms, 3-Leitertechnik</t>
  </si>
  <si>
    <t>4-channel digital input terminal 24 V DC, filter 0.2 ms, 3-wire system</t>
  </si>
  <si>
    <t>KL1819</t>
  </si>
  <si>
    <t>16-Kanal-Digital-Eingangsklemme 24 V DC, Filter 0,2 ms, Typ 3</t>
  </si>
  <si>
    <t>16-channel digital input terminal 24 V DC, filter 0.2 ms, type 3</t>
  </si>
  <si>
    <t>KL1859</t>
  </si>
  <si>
    <t>KL1862</t>
  </si>
  <si>
    <t>KL1862-0010</t>
  </si>
  <si>
    <t>KL1872</t>
  </si>
  <si>
    <t>16-Kanal-Digital-Eingangsklemme 24 V DC, Filter 0,2 ms, Flachbandkabelanschluss, Typ 3</t>
  </si>
  <si>
    <t>16-channel digital input terminal 24 V DC, filter 0.2 ms, flat-ribbon cable connection, type 3</t>
  </si>
  <si>
    <t>KL1889</t>
  </si>
  <si>
    <t>KL1904</t>
  </si>
  <si>
    <t>KL2012</t>
  </si>
  <si>
    <t>KL2022</t>
  </si>
  <si>
    <t>2-Kanal-Digital-Ausgangsklemme 24 V DC, 2,0 A, 4-Leitertechnik</t>
  </si>
  <si>
    <t>2-channel digital output terminal 24 V DC, 2.0 A, 4-wire system</t>
  </si>
  <si>
    <t>KL2032</t>
  </si>
  <si>
    <t>2-Kanal-Digital-Ausgangsklemme 24 V DC, 0,5 A mit Verpolungsschutz, 4-Leitertechnik</t>
  </si>
  <si>
    <t>2-channel digital output terminal 24 V DC, 0.5 A with polarity protection, 4-wire system</t>
  </si>
  <si>
    <t>KL2114</t>
  </si>
  <si>
    <t>4-Kanal-Digital-Ausgangsklemme 24 V DC, 0,5 A,
2 Ausgänge 3-Leitertechnik, 2 Ausgänge 1-Leitertechnik</t>
  </si>
  <si>
    <t>4-channel digital output terminal 24 V DC, 0.5 A,
2 outputs 3-wire system, 2 outputs 1-wire system</t>
  </si>
  <si>
    <t>KL2124</t>
  </si>
  <si>
    <t>KL2134</t>
  </si>
  <si>
    <t>4-Kanal-Digital-Ausgangsklemme 24 V DC, 0,5 A mit Verpolungsschutz
2 Ausgänge 3-Leitertechnik, 2 Ausgänge 1-Leitertechnik</t>
  </si>
  <si>
    <t>4-channel digital output terminal 24 V DC, 0.5 A with polarity protection,
2 outputs 3-wire systems, 2 outputs 1-wire system</t>
  </si>
  <si>
    <t>KL2184</t>
  </si>
  <si>
    <t>4-Kanal-Digital-Ausgangsklemme 24 V DC, N-schaltend, 0,5 A
2 Ausgänge 3-Leitertechnik, 2 Ausgänge 1-Leitertechnik</t>
  </si>
  <si>
    <t>4-channel digital output terminal 24 V DC, negative switching, 0.5 A, 
2 outputs 3-wire systems, 2 outputs 1-wire system</t>
  </si>
  <si>
    <t>KL2212</t>
  </si>
  <si>
    <t>2-Kanal-Digital-Ausgangsklemme 24 V DC, 0,5 A, 4-Leitertechnik, Diagnosefunktion 
Drahtbruch/Überlast</t>
  </si>
  <si>
    <t>2-channel digital output terminal 24 V DC, 0.5 A, 4-wire system, diagnostics function
wire breakage and overload</t>
  </si>
  <si>
    <t>KL2284</t>
  </si>
  <si>
    <t>4-Kanal-Digital-Ausgangsklemme 24 V DC, 2 A, Wendeschaltung</t>
  </si>
  <si>
    <t>4-channel digital output terminal 24 V DC, 2 A, reverse switching</t>
  </si>
  <si>
    <t>4-Kanal-Digital-Ausgangsklemme 24 V DC, 0,5 A mit Verpolungsschutz, 2-Leitertechnik</t>
  </si>
  <si>
    <t>4-channel digital output terminal 24 V DC, 0.5 A with polarity protection, 2-wire system</t>
  </si>
  <si>
    <t>KL2408</t>
  </si>
  <si>
    <t>8-Kanal-Digital-Ausgangsklemme 24 V DC, 0,5 A, Summenstrom 3 A, 1-Leitertechnik</t>
  </si>
  <si>
    <t>8-channel digital output terminal 24 V DC, 0.5 A, total current 3 A, single-conductor connection</t>
  </si>
  <si>
    <t>KL2424</t>
  </si>
  <si>
    <t>4-Kanal-Digital-Ausgangsklemme 24 V DC, 2 A mit Verpolungsschutz, 2-Leitertechnik</t>
  </si>
  <si>
    <t>4-channel digital output terminal 24 V DC, 2 A with polarity protection, 2-wire system</t>
  </si>
  <si>
    <t>KL2442</t>
  </si>
  <si>
    <t>2-channel digital output terminal 24 V DC, 2 x 4 A/1 x 8 A, 3-wire-system</t>
  </si>
  <si>
    <t>KL2488</t>
  </si>
  <si>
    <t>8-Kanal-Digital-Ausgangsklemme 24 V DC, 0,5 A, Summenstrom 3 A, 1-Leitertechnik, N-schaltend</t>
  </si>
  <si>
    <t>8-channel digital output terminal 24 V DC, 0.5 A, total current 3 A, 1-wire system, negative switching</t>
  </si>
  <si>
    <t>KL2502</t>
  </si>
  <si>
    <t>2-Kanal-Pulsweiten-Ausgangsklemme 24 V DC, 0,1 A, 4-Leitertechnik</t>
  </si>
  <si>
    <t>2-channel pulse width output terminal 24 V DC, 0.1 A, 4-wire system</t>
  </si>
  <si>
    <t>KL2512</t>
  </si>
  <si>
    <t>2-Kanal-Pulsweiten-Ausgangsklemme 24 V DC, 1,5 A, 4-Leitertechnik, negativ schaltend</t>
  </si>
  <si>
    <t>2-channel pulse width output terminal 24 V DC, 1.5 A, 4-wire system, switching to negative potential</t>
  </si>
  <si>
    <t>KL2521</t>
  </si>
  <si>
    <t>KL2521-0024</t>
  </si>
  <si>
    <t>KL2531</t>
  </si>
  <si>
    <t>Schrittmotorklemme, 24 V DC, 1,5 A, 2 Phasen, 2 digitale Eingänge 24 V DC</t>
  </si>
  <si>
    <t>stepper motor terminal 24 V DC, 1.5 A, 2 phases, 2 digital inputs 24 V DC</t>
  </si>
  <si>
    <t>KL2532</t>
  </si>
  <si>
    <t>KL2535</t>
  </si>
  <si>
    <t>KL2541</t>
  </si>
  <si>
    <t>stepper motor terminal with incremental encoder, 50 V DC, 5 A, 2 phases
2 digital inputs 24 V DC
4 digital inputs for an incremental encoder</t>
  </si>
  <si>
    <t>KL2545</t>
  </si>
  <si>
    <t>KL2552</t>
  </si>
  <si>
    <t>2-Kanal-DC-Motor-Endstufe 50 V DC, 5 A</t>
  </si>
  <si>
    <t>2-channel DC motor output stage 50 V DC, 5 A</t>
  </si>
  <si>
    <t>KL2602</t>
  </si>
  <si>
    <t>2-Kanal-Relais-Ausgangsklemme 230 V AC, 2 A, Schließer, 4-Leitertechnik</t>
  </si>
  <si>
    <t>2-channel relay output terminal 230 V AC, 2 A, make contacts, 4-wire system</t>
  </si>
  <si>
    <t>KL2612</t>
  </si>
  <si>
    <t>2-Kanal-Relais-Ausgangsklemme 125 V AC, 0,5 A, potenzialfreie Wechsler, 4-Leitertechnik,
ohne Powerkontakte</t>
  </si>
  <si>
    <t>2-channel relay output terminal 125 V AC, 0.5 A, change-over, 4-wire system, no power contacts</t>
  </si>
  <si>
    <t>KL2622</t>
  </si>
  <si>
    <t>2-Kanal-Relais-Ausgangsklemme 230 V AC, 2 A, potenzialfreie Schließer, 4-Leitertechnik,
ohne Powerkontakte</t>
  </si>
  <si>
    <t>2-channel relay output terminal 230 V AC, 2 A, make contacts, 4-wire system, no power contacts</t>
  </si>
  <si>
    <t>KL2631</t>
  </si>
  <si>
    <t>1-Kanal-Relais-Ausgangsklemme 400 V AC, 300 V DC, Schließer, 4-Leitertechnik</t>
  </si>
  <si>
    <t>1-channel relay output terminal 400 V AC, 300 V DC, make contacts, 4-wire system</t>
  </si>
  <si>
    <t>KL2641</t>
  </si>
  <si>
    <t>1-Kanal-Relais-Ausgangsklemme 230 V AC, 16 A mit Handbedienung</t>
  </si>
  <si>
    <t>1-channel relay output terminal 230 V AC, 16 A with manual operation</t>
  </si>
  <si>
    <t>KL2652</t>
  </si>
  <si>
    <t>2-Kanal-Relais-Ausgangsklemme 230 V AC, 300 V DC, 1 A</t>
  </si>
  <si>
    <t>2-channel relay output terminal 230 V AC, 300 V DC, 1 A</t>
  </si>
  <si>
    <t>KL2692</t>
  </si>
  <si>
    <t>Zyklusüberwachungsklemme (Watchdog)
2 digitale Eingänge 24 V DC
2 Relaisausgänge, 230 V AC, 2 A, potenzialfreie Schließer, 4-Leitertechnik</t>
  </si>
  <si>
    <t>cycle monitoring terminal (watchdog)
2 digital inputs 24 V DC
2 relay outputs, 230 V AC, 2 A, potential-free normally-open contact, 4-wire system</t>
  </si>
  <si>
    <t>KL2701</t>
  </si>
  <si>
    <t>1-Kanal-Solid-State-Relaisklemme bis 230 V AC/DC, 3 A</t>
  </si>
  <si>
    <t>1-channel solid state relay up to 230 V AC/DC, 3 A</t>
  </si>
  <si>
    <t>KL2702</t>
  </si>
  <si>
    <t>2-Kanal-Solid-State-Relaisklemme bis 230 V AC/DC, 0,3 A</t>
  </si>
  <si>
    <t>2-channel solid state relay up to 230 V AC/DC, 0.3 A</t>
  </si>
  <si>
    <t>KL2702-0002</t>
  </si>
  <si>
    <t>2-Kanal-Solid-State-Relaisklemme bis 230 V AC/DC, 2 A</t>
  </si>
  <si>
    <t>2-channel solid state relay up to 230 V AC/DC, 2 A</t>
  </si>
  <si>
    <t>KL2702-0020</t>
  </si>
  <si>
    <t>2-Kanal-Solid-State-Relaisklemme bis 230 V AC/DC, 1,5 A</t>
  </si>
  <si>
    <t>2-channel solid state relay up to 230 V AC/DC, 1.5 A</t>
  </si>
  <si>
    <t>KL2712</t>
  </si>
  <si>
    <t>KL2722</t>
  </si>
  <si>
    <t>KL2732</t>
  </si>
  <si>
    <t>2-Kanal-Triac-Ausgangsklemme 12…230 V AC, 1 A mit Verriegelungslogik (ohne Powerkontakte)</t>
  </si>
  <si>
    <t>2-channel triac output terminal 12…230 V AC, 1 A with mutually locked outputs
(without power contacts)</t>
  </si>
  <si>
    <t>KL2751</t>
  </si>
  <si>
    <t>1-Kanal-Universal-Dimmerklemme, 230 V AC, 300 VA (W), 50 Hz</t>
  </si>
  <si>
    <t>1-channel universal dimmer terminal, 230 V AC, 300 VA (W), 50 Hz</t>
  </si>
  <si>
    <t>KL2751-0011</t>
  </si>
  <si>
    <t>1-Kanal-Universal-Dimmerklemme, 230 V AC, 300 VA (W), 50 Hz (ohne Powerkontakte)</t>
  </si>
  <si>
    <t>1-channel universal dimmer terminal, 230 V AC, 300 VA (W), 50 Hz (without power contacts)</t>
  </si>
  <si>
    <t>KL2761</t>
  </si>
  <si>
    <t>1-Kanal-Universal-Dimmerklemme, 230 V AC, 600 W, 50 Hz</t>
  </si>
  <si>
    <t>1-channel universal dimmer terminal, 230 V AC, 600 VA (W), 50 Hz</t>
  </si>
  <si>
    <t>KL2761-0011</t>
  </si>
  <si>
    <t>1-Kanal-Universal-Dimmerklemme, 230 V AC, 600 VA (W), 50 Hz (ohne Powerkontakte)</t>
  </si>
  <si>
    <t>1-channel universal dimmer terminal, 230 V AC, 600 VA (W), 50 Hz (without power contacts)</t>
  </si>
  <si>
    <t>KL2784</t>
  </si>
  <si>
    <t>4-Kanal-Digital-Ausgangsklemme 30 V AC/DC (induktiv), 48 V DC (ohmsch),  2 A, Solid-State-Relais</t>
  </si>
  <si>
    <t>KL2791</t>
  </si>
  <si>
    <t>1-Kanal-AC-Motor-Drehzahlsteller 230 V AC, 200 VA, 50 Hz</t>
  </si>
  <si>
    <t>1-channel AC motor speed controller 230 V AC, 200 VA, 50 Hz</t>
  </si>
  <si>
    <t>KL2794</t>
  </si>
  <si>
    <t>KL2798</t>
  </si>
  <si>
    <t>8-Kanal-Digital-Ausgangsklemme 30 V AC/DC (induktiv), 48 V DC (ohmsch), 2 A, Solid-State-Relais, potentialfreie Schließer</t>
  </si>
  <si>
    <t>KL2808</t>
  </si>
  <si>
    <t>KL2809</t>
  </si>
  <si>
    <t>KL2819</t>
  </si>
  <si>
    <t>16-Kanal-Digital-Ausgangsklemme 24 V DC, 0,5 A, mit Diagnose, 1-Leitertechnik</t>
  </si>
  <si>
    <t>16-channel digital output terminal 24 V DC, 0.5 A, with diagnostics, 1-wire system</t>
  </si>
  <si>
    <t>KL2828</t>
  </si>
  <si>
    <t>KL2872</t>
  </si>
  <si>
    <t>KL2872-0010</t>
  </si>
  <si>
    <t>KL2889</t>
  </si>
  <si>
    <t>KL2904</t>
  </si>
  <si>
    <t>KL3001</t>
  </si>
  <si>
    <t>1-Kanal-Analog-Eingangsklemme -10 V…+10 V, Differenzeingang, 12 Bit</t>
  </si>
  <si>
    <t>1-channel analog input terminal -10 V…+10 V, differential input, 12 bit</t>
  </si>
  <si>
    <t>KL3002</t>
  </si>
  <si>
    <t>2-Kanal-Analog-Eingangsklemme -10 V…+10 V, Differenzeingang, 12 Bit</t>
  </si>
  <si>
    <t>2-channel analog input terminal -10 V…+10 V, differential input, 12 bit</t>
  </si>
  <si>
    <t>KL3011</t>
  </si>
  <si>
    <t>KL3012</t>
  </si>
  <si>
    <t xml:space="preserve">2-Kanal-Analog-Eingangsklemme 0…20 mA, Differenzeingang,12 Bit </t>
  </si>
  <si>
    <t>2-channel analog input terminal 0…20 mA, differential input, 12 bit</t>
  </si>
  <si>
    <t>KL3021</t>
  </si>
  <si>
    <t>KL3022</t>
  </si>
  <si>
    <t xml:space="preserve">2-Kanal-Analog-Eingangsklemme 4…20 mA, Differenzeingang,12 Bit </t>
  </si>
  <si>
    <t>2-channel analog input terminal 4…20 mA, differential input, 12 bit</t>
  </si>
  <si>
    <t>KL3041</t>
  </si>
  <si>
    <t xml:space="preserve">1-Kanal-Analog-Eingangsklemme 0…20 mA mit Versorgung für Messumformer über Powerkontakte, 12 Bit </t>
  </si>
  <si>
    <t>1-channel loop-powered input terminal 0…20 mA, with power supply for transducers via power contacts, 12 bit</t>
  </si>
  <si>
    <t>KL3042</t>
  </si>
  <si>
    <t xml:space="preserve">2-Kanal-Analog-Eingangsklemme 0…20 mA mit Versorgung für Messumformer über Powerkontakte, 12 Bit </t>
  </si>
  <si>
    <t>2-channel loop-powered input terminal 0…20 mA, with power supply for transducers via power contacts, 12 bit</t>
  </si>
  <si>
    <t>KL3044</t>
  </si>
  <si>
    <t xml:space="preserve">4-Kanal-Analog-Eingangsklemme 0…20 mA, 12 Bit </t>
  </si>
  <si>
    <t>4-channel analog input terminal 0…20 mA, 12 bit</t>
  </si>
  <si>
    <t>KL3051</t>
  </si>
  <si>
    <t xml:space="preserve">1-Kanal-Analog-Einspeiseklemme 4…20 mA mit Versorgung für Messumformer über Powerkontakte, 12 Bit </t>
  </si>
  <si>
    <t>1-channel loop-powered input terminal 4…20 mA, with power supply for transducers via power contacts, 12 bit</t>
  </si>
  <si>
    <t>KL3052</t>
  </si>
  <si>
    <t xml:space="preserve">2-Kanal-Analog-Einspeiseklemme 4…20 mA mit Versorgung für Messumformer über Powerkontakte, 12 Bit </t>
  </si>
  <si>
    <t>2-channel loop-powered input terminal 4…20 mA, with power supply for transducers via power contacts, 12 bit</t>
  </si>
  <si>
    <t>KL3054</t>
  </si>
  <si>
    <t xml:space="preserve">4-Kanal-Analog-Eingangsklemme 4…20 mA, 12 Bit </t>
  </si>
  <si>
    <t>4-channel analog input terminal 4…20 mA, 12 bit</t>
  </si>
  <si>
    <t>KL3061</t>
  </si>
  <si>
    <t>1-channel analog input terminal 0…10 V, single-ended, 12 bit</t>
  </si>
  <si>
    <t>KL3062</t>
  </si>
  <si>
    <t>2-channel analog input terminal 0…10 V, single-ended, 12 bit</t>
  </si>
  <si>
    <t>KL3064</t>
  </si>
  <si>
    <t xml:space="preserve">4-Kanal-Analog-Eingangsklemme 0…10 V, single-ended, 12 Bit </t>
  </si>
  <si>
    <t>4-channel analog input terminal 0…10 V , single-ended, 12 bit</t>
  </si>
  <si>
    <t>KL3102</t>
  </si>
  <si>
    <t>2-Kanal-Analog-Eingangsklemme -10 V…+10 V, Differenzeingang,16 Bit</t>
  </si>
  <si>
    <t>KL3112</t>
  </si>
  <si>
    <t>2-Kanal-Analog-Eingangsklemme 0…20 mA, Differenzeingang,16 Bit</t>
  </si>
  <si>
    <t>KL3122</t>
  </si>
  <si>
    <t>2-Kanal-Analog-Eingangsklemme 4…20 mA, Differenzeingang,16 Bit</t>
  </si>
  <si>
    <t>KL3132</t>
  </si>
  <si>
    <t>2-Kanal-Analog-Eingangsklemme -10 V…+10 V, Differenzeingang,16 Bit, ±0,05 % Genauigkeit</t>
  </si>
  <si>
    <t>2-channel analog input terminal -10 V…+10 V, differential input, 16 bit, ±0,05 % accuracy</t>
  </si>
  <si>
    <t>KL3142</t>
  </si>
  <si>
    <t>2-Kanal-Analog-Eingangsklemme 0…20 mA, Differenzeingang,16 Bit, ±0,05 % Genauigkeit</t>
  </si>
  <si>
    <t>2-channel analog input terminal 0…20 mA, differential input, 16 bit, ±0,05 % accuracy</t>
  </si>
  <si>
    <t>KL3152</t>
  </si>
  <si>
    <t>2-Kanal-Analog-Eingangsklemme 4…20 mA, Differenzeingang,16 Bit, ±0,05 % Genauigkeit</t>
  </si>
  <si>
    <t>2-channel analog input terminal 4…20 mA, differential input, 16 bit, ±0,05 % accuracy</t>
  </si>
  <si>
    <t>KL3162</t>
  </si>
  <si>
    <t>2-Kanal-Analog-Eingangsklemme 0…10 V, Differenzeingang,16 Bit, ±0,05 % Genauigkeit</t>
  </si>
  <si>
    <t>2-channel analog input terminal 0…10 V, differential input, 16 bit, ±0,05 % accuracy</t>
  </si>
  <si>
    <t>KL3172</t>
  </si>
  <si>
    <t>2-Kanal-Analog-Eingangsklemme 0…2 V, Differenzeingang,16 Bit, ±0,05 % Genauigkeit</t>
  </si>
  <si>
    <t>2-channel analog input terminal 0…2 V, differential input, 16 bit, ±0,05 % accuracy</t>
  </si>
  <si>
    <t>KL3182</t>
  </si>
  <si>
    <t>2-Kanal-Analog-Eingangsklemme -2 V…+2 V, Differenzeingang,16 Bit, ±0,05 % Genauigkeit</t>
  </si>
  <si>
    <t>2-channel analog input terminal -2 V…2 V, differential input, 16 bit, ±0,05 % accuracy</t>
  </si>
  <si>
    <t>KL3201</t>
  </si>
  <si>
    <t>1-Kanal-Eingangsklemme PT100 (RTD) für Widerstandsthermometer, 16 Bit, 3-Leitertechnik</t>
  </si>
  <si>
    <t>1-channel input terminal PT100 (RTD) for resistance sensors, 16 bit, 3-wire system</t>
  </si>
  <si>
    <t>2-Kanal-Eingangsklemme PT100 (RTD) für Widerstandsthermometer, 16 Bit, 3-Leitertechnik</t>
  </si>
  <si>
    <t>2-channel input terminal PT100 (RTD) for resistance sensors, 16 bit, 3-wire system</t>
  </si>
  <si>
    <t>KL3204</t>
  </si>
  <si>
    <t>KL3204-0030</t>
  </si>
  <si>
    <t>4-Kanal-Eingangsklemme NTC (10kΩ) für Widerstandsthermometer, 16 Bit, 2-Leitertechnik</t>
  </si>
  <si>
    <t>4-channel input terminal NTC (10 kΩ) for resistance sensors, 16 bit, 2-wire system</t>
  </si>
  <si>
    <t>KL3208-0010</t>
  </si>
  <si>
    <t>8-Kanal-Eingangsklemme PT1000, Ni1000, Poti1 kΩ, Poti 5 kΩ, Poti10 kΩ, NTC 1,8 k, NTC 2,2 k, NTC 3 k, NTC 5 k, NTC 10 k, NTC 20 k, NTC 100 k, für Widerstandsthermometer, 0,01 °C Auflösung,
(-20…+60 °C), 2-Leitertechnik</t>
  </si>
  <si>
    <t>8-channel input terminal PT1000, Ni1000, potentiometer 1 kΩ, potentiometer 5 kΩ, potentiometer 10 kΩ, NTC 1.8 k, NTC 2.2 k, NTC 3 k, NTC 5 k, NTC 10 k, NTC 20 k, NTC 100 k, for resistance sensors, resolution 0.01 °C, (-20…+60 °C), 2-wire system</t>
  </si>
  <si>
    <t>KL3214</t>
  </si>
  <si>
    <t>KL3222</t>
  </si>
  <si>
    <t>KL3228</t>
  </si>
  <si>
    <t>8-Kanal-Eingangsklemme PT1000/Ni1000 (RTD) für Widerstandsthermometer, 0,1 °C Auflösung,
1-Leitertechnik</t>
  </si>
  <si>
    <t>8-channel input terminal PT1000, Ni1000 (RTD) for resistance sensors, resolution 0.1 °C,
1-wire system</t>
  </si>
  <si>
    <t>KL3311</t>
  </si>
  <si>
    <t>KL3312</t>
  </si>
  <si>
    <t>KL3314</t>
  </si>
  <si>
    <t>KL3351</t>
  </si>
  <si>
    <t>KL3356</t>
  </si>
  <si>
    <t>1-Kanal präzise Widerstandsbrückenauswertung (DMS), mit Selbstkalibrierung, 16 Bit</t>
  </si>
  <si>
    <t>1-channel accurate resistance bridge evaluation, with self-calibration, 16 bit</t>
  </si>
  <si>
    <t>KL3361</t>
  </si>
  <si>
    <t>1-Kanal-Oszilloskopklemme -20 mV…+20 mV, 100-µs-Abtastzeit, dezentrale Analogwertverarbeitung</t>
  </si>
  <si>
    <t>1-channel oscilloscope terminal, -20 mV…20 mV, 100 µs sampling time, decentralised analog value processing</t>
  </si>
  <si>
    <t>KL3362</t>
  </si>
  <si>
    <t>2-Kanal-Oszilloskopklemme -10 V…+10 V, 100-µs-Abtastzeit, dezentrale Analogwertverarbeitung</t>
  </si>
  <si>
    <t>2-channel oscilloscope terminal, -10 V…+10 V, 100 µs sampling time, decentralised analog value processing</t>
  </si>
  <si>
    <t>KL3403</t>
  </si>
  <si>
    <t>KL3404</t>
  </si>
  <si>
    <t xml:space="preserve">4-Kanal-Analog-Eingangsklemme -10 V…+10 V, 12 Bit, 4 x 2-Leitertechnik </t>
  </si>
  <si>
    <t>4-channel analog input terminal -10 V…+10 V, 12 bit, 4 x 2-wire system</t>
  </si>
  <si>
    <t>KL3408</t>
  </si>
  <si>
    <t>8-Kanal-Analog-Eingangsklemme -10 V…+10 V, 12 Bit, 1-Leitertechnik</t>
  </si>
  <si>
    <t>8-channel analog input terminal -10 V…+10 V, 12 bit, 1-wire system</t>
  </si>
  <si>
    <t>KL3444</t>
  </si>
  <si>
    <t>4-Kanal-Analog-Eingangsklemme 0…20 mA, 12 Bit, 4 x 2-Leitertechnik</t>
  </si>
  <si>
    <t>4-channel analog input terminal 0…20 mA, 12 bit, 4 x 2-wire system</t>
  </si>
  <si>
    <t>KL3448</t>
  </si>
  <si>
    <t xml:space="preserve">8-Kanal-Analog-Eingangsklemme 0…20 mA, 12 Bit, 1-Leitertechnik </t>
  </si>
  <si>
    <t>8-channel analog input terminal 0…20 mA, 12 bit, 1-wire system</t>
  </si>
  <si>
    <t>KL3454</t>
  </si>
  <si>
    <t xml:space="preserve">4-Kanal-Analog-Eingangsklemme 4…20 mA, 12 Bit, 4 x 2-Leitertechnik </t>
  </si>
  <si>
    <t>4-channel analog input terminal 4…20 mA, 12 bit, 4 x 2-wire system</t>
  </si>
  <si>
    <t>KL3458</t>
  </si>
  <si>
    <t>8-Kanal-Analog-Eingangsklemme 4…20 mA, 12 Bit, 1-Leitertechnik</t>
  </si>
  <si>
    <t>8-channel analog input terminal 4…20 mA, 12 bit, 1-wire system</t>
  </si>
  <si>
    <t>KL3464</t>
  </si>
  <si>
    <t>4-Kanal-Analog-Eingangsklemme 0…10 V, 12 Bit, 4 x 2-Leitertechnik</t>
  </si>
  <si>
    <t>4-channel analog input terminal 0…10 V, 12 bit, 4 x 2-wire system</t>
  </si>
  <si>
    <t>KL3468</t>
  </si>
  <si>
    <t>8-Kanal-Analog-Eingangsklemme 0…10 V, 12 Bit, 1-Leitertechnik</t>
  </si>
  <si>
    <t>8-channel analog input terminal 0…10 V, 12 bit, 1-wire system</t>
  </si>
  <si>
    <t>KL3681</t>
  </si>
  <si>
    <t>KL4001</t>
  </si>
  <si>
    <t>1-channel analog output terminal 0…10 V, 12 bit</t>
  </si>
  <si>
    <t>KL4002</t>
  </si>
  <si>
    <t>2-channel analog output terminal 0…10 V, 12 bit</t>
  </si>
  <si>
    <t>KL4004</t>
  </si>
  <si>
    <t xml:space="preserve">4-Kanal-Analog-Ausgangsklemme 0…10 V, 12 Bit  </t>
  </si>
  <si>
    <t>4-channel analog output terminal 0…10 V, 12 bit</t>
  </si>
  <si>
    <t>KL4011</t>
  </si>
  <si>
    <t>1-channel analog output terminal 0…20 mA, 12 bit</t>
  </si>
  <si>
    <t>KL4012</t>
  </si>
  <si>
    <t>2-channel analog output terminal 0…20 mA, 12 bit</t>
  </si>
  <si>
    <t>KL4021</t>
  </si>
  <si>
    <t>1-channel analog output terminal 4…20 mA, 12 bit</t>
  </si>
  <si>
    <t>KL4022</t>
  </si>
  <si>
    <t>2-channel analog output terminal 4…20 mA, 12 bit</t>
  </si>
  <si>
    <t>KL4031</t>
  </si>
  <si>
    <t>1-channel analog output terminal -10 V…+10 V, 12 bit</t>
  </si>
  <si>
    <t>KL4032</t>
  </si>
  <si>
    <t>2-channel analog output terminal -10 V…+10 V, 12 bit</t>
  </si>
  <si>
    <t>KL4034</t>
  </si>
  <si>
    <t xml:space="preserve">4-Kanal-Analog-Ausgangsklemme -10 V…+10 V, 12 Bit </t>
  </si>
  <si>
    <t>4-channel analog output terminal -10 V…+10 V, 12 bit</t>
  </si>
  <si>
    <t>KL4112</t>
  </si>
  <si>
    <t>KL4132</t>
  </si>
  <si>
    <t>KL4404</t>
  </si>
  <si>
    <t>KL4408</t>
  </si>
  <si>
    <t>KL4414</t>
  </si>
  <si>
    <t>KL4418</t>
  </si>
  <si>
    <t>8-channel analog output terminal 0…20 mA, 12 bit, 1-wire system</t>
  </si>
  <si>
    <t>KL4424</t>
  </si>
  <si>
    <t>4-channel analog output terminal 4…20 mA, 12 bit, 4 x 2-wire system</t>
  </si>
  <si>
    <t>KL4428</t>
  </si>
  <si>
    <t>8-channel analog output terminal 4…20 mA, 12 bit, 1-wire system</t>
  </si>
  <si>
    <t>KL4434</t>
  </si>
  <si>
    <t>KL4438</t>
  </si>
  <si>
    <t>8-channel analog output terminal -10 V…+10 V, 12 bit, 1-wire system</t>
  </si>
  <si>
    <t>KL4494</t>
  </si>
  <si>
    <t>2-Kanal-Analog-Eingangs-, 2-Kanal-Analog-Ausgangsklemme -10 V…+10 V, 12 Bit</t>
  </si>
  <si>
    <t>2-channel analog input, 2-channel analog output terminal -10 V…+10 V, 12 bit</t>
  </si>
  <si>
    <t>KL5001</t>
  </si>
  <si>
    <t>SSI-Geber-Interface</t>
  </si>
  <si>
    <t>SSI sensor interface</t>
  </si>
  <si>
    <t>KL5051</t>
  </si>
  <si>
    <t>SSI-Geber-Interace, bidirektional für digifas®-Antriebe</t>
  </si>
  <si>
    <t>SSI sensor interface bidirectional for digifas® drives</t>
  </si>
  <si>
    <t>Inkremental-Encoder-Interface mit Differenzeingängen</t>
  </si>
  <si>
    <t>Incremental encoder interface with complementary inputs</t>
  </si>
  <si>
    <t>KL5111</t>
  </si>
  <si>
    <t>Inkremental-Encoder-Interface mit Einfacheingängen</t>
  </si>
  <si>
    <t>Incremental encoder interface with single inputs</t>
  </si>
  <si>
    <t>KL5121</t>
  </si>
  <si>
    <t>4-Kanal-Streckensteuerung</t>
  </si>
  <si>
    <t>Incremental encoder interface with programmable outputs</t>
  </si>
  <si>
    <t>KL5151</t>
  </si>
  <si>
    <t>KL5152</t>
  </si>
  <si>
    <t>KL6001</t>
  </si>
  <si>
    <t>Serielle Schnittstelle RS232, 9,6 kBaud</t>
  </si>
  <si>
    <t>Serial interface RS232, 9.6 kbaud</t>
  </si>
  <si>
    <t>KL6011</t>
  </si>
  <si>
    <t>Serielle Schnittstelle TTY, 20-mA-Current-Loop</t>
  </si>
  <si>
    <t>Serial interface TTY, 20 mA current loop</t>
  </si>
  <si>
    <t>KL6021</t>
  </si>
  <si>
    <t>Serielle Schnittstelle RS422/RS485, 9,6 kBaud</t>
  </si>
  <si>
    <t>Serial interface RS422/RS485, 9.6 kbaud</t>
  </si>
  <si>
    <t>KL6031</t>
  </si>
  <si>
    <t>Serielle Schnittstelle RS232, 115,2 kBaud</t>
  </si>
  <si>
    <t>Serial interface RS232, 115.2 kbaud</t>
  </si>
  <si>
    <t>KL6041</t>
  </si>
  <si>
    <t>Serielle Schnittstelle RS422/RS485, 115,2 kBaud</t>
  </si>
  <si>
    <t>Serial interface RS422/RS485, 115.2 kbaud</t>
  </si>
  <si>
    <t>KL6051</t>
  </si>
  <si>
    <t>Datenaustauschklemme 32 Bit mit serieller Schnittstelle</t>
  </si>
  <si>
    <t>Data exchange terminal with serial interface, 32 bit</t>
  </si>
  <si>
    <t>KL6201</t>
  </si>
  <si>
    <t>AS-Interface master terminal</t>
  </si>
  <si>
    <t>KL6211</t>
  </si>
  <si>
    <t>AS-Interface-Masterklemme mit Powerkontakten zur Anbindung der 
Potenzialspeiseklemme KL9520 oder der Netzteilklemme KL9528</t>
  </si>
  <si>
    <t>AS-Interface master terminal with power contacts. Direct connection to the AS interface supply 
via the KL9520 AS interface potential feed terminal or the KL9528 power supply terminal.</t>
  </si>
  <si>
    <t>KL6224</t>
  </si>
  <si>
    <t>KL6301</t>
  </si>
  <si>
    <t>EIB/KNX-Busklemme</t>
  </si>
  <si>
    <t>EIB/KNX Bus Terminal</t>
  </si>
  <si>
    <t>KL6401</t>
  </si>
  <si>
    <t>LON-Busklemme</t>
  </si>
  <si>
    <t>LON Bus Terminal</t>
  </si>
  <si>
    <t>KL6581</t>
  </si>
  <si>
    <t>EnOcean-Masterklemme für KL6583</t>
  </si>
  <si>
    <t>EnOcean master terminal for KL6583</t>
  </si>
  <si>
    <t>KL6771</t>
  </si>
  <si>
    <t>MP-Bus-Masterklemme</t>
  </si>
  <si>
    <t>MP-Bus master terminal</t>
  </si>
  <si>
    <t>KL6781</t>
  </si>
  <si>
    <t>M-Bus-Masterklemme</t>
  </si>
  <si>
    <t>M-Bus master terminal</t>
  </si>
  <si>
    <t>KL6811</t>
  </si>
  <si>
    <t>DALI/DSI-Master- und Netzteilklemme</t>
  </si>
  <si>
    <t>DSI/DALI master and power supply terminal</t>
  </si>
  <si>
    <t>KL6821</t>
  </si>
  <si>
    <t>DALI-2-Multi-Master- und Netzteilklemme</t>
  </si>
  <si>
    <t>DALI 2 multi-master and power supply terminal</t>
  </si>
  <si>
    <t>KL6831</t>
  </si>
  <si>
    <t>SMI-Masterklemme, LoVo</t>
  </si>
  <si>
    <t>SMI master terminal, LoVo</t>
  </si>
  <si>
    <t>KL6841</t>
  </si>
  <si>
    <t>SMI-Masterklemme, 230 V AC</t>
  </si>
  <si>
    <t>SMI master terminal, 230 V AC</t>
  </si>
  <si>
    <t>KL6904</t>
  </si>
  <si>
    <t>TwinSAFE-Logic-Busklemme mit 4 digitalen Ausgängen 24 V DC, 0,5 A</t>
  </si>
  <si>
    <t>TwinSAFE Logic Bus Terminal with 4 digital outputs 24 V DC, 0.5 A</t>
  </si>
  <si>
    <t>KL8001</t>
  </si>
  <si>
    <t>Powerklemme für Siemens-Schütz der Baureihe Sirius 3R</t>
  </si>
  <si>
    <t>Power terminal for Siemens contactor series Sirius 3R</t>
  </si>
  <si>
    <t>KL8500</t>
  </si>
  <si>
    <t>Platzhaltermodul</t>
  </si>
  <si>
    <t>Placeholder module</t>
  </si>
  <si>
    <t>KL8519</t>
  </si>
  <si>
    <t>16-Kanal-Digital-Eingangsmodul, 24 V DC, IEC 61131-2, Typ 3, Filter 3,0 ms, Handbedienung</t>
  </si>
  <si>
    <t>16-channel digital input signal module, 24 V DC, IEC 61131-2, type 3, filter 3.0 ms with manual operation</t>
  </si>
  <si>
    <t>KL8524</t>
  </si>
  <si>
    <t>4 x 2-Kanal-Digital-Ausgangmodul, 24 V DC, 0,5 A, Handbedienung</t>
  </si>
  <si>
    <t>4 x 2-channel digital output module, 24 V DC, 0.5 A with manual operation</t>
  </si>
  <si>
    <t>KL8528</t>
  </si>
  <si>
    <t>8-Kanal-Digital-Ausgangsmodul, 24 V DC, 0,5 A, Handbedienung</t>
  </si>
  <si>
    <t>8-channel digital output module, 24 V DC, 0.5 A with manual operation</t>
  </si>
  <si>
    <t>KL8548</t>
  </si>
  <si>
    <t>8-Kanal-Analog-Ausgangsmodul, 0…10 V, 12 Bit,  Handbedienung</t>
  </si>
  <si>
    <t>8-channel analog output module, 0…10 V, 12 bit with manual operation</t>
  </si>
  <si>
    <t>KL8601</t>
  </si>
  <si>
    <t>Kommunikationsmodul für Schneider TeSys Modell U</t>
  </si>
  <si>
    <t>Communication module for Schneider TeSys model U</t>
  </si>
  <si>
    <t>KL8610</t>
  </si>
  <si>
    <t>Adapterklemme für TeSys Modell U, KL8601</t>
  </si>
  <si>
    <t>Adapter terminal for TeSys model U, KL8601</t>
  </si>
  <si>
    <t>Busendklemme</t>
  </si>
  <si>
    <t>Bus end terminal</t>
  </si>
  <si>
    <t>KL9020</t>
  </si>
  <si>
    <t>Klemmenbusverlängerungsendklemme an die KL9050</t>
  </si>
  <si>
    <t>Terminal bus extension, end terminal at KL9050</t>
  </si>
  <si>
    <t>KL9050</t>
  </si>
  <si>
    <t>Klemmenbusverlängerungskopplerklemme von der KL9020 oder KL9050</t>
  </si>
  <si>
    <t>Terminal bus extension, coupler terminal from KL9020 or KL9050</t>
  </si>
  <si>
    <t>KL9060</t>
  </si>
  <si>
    <t>Adapterklemme für KL8xxx Powerklemmen</t>
  </si>
  <si>
    <t>Adapter terminal for KL8xxx power terminals</t>
  </si>
  <si>
    <t>KL9070</t>
  </si>
  <si>
    <t>KL9080</t>
  </si>
  <si>
    <t>KL9100</t>
  </si>
  <si>
    <t>Power supply terminal, 24 V DC</t>
  </si>
  <si>
    <t>KL9150</t>
  </si>
  <si>
    <t>Passive Potenzialeinspeiseklemme, 230 V AC</t>
  </si>
  <si>
    <t>KL9160</t>
  </si>
  <si>
    <t>KL9180</t>
  </si>
  <si>
    <t>KL9181</t>
  </si>
  <si>
    <t>KL9182</t>
  </si>
  <si>
    <t>KL9183</t>
  </si>
  <si>
    <t>KL9184</t>
  </si>
  <si>
    <t>KL9185</t>
  </si>
  <si>
    <t>KL9186</t>
  </si>
  <si>
    <t>KL9187</t>
  </si>
  <si>
    <t>KL9188</t>
  </si>
  <si>
    <t>KL9189</t>
  </si>
  <si>
    <t>KL9190</t>
  </si>
  <si>
    <t>KL9195</t>
  </si>
  <si>
    <t>Abschirmklemme, Potenzialverteilungsklemme mit Verbindung zur Masse</t>
  </si>
  <si>
    <t>Shield terminal, potential distribution terminal with connection to earth</t>
  </si>
  <si>
    <t>KL9200</t>
  </si>
  <si>
    <t>KL9210</t>
  </si>
  <si>
    <t>KL9250</t>
  </si>
  <si>
    <t>Power supply terminal with fuse, 125 V AC…230 V AC</t>
  </si>
  <si>
    <t>KL9260</t>
  </si>
  <si>
    <t>KL9290</t>
  </si>
  <si>
    <t>KL9300</t>
  </si>
  <si>
    <t>Dioden-Array-Busklemme, 4 potenzialfreie Dioden, 1 A, bis 1000 V AC/DC</t>
  </si>
  <si>
    <t>Diode array terminal, 4 potential-free diodes, 1 A, to 1000 V AC/DC</t>
  </si>
  <si>
    <t>KL9301</t>
  </si>
  <si>
    <t>Dioden-Array-Busklemme, 7 Dioden (gemeinsame Kathode), 1 A, bis 1000 V AC/DC</t>
  </si>
  <si>
    <t>Diode array terminal, 7 diodes (common cathode), 1 A, to 1000 V AC/DC</t>
  </si>
  <si>
    <t>KL9302</t>
  </si>
  <si>
    <t>Dioden-Array-Busklemme, 7 Dioden (gemeinsame Anode), 1 A, bis 1000 V AC/DC</t>
  </si>
  <si>
    <t>Diode array terminal, 7 diodes (common anode), 1 A, to 1000 V AC/DC</t>
  </si>
  <si>
    <t>KL9309</t>
  </si>
  <si>
    <t>Adapterklemme für Handbedienmodule KL85xx</t>
  </si>
  <si>
    <t>Adapter terminal for KL85xx manual operating modules</t>
  </si>
  <si>
    <t>KL9380</t>
  </si>
  <si>
    <t>Netzfilterklemme für Dimmer</t>
  </si>
  <si>
    <t>Mains filter terminal for dimmers</t>
  </si>
  <si>
    <t>Netzteilklemme zur K-Bus-Auffrischung, 24 V DC, 2 A</t>
  </si>
  <si>
    <t>Power supply unit terminal for the K-bus, 24 V DC, 2 A</t>
  </si>
  <si>
    <t>KL9505</t>
  </si>
  <si>
    <t>KL9508</t>
  </si>
  <si>
    <t>KL9510</t>
  </si>
  <si>
    <t>KL9512</t>
  </si>
  <si>
    <t>KL9515</t>
  </si>
  <si>
    <t>KL9520</t>
  </si>
  <si>
    <t>KL9528</t>
  </si>
  <si>
    <t>AS-Interface-Netzteilklemme 24 V DC/30 V DC, 1,25 A</t>
  </si>
  <si>
    <t>AS interface power supply terminal 24 V DC/30 V DC, 1.25 A</t>
  </si>
  <si>
    <t>KL9540</t>
  </si>
  <si>
    <t>KL9540-0010</t>
  </si>
  <si>
    <t>Surgefilter-Feldversorgung für analoge Klemmen</t>
  </si>
  <si>
    <t>Surge filter field supply for analog terminals</t>
  </si>
  <si>
    <t>KL9550</t>
  </si>
  <si>
    <t>Surgefilter-System- und Feldversorgung</t>
  </si>
  <si>
    <t>KL9560</t>
  </si>
  <si>
    <t>Netzteilklemme 24 V DC, Ausgang 24 V DC, 0,1 A</t>
  </si>
  <si>
    <t>KL9570</t>
  </si>
  <si>
    <t>KM1002-0000</t>
  </si>
  <si>
    <t>16-Kanal-Digital-Eingangs-Klemmenmodul 24 V DC, Filter 3,0 ms, ohne Stecker</t>
  </si>
  <si>
    <t>16-channel digital input terminal module 24 V DC, filter 3.0 ms, without connector</t>
  </si>
  <si>
    <t>KM1002-0001</t>
  </si>
  <si>
    <t>16-Kanal-Digital-Eingangs-Klemmenmodul 24 V DC, Filter 3,0 ms, 1-Leiterstecker ohne LEDs</t>
  </si>
  <si>
    <t>16-channel digital input terminal module 24 V DC, filter 3.0 ms, 1-wire connector without LEDs</t>
  </si>
  <si>
    <t>KM1002-0002</t>
  </si>
  <si>
    <t>16-Kanal-Digital-Eingangs-Klemmenmodul 24 V DC, Filter 3,0 ms, 1-Leiterstecker mit LEDs</t>
  </si>
  <si>
    <t>16-channel digital input terminal module 24 V DC, filter 3.0 ms, 1-wire connector with LEDs</t>
  </si>
  <si>
    <t>KM1002-0004</t>
  </si>
  <si>
    <t>16-Kanal-Digital-Eingangs-Klemmenmodul 24 V DC, Filter 3,0 ms, 3-Leiterstecker mit LEDs</t>
  </si>
  <si>
    <t>16-channel digital input terminal module 24 V DC, filter 3.0 ms, 3-wire connector with LEDs</t>
  </si>
  <si>
    <t>KM1004-0000</t>
  </si>
  <si>
    <t>32-Kanal-Digital-Eingangs-Klemmenmodul 24 V DC, Filter 3,0 ms, ohne Stecker</t>
  </si>
  <si>
    <t>32-channel digital input terminal module 24 V DC, filter 3.0 ms, without connector</t>
  </si>
  <si>
    <t>KM1004-0001</t>
  </si>
  <si>
    <t>32-Kanal-Digital-Eingangs-Klemmenmodul 24 V DC, Filter 3,0 ms, 1-Leiterstecker ohne LEDs</t>
  </si>
  <si>
    <t>32-channel digital input terminal module 24 V DC, filter 3.0 ms, 1-wire connector without LEDs</t>
  </si>
  <si>
    <t>KM1004-0002</t>
  </si>
  <si>
    <t>32-Kanal-Digital-Eingangs-Klemmenmodul 24 V DC, Filter 3,0 ms, 1-Leiterstecker mit LEDs</t>
  </si>
  <si>
    <t>32-channel digital input terminal module 24 V DC, filter 3.0 ms, 1-wire connector with LEDs</t>
  </si>
  <si>
    <t>KM1004-0004</t>
  </si>
  <si>
    <t>32-Kanal-Digital-Eingangs-Klemmenmodul 24 V DC, Filter 3,0 ms, 3-Leiterstecker mit LEDs</t>
  </si>
  <si>
    <t>32-channel digital input terminal module 24 V DC, filter 3.0 ms, 3-wire connector with LEDs</t>
  </si>
  <si>
    <t>KM1008-0000</t>
  </si>
  <si>
    <t>64-Kanal-Digital-Eingangs-Klemmenmodul 24 V DC, Filter 3,0 ms, ohne Stecker</t>
  </si>
  <si>
    <t>64-channel digital input terminal module 24 V DC, filter 3.0 ms, without connector</t>
  </si>
  <si>
    <t>KM1008-0001</t>
  </si>
  <si>
    <t>64-Kanal-Digital-Eingangs-Klemmenmodul 24 V DC, Filter 3,0 ms, 1-Leiterstecker ohne LEDs</t>
  </si>
  <si>
    <t>64-channel digital input terminal module 24 V DC, filter 3.0 ms, 1-wire connector without LEDs</t>
  </si>
  <si>
    <t>KM1008-0002</t>
  </si>
  <si>
    <t>64-Kanal-Digital-Eingangs-Klemmenmodul 24 V DC, Filter 3,0 ms, 1-Leiterstecker mit LEDs</t>
  </si>
  <si>
    <t>64-channel digital input terminal module 24 V DC, filter 3.0 ms, 1-wire connector with LEDs</t>
  </si>
  <si>
    <t>KM1008-0004</t>
  </si>
  <si>
    <t>64-Kanal-Digital-Eingangs-Klemmenmodul 24 V DC, Filter 3,0 ms, 3-Leiterstecker mit LEDs</t>
  </si>
  <si>
    <t>64-channel digital input terminal module 24 V DC, filter 3.0 ms, 3-wire connector with LEDs</t>
  </si>
  <si>
    <t>KM1012-0000</t>
  </si>
  <si>
    <t>16-Kanal-Digital-Eingangs-Klemmenmodul 24 V DC, Filter 0,2 ms, ohne Stecker</t>
  </si>
  <si>
    <t>16-channel digital input terminal module 24 V DC, filter 0.2 ms, without connector</t>
  </si>
  <si>
    <t>KM1012-0001</t>
  </si>
  <si>
    <t>16-Kanal-Digital-Eingangs-Klemmenmodul 24 V DC, Filter 0,2 ms, 1-Leiterstecker ohne LEDs</t>
  </si>
  <si>
    <t>16-channel digital input terminal module 24 V DC, filter 0.2 ms, 1-wire connector without LEDs</t>
  </si>
  <si>
    <t>KM1012-0002</t>
  </si>
  <si>
    <t>16-Kanal-Digital-Eingangs-Klemmenmodul 24 V DC, Filter 0,2 ms, 1-Leiterstecker mit LEDs</t>
  </si>
  <si>
    <t>16-channel digital input terminal module 24 V DC, filter 0.2 ms, 1-wire connector with LEDs</t>
  </si>
  <si>
    <t>KM1012-0004</t>
  </si>
  <si>
    <t>16-Kanal-Digital-Eingangs-Klemmenmodul 24 V DC, Filter 0,2 ms, 3-Leiterstecker mit LEDs</t>
  </si>
  <si>
    <t>16-channel digital input terminal module 24 V DC, filter 0.2 ms, 3-wire connector with LEDs</t>
  </si>
  <si>
    <t>KM1014-0000</t>
  </si>
  <si>
    <t>32-Kanal-Digital-Eingangs-Klemmenmodul 24 V DC, Filter 0,2 ms, ohne Stecker</t>
  </si>
  <si>
    <t>32-channel digital input terminal module 24 V DC, filter 0.2 ms, without connector</t>
  </si>
  <si>
    <t>KM1014-0001</t>
  </si>
  <si>
    <t>32-Kanal-Digital-Eingangs-Klemmenmodul 24 V DC, Filter 0,2 ms, 1-Leiterstecker ohne LEDs</t>
  </si>
  <si>
    <t>32-channel digital input terminal module 24 V DC, filter 0.2 ms, 1-wire connector without LEDs</t>
  </si>
  <si>
    <t>KM1014-0002</t>
  </si>
  <si>
    <t>32-Kanal-Digital-Eingangs-Klemmenmodul 24 V DC, Filter 0,2 ms, 1-Leiterstecker mit LEDs</t>
  </si>
  <si>
    <t>32-channel digital input terminal module 24 V DC, filter 0.2 ms, 1-wire connector with LEDs</t>
  </si>
  <si>
    <t>KM1014-0004</t>
  </si>
  <si>
    <t>32-Kanal-Digital-Eingangs-Klemmenmodul 24 V DC, Filter 0,2 ms, 3-Leiterstecker mit LEDs</t>
  </si>
  <si>
    <t>32-channel digital input terminal module 24 V DC, filter 0.2 ms, 3-wire connector with LEDs</t>
  </si>
  <si>
    <t>KM1018-0000</t>
  </si>
  <si>
    <t>64-Kanal-Digital-Eingangs-Klemmenmodul 24 V DC, Filter 0,2 ms, ohne Stecker</t>
  </si>
  <si>
    <t>64-channel digital input terminal module 24 V DC, filter 0.2 ms, without connector</t>
  </si>
  <si>
    <t>KM1018-0001</t>
  </si>
  <si>
    <t>64-Kanal-Digital-Eingangs-Klemmenmodul 24 V DC, Filter 0,2 ms, 1-Leiterstecker ohne LEDs</t>
  </si>
  <si>
    <t>64-channel digital input terminal module 24 V DC, filter 0.2 ms, 1-wire connector without LEDs</t>
  </si>
  <si>
    <t>KM1018-0002</t>
  </si>
  <si>
    <t>64-Kanal-Digital-Eingangs-Klemmenmodul 24 V DC, Filter 0,2 ms, 1-Leiterstecker mit LEDs</t>
  </si>
  <si>
    <t>64-channel digital input terminal module 24 V DC, filter 0.2 ms, 1-wire connector with LEDs</t>
  </si>
  <si>
    <t>KM1018-0004</t>
  </si>
  <si>
    <t>64-Kanal-Digital-Eingangs-Klemmenmodul 24 V DC, Filter 0,2 ms, 3-Leiterstecker mit LEDs</t>
  </si>
  <si>
    <t>64-channel digital input terminal module 24 V DC, filter 0.2 ms, 3-wire connector with LEDs</t>
  </si>
  <si>
    <t>KM1644</t>
  </si>
  <si>
    <t>4-Kanal-Handbedienung</t>
  </si>
  <si>
    <t>4-channel manual operation</t>
  </si>
  <si>
    <t>KM2002-0000</t>
  </si>
  <si>
    <t>16-Kanal-Digital-Ausgangs-Klemmenmodul 24 V DC, 0,5 A, ohne Stecker</t>
  </si>
  <si>
    <t>16-channel digital output terminal module 24 V DC, 0.5 A, without connector</t>
  </si>
  <si>
    <t>KM2002-0001</t>
  </si>
  <si>
    <t>16-Kanal-Digital-Ausgangs-Klemmenmodul 24 V DC, 0,5 A, 1-Leiterstecker ohne LEDs</t>
  </si>
  <si>
    <t>16-channel digital output terminal module 24 V DC, 0.5 A, 1-wire connector without LEDs</t>
  </si>
  <si>
    <t>KM2002-0002</t>
  </si>
  <si>
    <t>16-Kanal-Digital-Ausgangs-Klemmenmodul 24 V DC, 0,5 A, 1-Leiterstecker mit LEDs</t>
  </si>
  <si>
    <t>16-channel digital output terminal module 24 V DC, 0.5 A, 1-wire connector with LEDs</t>
  </si>
  <si>
    <t>KM2002-0004</t>
  </si>
  <si>
    <t>16-Kanal-Digital-Ausgangs-Klemmenmodul 24 V DC, 0,5 A, 3-Leiterstecker mit LEDs</t>
  </si>
  <si>
    <t>16-channel digital output terminal module 24 V DC, 0.5 A, 3-wire connector with LEDs</t>
  </si>
  <si>
    <t>KM2004-0000</t>
  </si>
  <si>
    <t>32-Kanal-Digital-Ausgangs-Klemmenmodul 24 V DC, 0,5 A, ohne Stecker</t>
  </si>
  <si>
    <t>32-channel digital output terminal module 24 V DC, 0.5 A, without connector</t>
  </si>
  <si>
    <t>KM2004-0001</t>
  </si>
  <si>
    <t>32-Kanal-Digital-Ausgangs-Klemmenmodul 24 V DC, 0,5 A, 1-Leiterstecker ohne LEDs</t>
  </si>
  <si>
    <t>32-channel digital output terminal module 24 V DC, 0.5 A, 1-wire connector without LEDs</t>
  </si>
  <si>
    <t>KM2004-0002</t>
  </si>
  <si>
    <t>32-Kanal-Digital-Ausgangs-Klemmenmodul 24 V DC, 0,5 A, 1-Leiterstecker mit LEDs</t>
  </si>
  <si>
    <t>32-channel digital output terminal module 24 V DC, 0.5 A, 1-wire connector with LEDs</t>
  </si>
  <si>
    <t>KM2004-0004</t>
  </si>
  <si>
    <t>32-Kanal-Digital-Ausgangs-Klemmenmodul 24 V DC, 0,5 A, 3-Leiterstecker mit LEDs</t>
  </si>
  <si>
    <t>32-channel digital output terminal module 24 V DC, 0.5 A, 3-wire connector with LEDs</t>
  </si>
  <si>
    <t>KM2008-0000</t>
  </si>
  <si>
    <t>64-Kanal-Digital-Ausgangs-Klemmenmodul 24 V DC, 0,5 A, ohne Stecker</t>
  </si>
  <si>
    <t>64-channel digital output terminal module 24 V DC, 0.5 A, without connector</t>
  </si>
  <si>
    <t>KM2008-0001</t>
  </si>
  <si>
    <t>64-Kanal-Digital-Ausgangs-Klemmenmodul 24 V DC, 0,5 A, 1-Leiterstecker ohne LEDs</t>
  </si>
  <si>
    <t>64-channel digital output terminal module 24 V DC, 0.5 A, 1-wire connector without LEDs</t>
  </si>
  <si>
    <t>KM2008-0002</t>
  </si>
  <si>
    <t>64-Kanal-Digital-Ausgangs-Klemmenmodul 24 V DC, 0,5 A, 1-Leiterstecker mit LEDs</t>
  </si>
  <si>
    <t>64-channel digital output terminal module 24 V DC, 0.5 A, 1-wire connector with LEDs</t>
  </si>
  <si>
    <t>KM2008-0004</t>
  </si>
  <si>
    <t>64-Kanal-Digital-Ausgangs-Klemmenmodul 24 V DC, 0,5 A, 3-Leiterstecker mit LEDs</t>
  </si>
  <si>
    <t>64-channel digital output terminal module 24 V DC, 0.5 A, 3-wire connector with LEDs</t>
  </si>
  <si>
    <t>KM2042</t>
  </si>
  <si>
    <t>16-Kanal-Digital-Ausgangs-Klemmenmodul 24 V, 0,5 A mit Sub-D-Anschluss</t>
  </si>
  <si>
    <t>16-channel digital input terminal module 24 V, 0.5 A, D-sub connection</t>
  </si>
  <si>
    <t>KM2604</t>
  </si>
  <si>
    <t>4-Kanal-Relaismodul 230 V AC, 16 A, potenzialfreie Wechsler</t>
  </si>
  <si>
    <t>4-channel relay module 230 V AC, 16 A, potential-free change-over contact</t>
  </si>
  <si>
    <t>KM2614</t>
  </si>
  <si>
    <t>4-Kanal-Relaismodul 230 V AC, 16 A, potenzialfreie Wechsler, mit Handbedienung</t>
  </si>
  <si>
    <t>4-channel relay module 230 V AC, 16 A, potential-free change-over contact, with manual operation</t>
  </si>
  <si>
    <t>KM2642</t>
  </si>
  <si>
    <t>2-Kanal-Relaismodul 230 V AC, 6 A, Hand-/Automatikbedienung, Relaisstatus lesbar</t>
  </si>
  <si>
    <t>2-channel relay module 230 V AC, 6 A, manual/automatic operation, relay state readable</t>
  </si>
  <si>
    <t>KM2652</t>
  </si>
  <si>
    <t>2-Kanal-Relaismodul 230 V AC, 6 A, Hand-/Automatikbedienung, Schalter- und Relaisstatus lesbar</t>
  </si>
  <si>
    <t>2-channel relay module 230 V AC, 6 A, manual/automatic operation, switch and relay state readable</t>
  </si>
  <si>
    <t>KM2774</t>
  </si>
  <si>
    <t>Triac-Ausgänge für 4 Jalousiemotoren, 230 V AC, 1,5 A mit Verriegelungslogik und Überlastschutz</t>
  </si>
  <si>
    <t>Triac output for 4 blind motors, 230 V AC, 1.5 A with mutually locked outputs and overload protection</t>
  </si>
  <si>
    <t>KM3701</t>
  </si>
  <si>
    <t>KM3702</t>
  </si>
  <si>
    <t>2-Kanal-Absolutdruckmessklemme 7.500 hPa (7,5 bar)</t>
  </si>
  <si>
    <t>2-channel absolute pressure measuring terminal 7,500 hPa (7.5 bar)</t>
  </si>
  <si>
    <t>KM3712</t>
  </si>
  <si>
    <t>2-Kanal-Absolutdruckmessklemme -1.000…+1.000 hPa (-1…+1 bar)</t>
  </si>
  <si>
    <t>2-channel absolute pressure measuring terminal -1,000…+1.000  hPa (-1…+1 bar)</t>
  </si>
  <si>
    <t>KM4602</t>
  </si>
  <si>
    <t>2-Kanal-Analog-Ausgangsklemme 0…10 V, Hand-/Automatikbedienung</t>
  </si>
  <si>
    <t>2-channel analog output terminal 0…10 V, manual/automatic operation</t>
  </si>
  <si>
    <t>KM6551</t>
  </si>
  <si>
    <t>Wireless-Datenaustauschklemme</t>
  </si>
  <si>
    <t>Wireless data exchange terminal</t>
  </si>
  <si>
    <t>KS1002</t>
  </si>
  <si>
    <t>KS1012</t>
  </si>
  <si>
    <t>KS1032</t>
  </si>
  <si>
    <t>KS1052</t>
  </si>
  <si>
    <t>KS1104</t>
  </si>
  <si>
    <t>KS1114</t>
  </si>
  <si>
    <t>KS1124</t>
  </si>
  <si>
    <t>KS1154</t>
  </si>
  <si>
    <t>KS1164</t>
  </si>
  <si>
    <t>KS1184</t>
  </si>
  <si>
    <t>KS1194</t>
  </si>
  <si>
    <t>KS1212</t>
  </si>
  <si>
    <t>KS1232</t>
  </si>
  <si>
    <t>KS1302</t>
  </si>
  <si>
    <t>KS1304</t>
  </si>
  <si>
    <t>KS1312</t>
  </si>
  <si>
    <t>KS1314</t>
  </si>
  <si>
    <t>KS1352</t>
  </si>
  <si>
    <t>KS1362</t>
  </si>
  <si>
    <t>KS1382</t>
  </si>
  <si>
    <t>KS1402</t>
  </si>
  <si>
    <t>KS1404</t>
  </si>
  <si>
    <t>KS1408</t>
  </si>
  <si>
    <t>KS1412</t>
  </si>
  <si>
    <t>KS1414</t>
  </si>
  <si>
    <t>KS1418</t>
  </si>
  <si>
    <t>KS1434</t>
  </si>
  <si>
    <t>KS1488</t>
  </si>
  <si>
    <t>KS1498</t>
  </si>
  <si>
    <t>KS1501</t>
  </si>
  <si>
    <t>KS1512</t>
  </si>
  <si>
    <t>KS1702</t>
  </si>
  <si>
    <t>KS1712</t>
  </si>
  <si>
    <t>KS1712-0060</t>
  </si>
  <si>
    <t>KS1722</t>
  </si>
  <si>
    <t>KS2012</t>
  </si>
  <si>
    <t>KS2022</t>
  </si>
  <si>
    <t>KS2032</t>
  </si>
  <si>
    <t>KS2114</t>
  </si>
  <si>
    <t>KS2124</t>
  </si>
  <si>
    <t>KS2134</t>
  </si>
  <si>
    <t>KS2184</t>
  </si>
  <si>
    <t>KS2212</t>
  </si>
  <si>
    <t>KS2284</t>
  </si>
  <si>
    <t>KS2404</t>
  </si>
  <si>
    <t>KS2408</t>
  </si>
  <si>
    <t>KS2424</t>
  </si>
  <si>
    <t>KS2488</t>
  </si>
  <si>
    <t>KS2502</t>
  </si>
  <si>
    <t>KS2512</t>
  </si>
  <si>
    <t>KS2521</t>
  </si>
  <si>
    <t>KS2531</t>
  </si>
  <si>
    <t>KS2532</t>
  </si>
  <si>
    <t>KS2535</t>
  </si>
  <si>
    <t>KS2541</t>
  </si>
  <si>
    <t>KS2545</t>
  </si>
  <si>
    <t>KS2552</t>
  </si>
  <si>
    <t>KS2602</t>
  </si>
  <si>
    <t>KS2612</t>
  </si>
  <si>
    <t>KS2622</t>
  </si>
  <si>
    <t>KS2631</t>
  </si>
  <si>
    <t>KS2652</t>
  </si>
  <si>
    <t>KS2692</t>
  </si>
  <si>
    <t>KS2701</t>
  </si>
  <si>
    <t>KS2702</t>
  </si>
  <si>
    <t>KS2712</t>
  </si>
  <si>
    <t>KS2722</t>
  </si>
  <si>
    <t>KS2732</t>
  </si>
  <si>
    <t>KS2751</t>
  </si>
  <si>
    <t>KS2761</t>
  </si>
  <si>
    <t>KS2784</t>
  </si>
  <si>
    <t>KS2791</t>
  </si>
  <si>
    <t>KS2794</t>
  </si>
  <si>
    <t>KS3001</t>
  </si>
  <si>
    <t>KS3002</t>
  </si>
  <si>
    <t>KS3011</t>
  </si>
  <si>
    <t>KS3012</t>
  </si>
  <si>
    <t>KS3021</t>
  </si>
  <si>
    <t>KS3022</t>
  </si>
  <si>
    <t>KS3041</t>
  </si>
  <si>
    <t>KS3042</t>
  </si>
  <si>
    <t>KS3044</t>
  </si>
  <si>
    <t>KS3051</t>
  </si>
  <si>
    <t>KS3052</t>
  </si>
  <si>
    <t xml:space="preserve">2-Kanal-Analog-Eingangsklemme 4…20 mA mit Versorgung für Messumformer über Powerkontakte, 12 Bit </t>
  </si>
  <si>
    <t>KS3054</t>
  </si>
  <si>
    <t>KS3061</t>
  </si>
  <si>
    <t>KS3062</t>
  </si>
  <si>
    <t>KS3064</t>
  </si>
  <si>
    <t>KS3102</t>
  </si>
  <si>
    <t>KS3112</t>
  </si>
  <si>
    <t>KS3122</t>
  </si>
  <si>
    <t>KS3132</t>
  </si>
  <si>
    <t>KS3142</t>
  </si>
  <si>
    <t>KS3152</t>
  </si>
  <si>
    <t>KS3162</t>
  </si>
  <si>
    <t>KS3172</t>
  </si>
  <si>
    <t>KS3182</t>
  </si>
  <si>
    <t>KS3201</t>
  </si>
  <si>
    <t>KS3202</t>
  </si>
  <si>
    <t>KS3204</t>
  </si>
  <si>
    <t>KS3222</t>
  </si>
  <si>
    <t>KS3228</t>
  </si>
  <si>
    <t>KS3351</t>
  </si>
  <si>
    <t>KS3356</t>
  </si>
  <si>
    <t>KS3361</t>
  </si>
  <si>
    <t>KS3362</t>
  </si>
  <si>
    <t>KS3403</t>
  </si>
  <si>
    <t>KS3404</t>
  </si>
  <si>
    <t>KS3408</t>
  </si>
  <si>
    <t>KS3444</t>
  </si>
  <si>
    <t>KS3448</t>
  </si>
  <si>
    <t>KS3454</t>
  </si>
  <si>
    <t>KS3458</t>
  </si>
  <si>
    <t>KS3464</t>
  </si>
  <si>
    <t>KS3468</t>
  </si>
  <si>
    <t>KS3681</t>
  </si>
  <si>
    <t>KS4001</t>
  </si>
  <si>
    <t>KS4002</t>
  </si>
  <si>
    <t>KS4004</t>
  </si>
  <si>
    <t>KS4011</t>
  </si>
  <si>
    <t>KS4012</t>
  </si>
  <si>
    <t>KS4021</t>
  </si>
  <si>
    <t>KS4022</t>
  </si>
  <si>
    <t>KS4031</t>
  </si>
  <si>
    <t>KS4032</t>
  </si>
  <si>
    <t>KS4034</t>
  </si>
  <si>
    <t>KS4112</t>
  </si>
  <si>
    <t>KS4132</t>
  </si>
  <si>
    <t>KS4404</t>
  </si>
  <si>
    <t>KS4408</t>
  </si>
  <si>
    <t>KS4414</t>
  </si>
  <si>
    <t>KS4418</t>
  </si>
  <si>
    <t>KS4424</t>
  </si>
  <si>
    <t>KS4428</t>
  </si>
  <si>
    <t>KS4434</t>
  </si>
  <si>
    <t>KS4438</t>
  </si>
  <si>
    <t>KS4494</t>
  </si>
  <si>
    <t>KS5001</t>
  </si>
  <si>
    <t>KS5051</t>
  </si>
  <si>
    <t>KS5101</t>
  </si>
  <si>
    <t>KS5111</t>
  </si>
  <si>
    <t>KS5121</t>
  </si>
  <si>
    <t>KS5151</t>
  </si>
  <si>
    <t>KS5152</t>
  </si>
  <si>
    <t>KS6001</t>
  </si>
  <si>
    <t>KS6011</t>
  </si>
  <si>
    <t>KS6021</t>
  </si>
  <si>
    <t>KS6031</t>
  </si>
  <si>
    <t>KS6041</t>
  </si>
  <si>
    <t>KS6051</t>
  </si>
  <si>
    <t>KS6201</t>
  </si>
  <si>
    <t>KS6211</t>
  </si>
  <si>
    <t>KS6771</t>
  </si>
  <si>
    <t>KS6811</t>
  </si>
  <si>
    <t>KS9100</t>
  </si>
  <si>
    <t>KS9110</t>
  </si>
  <si>
    <t>KS9150</t>
  </si>
  <si>
    <t>KS9160</t>
  </si>
  <si>
    <t>KS9180</t>
  </si>
  <si>
    <t>KS9185</t>
  </si>
  <si>
    <t>KS9186</t>
  </si>
  <si>
    <t>KS9187</t>
  </si>
  <si>
    <t>KS9190</t>
  </si>
  <si>
    <t>KS9195</t>
  </si>
  <si>
    <t>KS9300</t>
  </si>
  <si>
    <t>KS9301</t>
  </si>
  <si>
    <t>KS9302</t>
  </si>
  <si>
    <t>KS9400</t>
  </si>
  <si>
    <t>KS9505</t>
  </si>
  <si>
    <t>KS9508</t>
  </si>
  <si>
    <t>KS9510</t>
  </si>
  <si>
    <t>KS9512</t>
  </si>
  <si>
    <t>KS9515</t>
  </si>
  <si>
    <t>KS9520</t>
  </si>
  <si>
    <t>KS9528</t>
  </si>
  <si>
    <t>KS9540</t>
  </si>
  <si>
    <t>KS9550</t>
  </si>
  <si>
    <t>KS9560</t>
  </si>
  <si>
    <t>KS9570</t>
  </si>
  <si>
    <t>LC3100</t>
  </si>
  <si>
    <t>PROFIBUS-„Low Cost“-Buskoppler für bis zu 64 digitale Busklemmen, 12 MBaud</t>
  </si>
  <si>
    <t>PROFIBUS “Low Cost“ Bus Coupler for up to 64 digital Bus Terminals, 12 Mbaud</t>
  </si>
  <si>
    <t>LC5100</t>
  </si>
  <si>
    <t>CANopen-„Low Cost“-Buskoppler für bis zu 64 digitale Busklemmen (255 mit K-Bus-Verlängerung)</t>
  </si>
  <si>
    <t>CANopen “Low Cost“ Bus Coupler version for up to 64 digital Bus Terminals (255 with K-bus extension)</t>
  </si>
  <si>
    <t>LC5200</t>
  </si>
  <si>
    <t>DeviceNet-„Low Cost“-Buskoppler für bis zu 64 digitale Busklemmen (255 mit K-Bus-Verlängerung)</t>
  </si>
  <si>
    <t>DeviceNet “Low Cost“ Bus Coupler for up to 64 digital Bus Terminals (255 with K-bus extension)</t>
  </si>
  <si>
    <t>CX1000-0010</t>
  </si>
  <si>
    <t>CPU-Modul CX1000, 32 MByte RAM, Microsoft Windows CE 5.0, kein TwinCAT</t>
  </si>
  <si>
    <t>Basic CPU module CX1000, 32 Mbyte RAM, Microsoft Windows CE 5.0, no TwinCAT</t>
  </si>
  <si>
    <t>CX1000-0011</t>
  </si>
  <si>
    <t>CPU-Modul CX1000, 32 MByte RAM, Microsoft Windows CE 5.0, TwinCAT-2-PLC-Runtime</t>
  </si>
  <si>
    <t>Basic CPU module CX1000, 32 Mbyte RAM, Microsoft Windows CE 5.0, TwinCAT 2 PLC runtime</t>
  </si>
  <si>
    <t>CX1000-0012</t>
  </si>
  <si>
    <t>CPU-Modul CX1000, 32 MByte RAM, Microsoft Windows CE 5.0, TwinCAT-2-PLC-Runtime, TwinCAT-2-NC-Runtime</t>
  </si>
  <si>
    <t>Basic CPU module CX1000, 32 Mbyte RAM, Microsoft Windows CE 5.0, TwinCAT 2 PLC runtime, TwinCAT 2 NC Runtime</t>
  </si>
  <si>
    <t>CX1000-0110</t>
  </si>
  <si>
    <t>CPU-Modul CX1000, 32 MByte RAM, DVI/USB, Microsoft Windows CE 5.0, kein TwinCAT</t>
  </si>
  <si>
    <t>Basic CPU module CX1000, 32 Mbyte RAM, DVI/USB, Microsoft Windows CE 5.0, no TwinCAT</t>
  </si>
  <si>
    <t>CX1000-0111</t>
  </si>
  <si>
    <t>CPU-Modul CX1000, 32 MByte RAM, DVI/USB, Microsoft Windows CE 5.0, TwinCAT-2-PLC-Runtime</t>
  </si>
  <si>
    <t>Basic CPU module CX1000, 32 Mbyte RAM, DVI/USB, Microsoft Windows CE 5.0, TwinCAT 2 PLC runtime</t>
  </si>
  <si>
    <t>CX1000-0112</t>
  </si>
  <si>
    <t>CPU-Modul CX1000, 32 MByte RAM, DVI/USB, Microsoft Windows CE 5.0, TwinCAT-2-PLC-Runtime, TwinCAT-2-NC-Runtime</t>
  </si>
  <si>
    <t>Basic CPU module CX1000, 32 Mbyte RAM, DVI/USB, Microsoft Windows CE 5.0, TwinCAT 2 PLC runtime, TwinCAT 2 NC Runtime</t>
  </si>
  <si>
    <t>CX1000-N001</t>
  </si>
  <si>
    <t>Interfacemodul für DVI + 2 USB-Anschlüsse
– Standard-DVI-Schnittstelle (max. 5…7 m Kabellänge, auflösungsabhängig)
– DVI-Schnittstelle führt VGA-Signale aus 
  (Passiver Steckeradapter dient dem Anschluss von Standard-CRT-VGA-Monitoren.)
– 2 x USB-Ports, Typ A
– ab Werk vormontiert, nicht nachrüstbar
– Schutzart: IP 20
– Betriebs-/Lagertemperatur: 0 °C … +55 °C/-25 °C … +85 °C
– Gewicht: 80 g
– Abmessungen (B x H x T): 19 x 100 x 91 mm</t>
  </si>
  <si>
    <t>Interface module for DVI + 2 USB connections
– standard DVI connector (max. 5...7 m cable length, resolution dependant)
– DVI connector includes VGA signals
  (simple adaptor connects to desktop standard CRT-VGA monitors)
– 2 x USB ports type A
– pre-assembled ex factory, no field modification possible
– protection class IP 20
– operating/storage temperature 0 °C ... +55 °C/-25 °C ... +85 °C
– weight approx. 80 g
– dimensions (W x H x D) 19 x 100 x 91 mm</t>
  </si>
  <si>
    <t>CX1000-N002</t>
  </si>
  <si>
    <t>Interfacemodul für 2 x RS232-Schnittstellen (COM2 + COM3)
– volle 115 kBaud auf beiden Kanälen
– COM2: RXD,TXD, DTR
– COM3: RXD,TXD
– ab Werk vormontiert, nicht nachrüstbar
– Schutzart: IP 20
– Betriebs-/Lagertemperatur: 0 °C … +55 °C/-25 °C … +85 °C
– Gewicht: 80 g
– Abmessungen (B x H x T): 19 x 100 x 91 mm</t>
  </si>
  <si>
    <t>Interface module for 2 x RS232 connections (COM2 + COM3)
– full 115 kbaud on both channels
– COM2: RXD, TXD, DTR
– COM3: RXD, TXD
– pre-assembled ex factory, no field modification possible
– protection class IP 20
– operating/storage temperature 0 °C ... +55 °C/-25 °C ... +85 °C
– weight approx. 80 g
– dimensions (W x H x D) 19 x 100 x 91 mm</t>
  </si>
  <si>
    <t>CX1000-N003</t>
  </si>
  <si>
    <t>Interfacemodul für Stereo-Audio-In/Out-Schnittstellen
– Line-In
– Mic-In (Mikrofon-Signaleingang)
– Line-Out (auch für Kopfhörer), max. 200 mW
– eingebauter PC-Beeper
– ab Werk vormontiert, nicht nachrüstbar
– Schutzart: IP 20
– Betriebs-/Lagertemperatur: 0 °C … +55 °C/-25 °C … +85 °C
– Gewicht: 80 g
– Abmessungen (B x H x T): 19 x 100 x 91 mm</t>
  </si>
  <si>
    <t>Interface module for stereo audio In/Out connections
– Line In
– Line Mic
– Line Out (also for headphone), max. 200 mW
– built-in PC beeper
– pre-assembled ex factory, no field modification possible
– protection class IP 20
– operating/storage temperature 0 °C ... +55 °C/-25 °C ... +85 °C
– weight approx. 80 g
– dimensions (W x H x D) 19 x 100 x 91 mm</t>
  </si>
  <si>
    <t>CX1000-N005</t>
  </si>
  <si>
    <t>Interfacemodul für 2 x RS422/RS485-Schnittstellen, opto-isoliert (COM2 + COM3)
– kann nur anstelle von und nicht gleichzeitig mit CX1000-N002 verwendet werden
– volle 115 kBaud auf beiden Kanälen
– galvanisch getrennte Schnittstellen (optisch isoliert)
– Modi: RS485: mit/ohne Echo, mit/ohne Terminierung, RS422: Vollduplex
– ab Werk vormontiert, nicht nachrüstbar
– Schutzart: IP 20
– Betriebs-/Lagertemperatur: 0 °C … +55 °C/-25 °C … +85 °C
– Gewicht: 80 g
– Abmessungen (B x H x T): 19 x 100 x 91 mm</t>
  </si>
  <si>
    <t>Interface module for 2 x RS422/RS485 optically isolated (COM2 + COM3)
– can only be used instead of and not at the same time as CX1000-N002 
– full 115 kbaud on both channels
– electrically isolated interfaces (optically isolated)
– modes: RS485: with/without echo, with/without termination, RS422: full duplex
– pre-assembled in the factory, cannot be upgraded
– protection class IP 20
– operating/storage temperature: 0 °C ... +55 °C/-25 °C ... +85 °C
– weight approx. 80 g
– dimensions (W x H x D) 19 x 100 x 91 mm</t>
  </si>
  <si>
    <t>CX1001-0000</t>
  </si>
  <si>
    <t>CPU-Modul CX1000, 128 MByte RAM, kein Betriebssystem, kein TwinCAT</t>
  </si>
  <si>
    <t>Basic CPU module CX1000, 128 Mbyte RAM, no operating system, no TwinCAT</t>
  </si>
  <si>
    <t>CX1001-0010</t>
  </si>
  <si>
    <t>CPU-Modul CX1000, 128 MByte RAM, Microsoft Windows CE 5.0, kein TwinCAT</t>
  </si>
  <si>
    <t>Basic CPU module CX1000, 128 Mbyte RAM, Microsoft Windows CE 5.0, no TwinCAT</t>
  </si>
  <si>
    <t>CX1001-0011</t>
  </si>
  <si>
    <t>CPU-Modul CX1000, 128 MByte RAM, Microsoft Windows CE 5.0, TwinCAT-2-PLC-Runtime</t>
  </si>
  <si>
    <t>Basic CPU module CX1000, 128 Mbyte RAM, Microsoft Windows CE 5.0, TwinCAT 2 PLC runtime</t>
  </si>
  <si>
    <t>CX1001-0012</t>
  </si>
  <si>
    <t>CPU-Modul CX1000, 128 MByte RAM, Microsoft Windows CE 5.0, TwinCAT-2-PLC-Runtime, TwinCAT-2-NC-Runtime</t>
  </si>
  <si>
    <t>Basic CPU module CX1000, 128 Mbyte RAM, Microsoft Windows CE 5.0, TwinCAT 2 PLC runtime, TwinCAT 2 NC Runtime</t>
  </si>
  <si>
    <t>CX1001-0020</t>
  </si>
  <si>
    <t>CPU-Modul CX1000, 128 MByte RAM, Microsoft Windows XP Embedded, kein TwinCAT</t>
  </si>
  <si>
    <t>Basic CPU module CX1000, 128 Mbyte RAM, Microsoft Windows XP Embedded, no TwinCAT</t>
  </si>
  <si>
    <t>CX1001-0021</t>
  </si>
  <si>
    <t>CPU-Modul CX1000, 128 MByte RAM, Microsoft Windows XP Embedded, TwinCAT-2-PLC-Runtime</t>
  </si>
  <si>
    <t>Basic CPU module CX1000, 128 Mbyte RAM, Microsoft Windows XP Embedded, TwinCAT 2 PLC runtime</t>
  </si>
  <si>
    <t>CX1001-0022</t>
  </si>
  <si>
    <t>CPU-Modul CX1000, 128 MByte RAM, Microsoft Windows XP Embedded, TwinCAT-2-PLC-Runtime, TwinCAT-2-NC-Runtime</t>
  </si>
  <si>
    <t>Basic CPU module CX1000, 128 Mbyte RAM, Microsoft Windows XP Embedded, TwinCAT 2 PLC runtime, TwinCAT 2 NC Runtime</t>
  </si>
  <si>
    <t>CX1001-0100</t>
  </si>
  <si>
    <t>CPU-Modul CX1000, 128 MByte RAM, DVI/USB, kein Betriebssystem, kein TwinCAT</t>
  </si>
  <si>
    <t>Basic CPU module CX1000, 128 Mbyte RAM, DVI/USB, no operating system, no TwinCAT</t>
  </si>
  <si>
    <t>CX1001-0110</t>
  </si>
  <si>
    <t>CPU-Modul CX1000, 128 MByte RAM, DVI/USB, Microsoft Windows CE 5.0, kein TwinCAT</t>
  </si>
  <si>
    <t>Basic CPU module CX1000, 128 Mbyte RAM, DVI/USB, Microsoft Windows CE 5.0, no TwinCAT</t>
  </si>
  <si>
    <t>CX1001-0111</t>
  </si>
  <si>
    <t>CPU-Modul CX1000, 128 MByte RAM, DVI/USB, Microsoft Windows CE 5.0, TwinCAT-2-PLC-Runtime</t>
  </si>
  <si>
    <t>Basic CPU module CX1000, 128 Mbyte RAM, DVI/USB, Microsoft Windows CE 5.0, TwinCAT 2 PLC runtime</t>
  </si>
  <si>
    <t>CX1001-0112</t>
  </si>
  <si>
    <t>CPU-Modul CX1000, 128 MByte RAM, DVI/USB, Microsoft Windows CE 5.0, TwinCAT-2-PLC-Runtime, TwinCAT-2-NC-Runtime</t>
  </si>
  <si>
    <t>Basic CPU module CX1000, 128 Mbyte RAM, DVI/USB, Microsoft Windows CE 5.0, TwinCAT 2 PLC runtime, TwinCAT 2 NC Runtime</t>
  </si>
  <si>
    <t>CX1001-0120</t>
  </si>
  <si>
    <t>CPU-Modul CX1000, 128 MByte RAM, DVI/USB, Microsoft Windows XP Embedded, kein TwinCAT</t>
  </si>
  <si>
    <t>Basic CPU module CX1000, 128 Mbyte RAM, DVI/USB, Microsoft Windows XP Embedded, no TwinCAT</t>
  </si>
  <si>
    <t>CX1001-0121</t>
  </si>
  <si>
    <t>CPU-Modul CX1000, 128 MByte RAM, DVI/USB, Microsoft Windows XP Embedded, TwinCAT-2-PLC-Runtime</t>
  </si>
  <si>
    <t>Basic CPU module CX1000, 128 Mbyte RAM, DVI/USB, Microsoft Windows XP Embedded, TwinCAT 2 PLC runtime</t>
  </si>
  <si>
    <t>CX1001-0122</t>
  </si>
  <si>
    <t>CPU-Modul CX1000, 128 MByte RAM, DVI/USB, Microsoft Windows XP Embedded, TwinCAT-2-PLC-Runtime, TwinCAT-2-NC-Runtime</t>
  </si>
  <si>
    <t>Basic CPU module CX1000, 128 Mbyte RAM, DVI/USB, Microsoft Windows XP Embedded, TwinCAT 2 PLC runtime, TwinCAT 2 NC Runtime</t>
  </si>
  <si>
    <t>CX100x-0xxx</t>
  </si>
  <si>
    <t>Modularer Hutschienen-Industrie-PC
– Pentium®-MMX-kompatibel, 266-MHz-Taktfrequenz
– Flash-Speicher: 128-MByte-Compact-Flash-Karte (austauschbar, erweiterbar)
– 32 MByte RAM (erweiterbar auf 128 MByte)
– COM1 (RS232) auf D-Sub-Stecker, 9-polig
– RJ45-Ethernet-Anschluss 10/100 MBit
– Compact-Flash-Typ I oder II, Einschub mit Auswurfmechanik
– Diagnose-LED: 1 x Power, 1 x LAN-Link, 1 x LAN-Geschwindigkeit, 1 x LAN-Aktivität, 1 x Flash-Zugriff
– Schutzart: IP 20
– Betriebs-/Lagertemperatur: 0 °C … +55 °C/-25 °C … +85 °C
– Gewicht: ca. 355 g
– Abmessungen (B x H x T): 57 x 100 x 91 mm</t>
  </si>
  <si>
    <t>Modular DIN rail Industrial PC 
– 266 MHz x86 Pentium® MMX-compatible CPU
– Flash memory: 128 MB Compact Flash card (exchangeable, expandable)
– 32 MB RAM (extendable to 128 MB)
– COM1 (RS232) on 9-pin female D-sub connector
– RJ45 Ethernet connector 10/100 Mbit
– Compact Flash storage slot type I or II with ejector
– Diagnostics LED: 1 x power, 1 LAN link, 1 x LAN speed, 1 x LAN activity, 1 x flash access
– protection class IP 20
– operating/storage temperature 0 °C ... +55 °C/-25 °C ... +85 °C
– weight approx. 335 g 
– dimensions (W x H x D) 57 x 100 x 91 mm</t>
  </si>
  <si>
    <t>CX1010-0000</t>
  </si>
  <si>
    <t>CPU-Modul CX1010, 256 MByte RAM, kein Betriebssystem, kein TwinCAT</t>
  </si>
  <si>
    <t>Basic CPU module CX1010, 256 Mbyte RAM, no operating system, no TwinCAT</t>
  </si>
  <si>
    <t>CX1010-0010</t>
  </si>
  <si>
    <t>CPU-Modul CX1010, 256 MByte RAM, Microsoft Windows Embedded CE 6.0, kein TwinCAT</t>
  </si>
  <si>
    <t>Basic CPU module CX1010, 256 Mbyte RAM, Microsoft Windows Embedded CE 6.0, no TwinCAT</t>
  </si>
  <si>
    <t>CX1010-0011</t>
  </si>
  <si>
    <t>CPU-Modul CX1010, 256 MByte RAM, Microsoft Windows Embedded CE 6.0, TwinCAT-2-PLC-Runtime</t>
  </si>
  <si>
    <t>Basic CPU module CX1010, 256 Mbyte RAM, Microsoft Windows Embedded CE 6.0, TwinCAT 2 PLC run-time</t>
  </si>
  <si>
    <t>CX1010-0012</t>
  </si>
  <si>
    <t>CPU-Modul CX1010, 256 MByte RAM, Microsoft Windows Embedded CE 6.0, TwinCAT-2-PLC-Runtime, TwinCAT-2-NC-Runtime</t>
  </si>
  <si>
    <t>Basic CPU module CX1010, 256 Mbyte RAM, Microsoft Windows Embedded CE 6.0, TwinCAT 2 PLC run-time, TwinCAT 2 NC run-time</t>
  </si>
  <si>
    <t>CX1010-0020</t>
  </si>
  <si>
    <t>CPU-Modul CX1010, 256 MByte RAM, Microsoft Windows Embedded Standard 2009, kein TwinCAT</t>
  </si>
  <si>
    <t>Basic CPU module CX1010, 256 Mbyte RAM, Microsoft Windows Embedded Standard 2009, no TwinCAT</t>
  </si>
  <si>
    <t>CX1010-0021</t>
  </si>
  <si>
    <t>CPU-Modul CX1010, 256 MByte RAM, Microsoft Windows Embedded Standard 2009, TwinCAT-2-PLC-Runtime</t>
  </si>
  <si>
    <t>Basic CPU module CX1010, 256 Mbyte RAM, Microsoft Windows Embedded Standard 2009, TwinCAT 2 PLC run-time</t>
  </si>
  <si>
    <t>CX1010-0022</t>
  </si>
  <si>
    <t>CPU-Modul CX1010, 256 MByte RAM, Microsoft Windows Embedded Standard 2009, TwinCAT-2-PLC-Runtime, TwinCAT-2-NC-Runtime</t>
  </si>
  <si>
    <t>Basic CPU module CX1010, 256 Mbyte RAM, Microsoft Windows Embedded Standard 2009, TwinCAT 2 PLC run-time, TwinCAT 2 NC run-time</t>
  </si>
  <si>
    <t>CX1010-0100</t>
  </si>
  <si>
    <t>CPU-Modul CX1010, 256 MByte RAM, DVI/USB, kein Betriebssystem, kein TwinCAT</t>
  </si>
  <si>
    <t>Basic CPU module CX1010, 256 Mbyte RAM, DVI/USB, no operating system, no TwinCAT</t>
  </si>
  <si>
    <t>CX1010-0110</t>
  </si>
  <si>
    <t>CPU-Modul CX1010, 256 MByte RAM, DVI/USB, Microsoft Windows Embedded CE 6.0, kein TwinCAT</t>
  </si>
  <si>
    <t>Basic CPU module CX1010, 256 Mbyte RAM, DVI/USB, Microsoft Windows Embedded CE 6.0, no TwinCAT</t>
  </si>
  <si>
    <t>CX1010-0111</t>
  </si>
  <si>
    <t>CPU-Modul CX1010, 256 MByte RAM, DVI/USB, Microsoft Windows Embedded CE 6.0, TwinCAT-2-PLC-Runtime</t>
  </si>
  <si>
    <t>Basic CPU module CX1010, 256 Mbyte RAM, DVI/USB, Microsoft Windows Embedded CE 6.0, TwinCAT 2 PLC run-time</t>
  </si>
  <si>
    <t>CX1010-0112</t>
  </si>
  <si>
    <t>CPU-Modul CX1010, 256 MByte RAM, DVI/USB, Microsoft Windows Embedded CE 6.0, TwinCAT-2-PLC-Runtime, TwinCAT-2-NC-Runtime</t>
  </si>
  <si>
    <t>Basic CPU module CX1010, 256 Mbyte RAM, DVI/USB, Microsoft Windows Embedded CE 6.0, TwinCAT 2 PLC run-time, TwinCAT 2 NC run-time</t>
  </si>
  <si>
    <t>CX1010-0120</t>
  </si>
  <si>
    <t>CPU-Modul CX1010, 256 MByte RAM, DVI/USB, Microsoft Windows Embedded Standard 2009, kein TwinCAT</t>
  </si>
  <si>
    <t>Basic CPU module CX1010, 256 Mbyte RAM, DVI/USB, Microsoft Windows Embedded Standard 2009, no TwinCAT</t>
  </si>
  <si>
    <t>CX1010-0121</t>
  </si>
  <si>
    <t>CPU-Modul CX1010, 256 MByte RAM, DVI/USB, Microsoft Windows Embedded Standard 2009, TwinCAT-2-PLC-Runtime</t>
  </si>
  <si>
    <t>Basic CPU module CX1010, 256 Mbyte RAM, DVI/USB, Microsoft Windows Embedded Standard 2009, TwinCAT 2 PLC run-time</t>
  </si>
  <si>
    <t>CX1010-0122</t>
  </si>
  <si>
    <t>CPU-Modul CX1010, 256 MByte RAM, DVI/USB, Microsoft Windows Embedded Standard 2009, TwinCAT-2-PLC-Runtime, TwinCAT-2-NC-Runtime</t>
  </si>
  <si>
    <t>Basic CPU module CX1010, 256 Mbyte RAM, DVI/USB, Microsoft Windows Embedded Standard 2009, TwinCAT 2 PLC run-time, TwinCAT 2 NC run-time</t>
  </si>
  <si>
    <t>CX1010-N010</t>
  </si>
  <si>
    <t>Interfacemodul für DVI + 2 USB-Anschlüsse
– Standard-DVI-Schnittstelle (max. 5…7 m Kabellänge, auflösungsabhängig)
– DVI-I Schnittstelle führt VGA-Signale aus 
  (Passiver Steckeradapter dient dem Anschluss von Standard-CRT-VGA-Monitoren.)
– 2 x USB-2.0-Ports, Typ A
– ab Werk vormontiert, nicht nachrüstbar
– Schutzart: IP 20
– Betriebs-/Lagertemperatur: 0 °C … +55 °C/-25 °C … +85 °C
– Gewicht: ca. 80 g
– Abmessungen (B x H x T): 19 x 100 x 51 mm</t>
  </si>
  <si>
    <t>Interface module for DVI + 2 USB connections
– standard DVI connector (max. 5...7 m cable length, resolution dependant)
– DVI-I connector includes VGA signals
  (simple adaptor connects to desktop standard CRT-VGA monitors)
– 2 x USB 2.0 ports type A
– pre-assembled ex factory, no field modification possible
– protection class IP 20
– operating/storage temperature 0 °C ... +55 °C/-25 °C ... +85 °C
– weight approx. 80 g
– dimensions (W x H x D) 19 x 100 x 51 mm</t>
  </si>
  <si>
    <t>CX1010-N020</t>
  </si>
  <si>
    <t>Interfacemodul für Stereo-Audio-In/Out-Schnittstellen
– Line-In
– Mic-In (Mikrofon-Signaleingang)
– Line-Out (auch für Kopfhörer), max. 200 mW
– eingebauter PC-Beeper
– ab Werk vormontiert, nicht nachrüstbar
– Schutzart: IP 20
– Betriebs-/Lagertemperatur: 0 °C … +55 °C/-25 °C … +85 °C
– Gewicht: ca. 80 g
– Abmessungen (B x H x T): 19 x 100 x 51 mm</t>
  </si>
  <si>
    <t>Interface module for stereo audio In/Out connections
– Line In
– Line Mic
– Line Out (also for headphone), max. 200 mW
– built-in PC beeper
– pre-assembled ex factory, no field modification possible
– protection class IP 20
– operating/storage temperature 0 °C ... +55 °C/-25 °C ... +85 °C
– weight approx. 80 g
– dimensions (W x H x D) 19 x 100 x 51 mm</t>
  </si>
  <si>
    <t>CX1010-N030</t>
  </si>
  <si>
    <t>Interfacemodul für 2 x RS232-Schnittstellen (COM1 + COM2)
– volle 115 kBaud auf beiden Kanälen
– galvanisch getrennte Ausführung (opto-entkoppelt)
– ab Werk vormontiert, nicht nachrüstbar
– Schutzart: IP 20
– Betriebs-/Lagertemperatur: 0 °C … +55 °C/-25 °C … +85 °C
– Gewicht: ca. 80 g
– Abmessungen (B x H x T): 19 x 100 x 51 mm</t>
  </si>
  <si>
    <t>Interface module for 2 x RS232 connections (COM1 + COM2)
– full 115 kbaud on both channels
– electrically isolated interfaces (optically isolated)
– pre-assembled ex factory, no field modification possible
– protection class IP 20
– operating/storage temperature 0 °C ... +55 °C/-25 °C ... +85 °C
– weight approx. 80 g
– dimensions (W x H x D) 19 x 100 x 91 mm</t>
  </si>
  <si>
    <t>CX1010-N031</t>
  </si>
  <si>
    <t>Interfacemodul für 2 x RS422/RS485-Schnittstellen opto-isoliert (COM1 + COM2)
– kann nur anstelle von und nicht gleichzeitig mit CX1010-N030 verwendet werden
– volle 115 kBaud auf beiden Kanälen
– galvanisch getrennte Schnittstellen (optisch isoliert)
– Modi: RS485: mit/ohne Echo, mit/ohne Terminierung, RS422: Vollduplex
– ab Werk vormontiert, nicht nachrüstbar
– Schutzart: IP 20
– Betriebs-/Lagertemperatur: 0 °C … +55 °C/-25 °C … +85 °C
– Gewicht: ca. 80 g
– Abmessungen (B x H x T): 19 x 100 x 51 mm</t>
  </si>
  <si>
    <t>Interface module for 2 x RS422/RS485 optically isolated (COM1 + COM2)
– can only be used instead of and not at the same time as CX1010-N030 
– full 115 kbaud on both channels
– electrically isolated interfaces (optically isolated)
– modes: RS485: with/without echo, with/without termination, RS422: full duplex
– pre-assembled in the factory, cannot be upgraded
– protection class IP 20
– operating/storage temperature: 0 °C ... +55 °C/-25 °C ... +85 °C
– weight approx. 80 g
– dimensions (W x H x D) 19 x 100 x 51 mm</t>
  </si>
  <si>
    <t>CX1010-N040</t>
  </si>
  <si>
    <t>Interfacemodul für 2 x RS232-Schnittstellen (COM3 + COM4)
– volle 115 kBaud auf beiden Kanälen
– galvanisch getrennte Ausführung (opto-entkoppelt)
– ab Werk vormontiert, nicht nachrüstbar
– Schutzart: IP 20
– Betriebs-/Lagertemperatur: 0 °C … +55 °C/-25 °C … +85 °C
– Gewicht: ca. 80 g
– Abmessungen (B x H x T): 19 x 100 x 51 mm</t>
  </si>
  <si>
    <t>Interface module for 2 x RS232 connections (COM3 + COM4)
– full 115 kbaud on both channels
– electrically isolated interfaces (optically isolated)
– pre-assembled ex factory, no field modification possible
– protection class IP 20
– operating/storage temperature 0 °C ... +55 °C/-25 °C ... +85 °C
– weight approx. 80 g
– dimensions (W x H x D) 19 x 100 x 51 mm</t>
  </si>
  <si>
    <t>CX1010-N041</t>
  </si>
  <si>
    <t>Interfacemodul für 2 x RS422/RS485-Schnittstellen, opto-isoliert (COM3 + COM4)
– kann nur anstelle von und nicht gleichzeitig mit CX1010-N040 verwendet werden
– volle 115 kBaud auf beiden Kanälen
– galvanisch getrennte Schnittstellen (optisch isoliert)
– Modi: RS485: mit/ohne Echo, mit/ohne Terminierung, RS422: Vollduplex
– ab Werk vormontiert, nicht nachrüstbar
– Schutzart: IP 20
– Betriebs-/Lagertemperatur: 0 °C … +55 °C/-25 °C … +85 °C
– Gewicht: ca. 80 g
– Abmessungen (B x H x T): 19 x 100 x 51 mm</t>
  </si>
  <si>
    <t>Interface module for 2 x RS422/RS485 optically isolated (COM3 + COM4)
– can only be used instead of and not at the same time as CX1010-N040 
– full 115 kbaud on both channels
– electrically isolated interfaces (optically isolated)
– modes: RS485: with/without echo, with/without termination, RS422: full duplex
– pre-assembled in the factory, cannot be upgraded
– protection class IP 20
– operating/storage temperature: 0 °C ... +55 °C/-25 °C ... +85 °C
– weight approx. 80 g
– dimensions (W x H x D) 19 x 100 x 51 mm</t>
  </si>
  <si>
    <t>CX1010-N060</t>
  </si>
  <si>
    <t>Interfacemodul für 10/100-MBit-Ethernet an CX1010 CPUs
– führt den zweiten internen LAN-Controller als Standard-Ethernet-Schnittstelle aus
– maximal erlaubte CAT-Kabellänge 15 m
– einfache Nachrüstung im Feld (Achtung: vorgeschriebene Anbauposition siehe Dokumentation)
– nicht gleichzeitig mit EtherCAT-Netzteil CX1100-0004 einsetzbar
– Schutzart: IP 20
– Betriebs-/Lagertemperatur: 0 °C … +55 °C/-25 °C … +85 °C
– Gewicht: ca. 80 g
– Abmessungen (B x H x T): 19 x 100 x 51 mm</t>
  </si>
  <si>
    <t>Interface module for 10/100 Mbit Ethernet at CX1010 CPUs
– implements the second internal LAN controller as standard Ethernet interface
– maximum permitted CAT cable length 15 m
– simple retrofitting in the field (caution: specified mounting position see documentation)
– cannot be used simultaneously with EtherCAT CX1100-0004 power supply unit
– protection class IP 20
– operating/storage temperature: 0 °C ... +55 °C/-25 °C ... +85 °C
– weight approx. 80 g
– dimensions (W x H x D) 19 x 100 x 51 mm</t>
  </si>
  <si>
    <t>CX1020-0000</t>
  </si>
  <si>
    <t>CPU-Modul CX1020, kein Betriebssystem, kein TwinCAT</t>
  </si>
  <si>
    <t>Basic CPU module CX1020, no operating system, no TwinCAT</t>
  </si>
  <si>
    <t>CX1020-0010</t>
  </si>
  <si>
    <t>CPU-Modul CX1020, Microsoft Windows Embedded CE 6.0, kein TwinCAT</t>
  </si>
  <si>
    <t>Basic CPU module CX1020, Microsoft Windows Embedded CE 6.0, no TwinCAT</t>
  </si>
  <si>
    <t>CX1020-0011</t>
  </si>
  <si>
    <t>CPU-Modul CX1020, Microsoft Windows Embedded CE 6.0, TwinCAT-2-PLC-Runtime</t>
  </si>
  <si>
    <t>Basic CPU module CX1020, Microsoft Windows Embedded CE 6.0, TwinCAT 2 PLC run-time</t>
  </si>
  <si>
    <t>CX1020-0012</t>
  </si>
  <si>
    <t>CPU-Modul CX1020, Microsoft Windows Embedded CE 6.0, TwinCAT-2-NC-Runtime</t>
  </si>
  <si>
    <t>Basic CPU module CX1020, Microsoft Windows Embedded CE 6.0, TwinCAT 2 NC run-time</t>
  </si>
  <si>
    <t>CX1020-0013</t>
  </si>
  <si>
    <t>CPU-Modul CX1020, Microsoft Windows Embedded CE 6.0, TwinCAT-2-NC-I-Runtime</t>
  </si>
  <si>
    <t>Basic CPU module CX1020, Microsoft Windows Embedded CE 6.0, TwinCAT 2 NC I run-time</t>
  </si>
  <si>
    <t>CX1020-0020</t>
  </si>
  <si>
    <t>CPU-Modul CX1020, Microsoft Windows Embedded Standard 2009, kein TwinCAT</t>
  </si>
  <si>
    <t>Basic CPU module CX1020, Microsoft Windows Embedded Standard 2009, no TwinCAT</t>
  </si>
  <si>
    <t>CX1020-0021</t>
  </si>
  <si>
    <t>CPU-Modul CX1020, Microsoft Windows Embedded Standard 2009, TwinCAT-2-PLC-Runtime</t>
  </si>
  <si>
    <t>Basic CPU module CX1020, Microsoft Windows Embedded Standard 2009, TwinCAT 2 PLC run-time</t>
  </si>
  <si>
    <t>CX1020-0022</t>
  </si>
  <si>
    <t>CPU-Modul CX1020, Microsoft Windows Embedded Standard 2009, TwinCAT-2-NC-Runtime</t>
  </si>
  <si>
    <t>Basic CPU module CX1020, Microsoft Windows Embedded Standard 2009, TwinCAT 2 NC run-time</t>
  </si>
  <si>
    <t>CX1020-0023</t>
  </si>
  <si>
    <t>CPU-Modul CX1020, Microsoft Windows Embedded Standard 2009, TwinCAT-2-NC-I-Runtime</t>
  </si>
  <si>
    <t>Basic CPU module CX1020, Microsoft Windows Embedded Standard 2009, TwinCAT 2 NC I run-time</t>
  </si>
  <si>
    <t>CX1020-0100</t>
  </si>
  <si>
    <t>CPU-Modul CX1020, DVI/USB, kein Betriebssystem, kein TwinCAT</t>
  </si>
  <si>
    <t>Basic CPU module CX1020, DVI/USB, no operating system, no TwinCAT</t>
  </si>
  <si>
    <t>CX1020-0110</t>
  </si>
  <si>
    <t>CPU-Modul CX1020, DVI/USB, Microsoft Windows Embedded CE 6.0, kein TwinCAT</t>
  </si>
  <si>
    <t>Basic CPU module CX1020, DVI/USB, Microsoft Windows Embedded CE 6.0, no TwinCAT</t>
  </si>
  <si>
    <t>CX1020-0111</t>
  </si>
  <si>
    <t>CPU-Modul CX1020, DVI/USB, Microsoft Windows Embedded CE 6.0, TwinCAT-2-PLC-Runtime</t>
  </si>
  <si>
    <t>Basic CPU module CX1020, DVI/USB, Microsoft Windows Embedded CE 6.0, TwinCAT 2 PLC run-time</t>
  </si>
  <si>
    <t>CX1020-0112</t>
  </si>
  <si>
    <t>CPU-Modul CX1020, DVI/USB, Microsoft Windows Embedded CE 6.0, TwinCAT-2-NC-Runtime</t>
  </si>
  <si>
    <t>Basic CPU module CX1020, DVI/USB, Microsoft Windows Embedded CE 6.0, TwinCAT 2 NC run-time</t>
  </si>
  <si>
    <t>CX1020-0113</t>
  </si>
  <si>
    <t>CPU-Modul CX1020, DVI/USB, Microsoft Windows Embedded CE 6.0, TwinCAT-2-NC-I-Runtime</t>
  </si>
  <si>
    <t>Basic CPU module CX1020, DVI/USB, Microsoft Windows Embedded CE 6.0, TwinCAT 2 NC I run-time</t>
  </si>
  <si>
    <t>CX1020-0120</t>
  </si>
  <si>
    <t>CPU-Modul CX1020, DVI/USB, Microsoft Windows Embedded Standard 2009, kein TwinCAT</t>
  </si>
  <si>
    <t>Basic CPU module CX1020, DVI/USB, Microsoft Windows Embedded Standard 2009, no TwinCAT</t>
  </si>
  <si>
    <t>CX1020-0121</t>
  </si>
  <si>
    <t>CPU-Modul CX1020, DVI/USB, Microsoft Windows Embedded Standard 2009, TwinCAT-2-PLC-Runtime</t>
  </si>
  <si>
    <t>Basic CPU module CX1020, DVI/USB, Microsoft Windows Embedded Standard 2009, TwinCAT 2 PLC run-time</t>
  </si>
  <si>
    <t>CX1020-0122</t>
  </si>
  <si>
    <t>CPU-Modul CX1020, DVI/USB, Microsoft Windows Embedded Standard 2009, TwinCAT-2-NC-Runtime</t>
  </si>
  <si>
    <t>Basic CPU module CX1020, DVI/USB, Microsoft Windows Embedded Standard 2009, TwinCAT 2 NC run-time</t>
  </si>
  <si>
    <t>CX1020-0123</t>
  </si>
  <si>
    <t>CPU-Modul CX1020, DVI/USB, Microsoft Windows Embedded Standard 2009, TwinCAT-2-NC-I-Runtime</t>
  </si>
  <si>
    <t>Basic CPU module CX1020, DVI/USB, Microsoft Windows Embedded Standard 2009, TwinCAT 2 NC I run-time</t>
  </si>
  <si>
    <t>CX1020-N010</t>
  </si>
  <si>
    <t>Interface module for DVI + 2 USB connections
– standard DVI connector (max. 5...7 m cable length, resolution dependant)
– DVI connector includes VGA signals
  (simple adaptor connects to desktop standard CRT monitors)
– 2 x USB 2.0 ports type A
– pre-assembled ex factory, no field modification possible
– protection class IP 20
– operating/storage temperature 0 °C ... +55 °C/-25 °C ... +85 °C
– weight approx. 80 g
– dimensions (W x H x D) 19 x 100 x 51 mm</t>
  </si>
  <si>
    <t>CX1020-N020</t>
  </si>
  <si>
    <t>CX1020-N030</t>
  </si>
  <si>
    <t>Interface module for 2 x RS232 connections (COM1 + COM2)
– full 115 kbaud on both channels
– electrically isolated interfaces (optically isolated)
– pre-assembled ex factory, no field modification possible
– protection class IP 20
– operating/storage temperature 0 °C ... +55 °C/-25 °C ... +85 °C
– weight approx. 80 g
– dimensions (W x H x D) 19 x 100 x 51 mm</t>
  </si>
  <si>
    <t>CX1020-N031</t>
  </si>
  <si>
    <t>Interfacemodul für 2 x RS422/RS485-Schnittstellen opto-isoliert (COM1 + COM2)
– kann nur anstelle von und nicht gleichzeitig mit CX1020-N030 verwendet werden
– volle 115 kBaud auf beiden Kanälen
– galvanisch getrennte Schnittstellen (optisch isoliert)
– Modi: RS485: mit/ohne Echo, mit/ohne Terminierung, RS422: Vollduplex
– ab Werk vormontiert, nicht nachrüstbar
– Schutzart: IP 20
– Betriebs-/Lagertemperatur: 0 °C … +55 °C/-25 °C … +85 °C
– Gewicht: ca. 80 g
– Abmessungen (B x H x T): 19 x 100 x 51 mm</t>
  </si>
  <si>
    <t>Interface module for 2 x RS422/RS485 connections optically isolated (COM1 + COM2)
– can only be used instead of and not at the same time as CX1020-N030 
– full 115 kbaud on both channels
– electrically isolated interfaces (optically isolated)
– modes: RS485: with/without echo, with/without termination, RS422: full duplex
– pre-assembled in the factory, cannot be upgraded
– protection class IP 20
– operating/storage temperature: 0 °C ... +55 °C/-25 °C ... +85 °C
– weight approx. 80 g
– dimensions (W x H x D) 19 x 100 x 51 mm</t>
  </si>
  <si>
    <t>CX1020-N040</t>
  </si>
  <si>
    <t>CX1020-N041</t>
  </si>
  <si>
    <t>Interfacemodul für 2 x RS422/RS485-Schnittstellen, opto-isoliert (COM3 + COM4)
– kann nur anstelle von und nicht gleichzeitig mit CX1020-N040 verwendet werden
– volle 115 kBaud auf beiden Kanälen
– galvanisch getrennte Schnittstellen (optisch isoliert)
– Modi: RS485: mit/ohne Echo, mit/ohne Terminierung, RS422: Vollduplex
– ab Werk vormontiert, nicht nachrüstbar
– Schutzart: IP 20
– Betriebs-/Lagertemperatur: 0 °C … +55 °C/-25 °C … +85 °C
– Gewicht: ca. 80 g
– Abmessungen (B x H x T): 19 x 100 x 51 mm</t>
  </si>
  <si>
    <t>Interface module for 2 x RS422/RS485 connections optically isolated (COM3 + COM4)
– can only be used instead of and not at the same time as CX1020-N040
– full 115 kbaud on both channels
– electrically isolated interfaces (optically isolated)
– modes: RS485: with/without echo, with/without termination, RS422: full duplex
– pre-assembled in the factory, cannot be upgraded
– protection class IP 20
– operating/storage temperature: 0 °C ... +55 °C/-25 °C ... +85 °C
– weight approx. 80 g
– dimensions (W x H x D) 19 x 100 x 51 mm</t>
  </si>
  <si>
    <t>CX1020-N060</t>
  </si>
  <si>
    <t>Interfacemodul für 10/100-MBit-Ethernet an CX1020-CPUs
– führt den zweiten internen LAN-Controller als Standard-Ethernet-Schnittstelle aus
– maximal erlaubte CAT-Kabellänge 20 m
– einfache Nachrüstung im Feld (Achtung: vorgeschriebene Anbauposition siehe Dokumentation)
– nicht gleichzeitig mit EtherCAT-Netzteil CX1100-0004 einsetzbar
– Schutzart: IP 20
– Betriebs-/Lagertemperatur: 0 °C … +55 °C/-25 °C … +85 °C
– Gewicht: ca. 80 g
– Abmessungen (B x H x T): 19 x 100 x 51 mm</t>
  </si>
  <si>
    <t>Interface module for 10/100 Mbit Ethernet at CX1020 CPUs
– implements the second internal LAN controller as standard Ethernet interface
– maximum permitted CAT cable length 20 m
– simple retrofitting in the field (caution: specified mounting position see documentation)
– cannot be used simultaneously with EtherCAT CX1100-0004 power supply unit
– protection class IP 20
– operating/storage temperature: 0 °C ... +55 °C/-25 °C ... +85 °C
– weight approx. 80 g
– dimensions (W x H x D) 19 x 100 x 51 mm</t>
  </si>
  <si>
    <t>CX1030-0000</t>
  </si>
  <si>
    <t>CPU-Modul CX1030, kein Betriebssystem, kein TwinCAT</t>
  </si>
  <si>
    <t>Basic CPU module CX1030, no operating system, no TwinCAT</t>
  </si>
  <si>
    <t>CX1030-0010</t>
  </si>
  <si>
    <t>CPU-Modul CX1030, Microsoft Windows Embedded CE 6.0, kein TwinCAT</t>
  </si>
  <si>
    <t>Basic CPU module CX1030, Microsoft Windows Embedded CE 6.0, no TwinCAT</t>
  </si>
  <si>
    <t>CX1030-0011</t>
  </si>
  <si>
    <t>CPU-Modul CX1030, Microsoft Windows Embedded CE 6.0, TwinCAT-2-PLC-Runtime</t>
  </si>
  <si>
    <t>Basic CPU module CX1030, Microsoft Windows Embedded CE 6.0, TwinCAT 2 PLC run-time</t>
  </si>
  <si>
    <t>CX1030-0012</t>
  </si>
  <si>
    <t>CPU-Modul CX1030, Microsoft Windows Embedded CE 6.0, TwinCAT-2-NC-Runtime</t>
  </si>
  <si>
    <t>Basic CPU module CX1030, Microsoft Windows Embedded CE 6.0, TwinCAT 2 NC run-time</t>
  </si>
  <si>
    <t>CX1030-0013</t>
  </si>
  <si>
    <t>CPU-Modul CX1030, Microsoft Windows Embedded CE 6.0, TwinCAT-2-NC-I-Runtime</t>
  </si>
  <si>
    <t>Basic CPU module CX1030, Microsoft Windows Embedded CE 6.0, TwinCAT 2 NC I run-time</t>
  </si>
  <si>
    <t>CX1030-0020</t>
  </si>
  <si>
    <t>CPU-Modul CX1030, Microsoft Windows Embedded Standard 2009, kein TwinCAT</t>
  </si>
  <si>
    <t>Basic CPU module CX1030, Microsoft Windows Embedded Standard 2009, no TwinCAT</t>
  </si>
  <si>
    <t>CX1030-0021</t>
  </si>
  <si>
    <t>CPU-Modul CX1030, Microsoft Windows Embedded Standard 2009, TwinCAT-2-PLC-Runtime</t>
  </si>
  <si>
    <t>Basic CPU module CX1030, Microsoft Windows Embedded Standard 2009, TwinCAT 2 PLC run-time</t>
  </si>
  <si>
    <t>CX1030-0022</t>
  </si>
  <si>
    <t>CPU-Modul CX1030, Microsoft Windows Embedded Standard 2009, TwinCAT-2-NC-Runtime</t>
  </si>
  <si>
    <t>Basic CPU module CX1030, Microsoft Windows Embedded Standard 2009, TwinCAT 2 NC run-time</t>
  </si>
  <si>
    <t>CX1030-0023</t>
  </si>
  <si>
    <t>CPU-Modul CX1030, Microsoft Windows Embedded Standard 2009, TwinCAT-2-NC-I-Runtime</t>
  </si>
  <si>
    <t>Basic CPU module CX1030, Microsoft Windows Embedded Standard 2009, TwinCAT 2 NC I run-time</t>
  </si>
  <si>
    <t>CX1030-0100</t>
  </si>
  <si>
    <t>CPU-Modul CX1030, DVI/USB, kein Betriebssystem, kein TwinCAT</t>
  </si>
  <si>
    <t>Basic CPU module CX1030, DVI/USB, no operating system, no TwinCAT</t>
  </si>
  <si>
    <t>CX1030-0110</t>
  </si>
  <si>
    <t>CPU-Modul CX1030, DVI/USB, Microsoft Windows Embedded CE 6.0, kein TwinCAT</t>
  </si>
  <si>
    <t>Basic CPU module CX1030, DVI/USB, Microsoft Windows Embedded CE 6.0, no TwinCAT</t>
  </si>
  <si>
    <t>CX1030-0111</t>
  </si>
  <si>
    <t>CPU-Modul CX1030, DVI/USB, Microsoft Windows Embedded CE 6.0, TwinCAT-2-PLC-Runtime</t>
  </si>
  <si>
    <t>Basic CPU module CX1030, DVI/USB, Microsoft Windows Embedded CE 6.0, TwinCAT 2 PLC run-time</t>
  </si>
  <si>
    <t>CX1030-0112</t>
  </si>
  <si>
    <t>CPU-Modul CX1030, DVI/USB, Microsoft Windows Embedded CE 6.0, TwinCAT-2-NC-Runtime</t>
  </si>
  <si>
    <t>Basic CPU module CX1030, DVI/USB, Microsoft Windows Embedded CE 6.0, TwinCAT 2 NC run-time</t>
  </si>
  <si>
    <t>CX1030-0113</t>
  </si>
  <si>
    <t>CPU-Modul CX1030, DVI/USB, Microsoft Windows Embedded CE 6.0, TwinCAT-2-NC-I-Runtime</t>
  </si>
  <si>
    <t>Basic CPU module CX1030, DVI/USB, Microsoft Windows Embedded CE 6.0, TwinCAT 2 NC I run-time</t>
  </si>
  <si>
    <t>CX1030-0120</t>
  </si>
  <si>
    <t>CPU-Modul CX1030, DVI/USB, Microsoft Windows Embedded Standard 2009, kein TwinCAT</t>
  </si>
  <si>
    <t>Basic CPU module CX1030, DVI/USB, Microsoft Windows Embedded Standard 2009, no TwinCAT</t>
  </si>
  <si>
    <t>CX1030-0121</t>
  </si>
  <si>
    <t>CPU-Modul CX1030, DVI/USB, Microsoft Windows Embedded Standard 2009, TwinCAT-2-PLC-Runtime</t>
  </si>
  <si>
    <t>Basic CPU module CX1030, DVI/USB, Microsoft Windows Embedded Standard 2009, TwinCAT 2 PLC run-time</t>
  </si>
  <si>
    <t>CX1030-0122</t>
  </si>
  <si>
    <t>CPU-Modul CX1030, DVI/USB, Microsoft Windows Embedded Standard 2009, TwinCAT-2-NC-Runtime</t>
  </si>
  <si>
    <t>Basic CPU module CX1030, DVI/USB, Microsoft Windows Embedded Standard 2009, TwinCAT 2 NC run-time</t>
  </si>
  <si>
    <t>CX1030-0123</t>
  </si>
  <si>
    <t>CPU-Modul CX1030, DVI/USB, Microsoft Windows Embedded Standard 2009, TwinCAT-2-NC-I-Runtime</t>
  </si>
  <si>
    <t>Basic CPU module CX1030, DVI/USB, Microsoft Windows Embedded Standard 2009, TwinCAT 2 NC I run-time</t>
  </si>
  <si>
    <t>CX1030-N010</t>
  </si>
  <si>
    <t>Interfacemodul für DVI + 2 USB-Anschlüsse
– Standard-DVI-Schnittstelle (max. 5…7 m Kabellänge, auflösungsabhängig)
– DVI-I-Schnittstelle führt VGA-Signale aus.
  (Passiver Steckeradapter dient dem Anschluss von Standard-CRT-VGA-Monitoren.)
– 2 x USB-2.0-Ports, Typ A
– ab Werk vormontiert, nicht nachrüstbar
– Schutzart: IP 20
– Betriebs-/Lagertemperatur: 0 °C … +55 °C/-25 °C … +85 °C
– Gewicht: ca. 80 g
– Abmessungen (B x H x T): 19 x 100 x 51 mm</t>
  </si>
  <si>
    <t>CX1030-N020</t>
  </si>
  <si>
    <t>CX1030-N030</t>
  </si>
  <si>
    <t>CX1030-N031</t>
  </si>
  <si>
    <t>Interfacemodul für 2 x RS422/RS485-Schnittstellen opto-isoliert (COM1 + COM2)
– kann nur anstelle von und nicht gleichzeitig mit CX1030-N030 verwendet werden
– volle 115 kBaud auf beiden Kanälen
– galvanisch getrennte Schnittstellen (optisch isoliert)
– Modi: RS485: mit/ohne Echo, mit/ohne Terminierung, RS422: Vollduplex
– ab Werk vormontiert, nicht nachrüstbar
– Schutzart: IP 20
– Betriebs-/Lagertemperatur: 0 °C … +55 °C/-25 °C … +85 °C
– Gewicht: ca. 80 g
– Abmessungen (B x H x T): 19 x 100 x 51 mm</t>
  </si>
  <si>
    <t>Interface module for 2 x RS422/RS485 connections optically isolated (COM1 + COM2)
– can only be used instead of and not at the same time as CX1030-N030 
– full 115 kbaud on both channels
– electrically isolated interfaces (optically isolated)
– modes: RS485: with/without echo, with/without termination, RS422: full duplex
– pre-assembled in the factory, cannot be upgraded
– protection class IP 20
– operating/storage temperature: 0 °C ... +55 °C/-25 °C ... +85 °C
– weight approx. 80 g
– dimensions (W x H x D) 19 x 100 x 51 mm</t>
  </si>
  <si>
    <t>CX1030-N040</t>
  </si>
  <si>
    <t>CX1030-N041</t>
  </si>
  <si>
    <t>Interfacemodul für 2 x RS422/RS485-Schnittstellen, opto-isoliert (COM3 + COM4)
– kann nur anstelle von und nicht gleichzeitig mit CX1030-N040 verwendet werden
– volle 115 kBaud auf beiden Kanälen
– galvanisch getrennte Schnittstellen (optisch isoliert)
– Modi: RS485: mit/ohne Echo, mit/ohne Terminierung, RS422: Vollduplex
– ab Werk vormontiert, nicht nachrüstbar
– Schutzart: IP 20
– Betriebs-/Lagertemperatur: 0 °C … +55 °C/-25 °C … +85 °C
– Gewicht: ca. 80 g
– Abmessungen (B x H x T): 19 x 100 x 51 mm</t>
  </si>
  <si>
    <t>Interface module for 2 x RS422/RS485 connections optically isolated (COM3 + COM4)
– can only be used instead of and not at the same time as CX1030-N040
– full 115 kbaud on both channels
– electrically isolated interfaces (optically isolated)
– modes: RS485: with/without echo, with/without termination, RS422: full duplex
– pre-assembled in the factory, cannot be upgraded
– protection class IP 20
– operating/storage temperature: 0 °C ... +55 °C/-25 °C ... +85 °C
– weight approx. 80 g
– dimensions (W x H x D) 19 x 100 x 51 mm</t>
  </si>
  <si>
    <t>CX1030-N060</t>
  </si>
  <si>
    <t>Interfacemodul für 10/100-MBit-Ethernet an CX1030 CPUs
– führt den zweiten internen LAN-Controller als Standard-Ethernet-Schnittstelle aus
– maximal erlaubte CAT-Kabellänge: 20 m
– einfache Nachrüstung im Feld (Achtung: vorgeschriebene Anbauposition siehe Dokumentation)
– nicht gleichzeitig mit EtherCAT-Netzteil CX1100-0014 einsetzbar
– Schutzart: IP 20
– Betriebs-/Lagertemperatur: 0 °C … +55 °C/-25 °C … +85 °C
– Gewicht: ca. 71 g
– Abmessungen (B x H x T): 19 x 100 x 51 mm</t>
  </si>
  <si>
    <t>Interface module for 10/100 Mbit Ethernet at CX1030 CPUs
– implements the second internal LAN controller as standard Ethernet interface
– maximum permitted CAT cable length 20 m
– simple retrofitting in the field (caution: specified mounting position see documentation)
– cannot be used simultaneously with EtherCAT CX1100-0014 power supply unit
– protection class IP 20
– operating/storage temperature: 0 °C ... +55 °C/-25 °C ... +85 °C
– weight approx. 71 g
– dimensions (W x H x D) 19 x 100 x 51 mm</t>
  </si>
  <si>
    <t>CX1100-0001</t>
  </si>
  <si>
    <t>Netzteil für Grundmodul CX1000, CX1010 und CX1020
– 24 V DC (-15 %/+20 %)
– 8 kByte NOVRAM
– FSTN-Display: 2 Zeilen x 16 Zeichen Text, beleuchtet, Navi-Switch 4+1
– Schutzart: IP 20
– Betriebs-/Lagertemperatur: 0 °C … +55 °C/-25 °C … +85 °C
– Gewicht: ca. 180 g
– Abmessungen (B x H x T): 45 x 100 x 91 mm</t>
  </si>
  <si>
    <t>Power supply unit for CX1000, CX1010 and CX1020
– 24 V DC (-15 %/+20 %)
– 8 kbyte NOVRAM
– FSTN display 2 lines x 16 characters of text, lighted, Navi switch 4+1
– protection class IP 20
– operating/storage temperature 0 °C ... +55 °C/-25 °C ... +85 °C
– weight approx. 180 g
– dimensions (W x H x D) 45 x 100 x 91 mm</t>
  </si>
  <si>
    <t>Netzteil für Grundmodul CX1000, CX1010 und CX1020 K-Bus-fähig
– 24 V DC (-15 %/+20 %)
– integrierter K-Bus-Controller
– K-Bus-Stromversorgung bis max. 1,75 A
– 8 kByte NOVRAM
– 2-kByte-DPRAM-I/O-Speicher für K-Bus-Nutzinformation
– FSTN-Display: 2 Zeilen x 16 Zeichen Text, beleuchtet, Navi-Switch 4+1
– Schutzart: IP 20
– Betriebs-/Lagertemperatur: 0 °C … +55 °C/-25 °C … +85 °C
– Gewicht: ca. 250 g
– Abmessungen (B x H x T): 40 x 100 x 91 mm</t>
  </si>
  <si>
    <t>Power supply unit for CX1000, CX1010 and CX1020 core with K-bus capability
– 24 V DC (-15 %/+20 %)
– integrated K-bus controller
– K-bus power supply up to max. 1.75 A
– 8 kbyte NOVRAM
– 2 kbyte DPRAM I/O memory for K-bus process data
– FSTN display 2 lines x 16 characters of text, lighted, Navi switch 4+1
– protection class IP 20
– operating/storage temperature 0 °C ... +55 °C/-25 °C ... +85 °C
– weight approx. 250 g
– dimensions (W x H x D) 40 x 100 x 91 mm</t>
  </si>
  <si>
    <t>Netzteil für Grundmodul CX1000, CX1010 und CX1020, K-Bus- und IP-Link-fähig
– 24 V DC (-15 %/+20 %)
– integrierter K-Bus-Controller und IP-Link-Controller
– 8 kByte NOVRAM
– 4-kByte-I/O-Speicher für Nutzinformation (zusammen mit K-Bus-Nutzinformation)
– FSTN-Display: 2 Zeilen x 16 Zeichen Text, beleuchtet, Navi-Switch 4+1
Eigenschaften Beckhoff-IP-Link-Master-Interfacemodul (1-Kanal):
– verbindet bis zu 64 I/O-Stationen der Beckhoff-IP-67-Feldbus-Module, Typ IExxxx
– basierend auf Lichtwellenleiter 
– 2 MBaud Kommunikationsgeschwindigkeit 
– Schutzart: IP 20
– Betriebs-/Lagertemperatur: 0 °C … +55 °C/-25 °C … +85 °C
– Gewicht: ca. 350 g
– Abmessungen (B x H x T): 58 x 100 x 91 mm</t>
  </si>
  <si>
    <t>Power supply unit for CX1000, CX1010 and CX1020, core with K-bus capability and IP-Link capability
– 24 V DC (-15 %/+20 %)
– integrated K-bus controller and IP-Link controller
– 8 kbyte NOVRAM
– 4 kbyte I/O memory for process data (shared with K-bus process data)
– FSTN display 2 lines x 16 characters of text, lighted, Navi switch 4+1
Beckhoff IP-Link master interface module (1-channel):
– connects up to 64 I/O stations of Beckhoff IP 67 Fieldbus Box modules type IExxxx
– optical fibre based bus 
– 2 Mbaud communication speed
– protection class IP 20
– operating/storage temperature 0 °C ... +55 °C/-25 °C ... +85 °C
– weight approx. 350 g
– dimensions (W x H x D) 58 x 100 x 91 mm</t>
  </si>
  <si>
    <t>Netzteil für Grundmodul CX1010 und CX1020, E-Bus-fähig
– 24 V DC (-15 %/+20 %)
– E-Bus-Anschluss (Adapterklemme)
– E-Bus-Stromversorgung bis 2 A
– 8 kByte NOVRAM
– FSTN-Display: 2 Zeilen x 16 Zeichen Text, beleuchtet, Navi-Switch 4+1
– Diagnose-LED: 1 x PWR, 1 x L/A, 1 x RUN
– Schutzart: IP 20
– Betriebs-/Lagertemperatur: 0 °C … +55 °C/-25 °C … +85 °C
– Gewicht: ca. 250 g
– Abmessungen (B x H x T): 40 mm x 100 mm x 91 mm</t>
  </si>
  <si>
    <t>Power supply unit for CX1010 and CX1020, core with E-bus capability
– power supply 24 V DC (-15%/+20%)
– E-bus connection (adapter terminal)
– E-bus power supply up to 2 A
– 8 kbyte NOVRAM
– FSTN display 2 lines x 16 characters of text, lighted, Navi switch 4+1
– diagnostics LED: 1 x PWR, 1 x L/A, 1 x RUN
– protection class IP 20
– operating/storage temperature 0 °C ... +55 °C/-25 °C ... +85 °C
– weight approx. 205 g
– dimensions (W x H x D) 39 x 100 x 91 mm</t>
  </si>
  <si>
    <t>Netzteil für Grundmodul CX1030, K-Bus-fähig
– passive Kühlung durch integrierten Alu-Kühlkörper
– 24 V DC (-15 %/+20 %)
– integrierter K-Bus-Controller
– K-Bus-Stromversorgung bis max. 1,75 A
– 8 kByte NOVRAM
– 2-kByte-DPRAM-I/O-Speicher für K-Bus-Nutzinformation
– FSTN-Display: 2 Zeilen x 16 Zeichen Text, beleuchtet, Navi-Switch 4+1
– Schutzart: IP 20
– Betriebs-/Lagertemperatur: 0 °C … +55 °C/-25 °C … +85 °C
– Gewicht: ca. 240 g
– Abmessungen (B x H x T): 42 x 109 x 92 mm</t>
  </si>
  <si>
    <t>Power supply unit for CX1030 core with K-bus capability
– 24 V DC (-15 %/+20 %)
– integrated K-bus controller
– K-bus power supply up to max. 1.75 A
– 8 kbyte NOVRAM
– 2 kbyte DPRAM I/O memory for K-bus process data
– FSTN display 2 lines x 16 characters of text, lighted, Navi switch 4+1
– protection class IP 20
– operating/storage temperature 0 °C ... +55 °C/-25 °C ... +85 °C
– weight approx. 240 g
– dimensions (W x H x D) 42 x 109 x 92 mm</t>
  </si>
  <si>
    <t>Netzteil für Grundmodul CX1030, K-Bus- und IP-Link-fähig
– passive Kühlung durch integrierten Alu-Kühlkörper
– 24 V DC (-15 %/+20 %)
– integrierter K-Bus-Controller und IP-Link-Controller
– 8 kByte NOVRAM
– 4-kByte-I/O-Speicher für Nutzinformation (zusammen mit K-Bus-Nutzinformation)
– FSTN-Display: 2 Zeilen x 16 Zeichen Text, beleuchtet, Navi-Switch 4+1
Eigenschaften Beckhoff-IP-Link-Master-Interfacemodul (1-Kanal):
  – verbindet bis zu 64 I/O-Stationen der Beckhoff-IP-67-Feldbus-Module, Typ IExxxx
  – basierend auf Lichtwellenleiter 
  – 2 MBaud Kommunikationsgeschwindigkeit 
– Schutzart: IP 20
– Betriebs-/Lagertemperatur: 0 °C … +55 °C/-25 °C … +85 °C
– Gewicht: ca. 325 g
– Abmessungen (B x H x T): 58 x 109 x 92 mm</t>
  </si>
  <si>
    <t>Power supply unit for CX1030, core with K-bus capability and IP-Link capability
– 24 V DC (-15 %/+20 %)
– integrated K-bus controller and IP-Link controller
– 8 kbyte NOVRAM
– 4 kbyte I/O memory for process data (shared with K-bus process data)
– FSTN display 2 lines x 16 characters of text, lighted, Navi switch 4+1
Beckhoff IP-Link master interface module (1-channel):
  – connects up to 64 I/O stations of Beckhoff IP 67 Fieldbus Box modules type IExxxx
  – optical fibre based bus 
  – 2 Mbaud communication speed
– protection class IP 20
– operating/storage temperature 0 °C ... +55 °C/-25 °C ... +85 °C
– weight approx. 325 g
– dimensions (W x H x D) 58 x 109 x 92 mm</t>
  </si>
  <si>
    <t>Netzteil für Grundmodul CX1030, E-Bus-fähig
– passive Kühlung durch integrierten Alu-Kühlkörper
– 24 V DC (-15 %/+20 %)
– E-Bus-Anschluss (Adapterklemme)
– E-Bus-Stromversorgung bis max. 1,75 A
– 8 kByte NOVRAM
– FSTN-Display: 2 Zeilen x 16 Zeichen Text, beleuchtet, Navi-Switch 4+1
– Diagnose-LED: 1 x PWR, 1 x L/A, 1 x RUN
– Schutzart: IP 20
– Betriebs-/Lagertemperatur: 0 °C … +55 °C/-25 °C … +85 °C
– Gewicht: ca. 235 g
– Abmessungen (B x H x T): 42 mm x 109 mm x 92 mm</t>
  </si>
  <si>
    <t>Power supply unit for CX1030, core with E-bus capability
– power supply 24 V DC (-15 %/+20 %)
– E-bus connection (adapter terminal)
– E-bus power supply up to max. 1.75 A
– 8 kbyte NOVRAM
– FSTN display 2 lines x 16 characters of text, lighted, Navi switch 4+1
– diagnostics LED: 1 x PWR, 1 x L/A, 1 x RUN
– protection class IP 20
– operating/storage temperature 0 °C ... +55 °C/-25 °C ... +85 °C
– weight approx. 235 g
– dimensions (W x H x D) 42 x 109 x 92 mm</t>
  </si>
  <si>
    <t>CX1100-0900</t>
  </si>
  <si>
    <t>USV-Modul zur unterbrechungsfreien Stromversorgung der CX-Steuerung
– geeignet für CX1000 und CX1010
– Ladung: 20 As
– max. Ausgangsstrom 550 mA bei 24 V DC
– einfache Nachrüstung im Feld durch Anreihung an vorhandene CX1000- und CX1010-Steuerung möglich
– wartungsfrei dank moderner kapazitiver Technologie (Supercaps)
– einstellbare Haltezeit (lastabhängig) über Drehwahlschalter
– LED-Statusanzeige für 24-V-DC-Input, 24-V-DC-Output, CHARGE
– USV-Status abfragbar über TwinCAT oder DPRAM-Schnittstelle
– Schutzart: IP 20
– Betriebs-/Lagertemperatur: 0 °C … +55 °C/-25 °C … +85 °C
– Gewicht: ca. 346 g
– Abmessungen (B x H x T): 57 x 100 x 91 mm</t>
  </si>
  <si>
    <t>UPS module for uninterruptible power supply of the CX controller
– suitable for CX1000 and CX1010
– electric charge: 20 As
– output current max. 550 mA (24 V DC)
– simple retrofitting in the field by adding to existing CX1000 and CX1010 controller is possible
– maintenance-free due to advanced capacitive technology (Supercaps)
– bridging time adjustable via rotary selection switch (load-dependent)
– LED status indicator for 24 V IN OK, 24 V OUT OK, CHARGE
– UPS status can be queried via TwinCAT or DPRAM interface
– protection class IP 20
– operating/storage temperature 0 °C ... +55 °C/-25 °C ... +85 °C
– weight approx. 346 g
– dimensions (W x H x D) 57 x 100 x 91 mm</t>
  </si>
  <si>
    <t>CX1100-0910</t>
  </si>
  <si>
    <t>USV-Modul zur unterbrechungsfreien Stromversorgung der CX-Steuerung
– geeignet für CX1000 und CX1010
– Ladung: 20 As
– max. Ausgangsstrom 1100 mA bei 24 V DC
– einfache Nachrüstung im Feld durch Anreihung an vorhandene CX-Steuerung möglich
– wartungsfrei dank moderner kapazitiver Technologie (Supercaps)
– einstellbare Haltezeit (lastabhängig) über Drehwahlschalter
– LED-Statusanzeige für 24-V-DC-Input, 24-V-DC-Output, CHARGE
– USV-Status abfragbar über TwinCAT oder DPRAM-Schnittstelle
– Schutzart: IP 20
– Betriebs-/Lagertemperatur: 0 °C … +55 °C/-25 °C … +85 °C
– Gewicht: ca. 465 g
– Abmessungen (B x H x T): 76 x 100 x 91 mm</t>
  </si>
  <si>
    <t>UPS module for uninterruptible power supply of the CX controller
– suitable for CX1000 and CX1010
– electric charge: 20 As
– output current max. 1100 mA (24 V DC)
– simple retrofitting in the field by adding to existing CX controller is possible
– maintenance-free due to advanced capacitive technology (Supercaps)
– bridging time adjustable via rotary selection switch (load-dependent)
– LED status indicator for 24 V IN OK, 24 V OUT OK, CHARGE
– UPS status can be queried via TwinCAT or DPRAM interface
– protection class IP 20
– operating/storage temperature 0 °C ... +55 °C/-25 °C ... +85 °C
– weight approx. 465 g
– dimensions (W x H x D) 76 x 100 x 91 mm</t>
  </si>
  <si>
    <t>CX1100-0920</t>
  </si>
  <si>
    <t>USV-Modul zur unterbrechungsfreien Stromversorgung der CX-Steuerung
– geeignet für CX1000, CX1010 und CX1020 (nicht CX1030)
– Ladung: 40 As
– max. Ausgangsstrom 1100 mA bei 24 V DC
– einfache Nachrüstung im Feld durch Anreihung an vorhandene CX-Steuerung möglich
– wartungsfrei dank moderner kapazitiver Technologie (Supercaps)
– einstellbare Haltezeit (lastabhängig) über Drehwahlschalter
– LED-Statusanzeige für 24-V-DC-Input, 24-V-DC-Output, CHARGE
– USV-Status abfragbar über TwinCAT oder DPRAM-Schnittstelle
– Schutzart: IP 20
– Betriebs-/Lagertemperatur: 0 °C … +55 °C/-25 °C … +85 °C
– Gewicht: ca. 617 g
– Abmessungen (B x H x T): 95 x 100 x 91 mm</t>
  </si>
  <si>
    <t>UPS module for uninterruptible power supply of the CX controller
– suitable for CX1000, CX1010 and CX1020 (not CX1030)
– electric charge: 40 As
– output current max. 1100 mA (24 V DC)
– simple retrofitting in the field by adding to existing CX controller is possible
– maintenance-free due to advanced capacitive technology (Supercaps)
– bridging time adjustable via rotary selection switch (load-dependent)
– LED status indicator for 24 V IN OK, 24 V OUT OK, CHARGE
– UPS status can be queried via TwinCAT or DPRAM interface
– protection class IP 20
– operating/storage temperature 0 °C ... +55 °C/-25 °C ... +85 °C
– weight approx. 617 g
– dimensions (W x H x D) 95 x 100 x 91 mm</t>
  </si>
  <si>
    <t>CX1100-0930</t>
  </si>
  <si>
    <t>USV-Modul zur unterbrechungsfreien Stromversorgung der CX-Steuerung
– geeignet für CX1000, CX1010, CX1020 und CX1030
– Ladung: 40 As
– max. Ausgangsstrom 2000 mA bei 24 V DC
– einfache Nachrüstung im Feld durch Anreihung an vorhandene CX-Steuerung möglich
– wartungsfrei, dank moderner kapazitiver Technologie (Supercaps)
– einstellbare Haltezeit (lastabhängig) über Drehwahlschalter
– LED-Statusanzeige für 24-V-DC-Input, 24-V-DC-Output, CHARGE
– USV-Status abfragbar über TwinCAT oder DPRAM-Schnittstelle
– Schutzart: IP 20
– Betriebs-/Lagertemperatur: 0 °C … +55 °C/-25 °C … +85 °C
– Gewicht: ca. 650 g
– Abmessungen (B x H x T): 95 x 100 x 91 mm</t>
  </si>
  <si>
    <t>UPS module for uninterruptible power supply of the CX controller
– suitable for CX1000, CX1010, CX1020 and CX1030
– electric charge: 40 As
– output current max. 2000 mA (24 V DC)
– simple retrofitting in the field by adding to existing CX controller is possible
– maintenance-free due to advanced capacitive technology (Supercaps)
– bridging time adjustable via rotary selection switch (load-dependent)
– LED status indicator for 24 V IN OK, 24 V OUT OK, CHARGE
– UPS status can be queried via TwinCAT or DPRAM interface
– protection class IP 20
– operating/storage temperature 0 °C ... +55 °C/-25 °C ... +85 °C
– weight approx. 650 g
– dimensions (W x H x D) 95 x 100 x 91 mm</t>
  </si>
  <si>
    <t>CX1500-B200</t>
  </si>
  <si>
    <t>Lightbus-Slave-Interfacemodul
ISA-Adresse: EA000
– Anzahl der Feldbuskanäle: 1
– Anschlusstyp: 2 x Lichtwellenleiter-Stecker 
– Baudrate: 2,5 MBaud, 32-Bit-Nutzinformation in 25 µs 
– max. Prozessabbild: 512 Bytes In/512 Bytes Out 
– 2 kByte interner DPRAM-Speicher für Prozessabbild 
– Schnittstelle zum CX-CPU-Modul durch 16-Bit-ISA-Bus und 2 kBytes DPRAM
– Anzahl der Busteilnehmer: max. 255 Slaves
– Beschriftungssystem: rastbare Beschriftungsfahnen (weiß), Format 5 x 15 mm
– Schutzart: IP 20
– Betriebs-/Lagertemperatur: 0 °C … +55 °C/-25 °C … +85 °C
– Gewicht: ca. 190 g
– Abmessungen (B x H x T): 38 x 100 x 91 mm</t>
  </si>
  <si>
    <t>Lightbus slave interface module
ISA address: EA000
– number of fieldbus channels: 1
– connector type: 2 x fibre optic connectors
– communication speed: 2.5 Mbaud, 32 bit data information in 25 µs
– max. process image: 512 bytes In/512 bytes Out 
– 2 kbyte internal DPRAM memory for process image
– interface to the CX through 16 bit ISA bus with 2 kbyte DPRAM
– bus nodes per channel: max. 255 slaves
– labelling system: snap-in white-coloured labels 5 x 15 mm
– protection class IP 20
– operating/storage temperature 0 °C ... +55 °C/-25 °C ... +85 °C
– weight approx. 190 g
– dimensions (W x H x D) 38 x 100 x 91 mm</t>
  </si>
  <si>
    <t>CX1500-B310</t>
  </si>
  <si>
    <t>PROFIBUS-Slave-Interfacemodul
ISA-Adresse: E4000
– Anzahl der Feldbuskanäle: 1
– Anschlusstyp: D-Sub-Buchse, 9-polig 
– PROFIBUS-DP, DP-V1, DP-V2 (MC)
– Baudrate: 9,6 kBaud - 12 MBaud 
– max. Prozessabbild: 244 Bytes In/244 Bytes Out 
– 2 kByte interner DPRAM-Speicher für Prozessabbild 
– Schnittstelle zum CX-CPU-Modul durch 16-Bit-ISA-Bus und 2 kBytes DPRAM
– Anzahl der Busteilnehmer: max. 125 Slaves
– Beschriftungssystem: rastbare Beschriftungsfahnen (weiß), Format 5 x 15 mm
– Schutzart: IP 20
– Betriebs-/Lagertemperatur: 0 °C … +55 °C/-25 °C … +85 °C
– Gewicht: ca. 190 g
– Abmessungen (B x H x T): 38 x 100 x 91 mm</t>
  </si>
  <si>
    <t>PROFIBUS slave interface module
ISA address: E4000 
– number of fieldbus channels: 1
– connector type: 9-pin D-sub, female 
– PROFIBUS DP, DP-V1, DP-V2 (MC)
– communication speed: 9.6 kbaud...12 Mbaud 
– max. process image: 244 bytes In/244 bytes Out 
– 2 kbyte internal DPRAM memory for process image
– interface to the CX through 16 bit ISA bus with 2 kbyte DPRAM
– bus nodes per channel: max. 125 slaves
– labelling system: snap-in white-coloured labels 5 x 15 mm
– protection class IP 20
– operating/storage temperature 0 °C ... +55 °C/-25 °C ... +85 °C
– weight approx. 190 g
– dimensions (W x H x D) 38 x 100 x 91 mm</t>
  </si>
  <si>
    <t>CX1500-B510</t>
  </si>
  <si>
    <t>CANopen-Slave-Interfacemodul
ISA-Adresse: E6000
– Anzahl der Feldbuskanäle: 1 
– Open-Style-Connector, 5-polig
– Schnittstelle galvanisch getrennt
– Baudrate: 10, 20, 50, 100, 125, 250, 500, 800, 1000 kBaud
– max. Prozessabbild: 1536 Bytes für die Summe der Ein-/Ausgänge  (max. 192 PDOs)
– Schnittstelle zum CX-CPU-Modul durch 16-Bit-ISA-Bus und 2 kBytes DPRAM
– Anzahl der Busteilnehmer: max. 127 Slaves
– Hardwarediagnose: 4 LEDs
– Schutzart: IP 20
– Betriebs-/Lagertemperatur: 0 °C … +55 °C/-25 °C … +85 °C
– Gewicht: ca. 190 g
– Abmessungen (B x H x T): 38 x 100 x 91 mm</t>
  </si>
  <si>
    <t>CANopen slave interface module
ISA address: E6000 
– number of fieldbus channels: 1
– open style connector, 5-pin
– electrically isolated interfaces
– transmission rate: 10, 20, 50, 100, 125, 250, 500, 800, 1000 kbaud
– max. process image: 1536 bytes for the sum of inputs + outputs (max 192 PDOs)
– interface to the CX core CPU through 16 bit ISA interface with 2 kbytes DPRAM
– bus nodes per channel: max. 127 slaves
– hardware diagnostics 4 LEDs
– protection class IP 20
– operating/storage temperature 0 °C ... +55 °C/-25 °C ... +85 °C
– weight approx. 190 g
– dimensions (W x H x D) 38 x 100 x 91 mm</t>
  </si>
  <si>
    <t>CX1500-B520</t>
  </si>
  <si>
    <t>DeviceNet-Slave-Interfacemodul
ISA-Adresse: E8000
– Anzahl der Feldbuskanäle: 1 
– Open-Style-Connector, 5-polig
– Baudrate 125, 250, 500 kBaud
– max. Prozessabbild: 255 Bytes In/255 Bytes Out
– Schnittstelle zum CX-CPU-Modul durch 16-Bit-ISA-Bus und 2 kBytes DPRAM
– Anzahl der Busteilnehmer: max. 63 Slaves
– Hardwarediagnose: 2 LEDs
– Schutzart: IP 20
– Betriebs-/Lagertemperatur: 0 °C … +55 °C/-25 °C … +85 °C
– Gewicht: ca. 190 g
– Abmessungen (B x H x T): 38 x 100 x 91 mm</t>
  </si>
  <si>
    <t>DeviceNet slave interface module
ISA address: E8000 
– number of fieldbus channels: 1
– open style connector, 5-pin
– transmission rate 125, 250, 500 kbaud
– max. process image: 255 bytes In/255 bytes Out
– interface to the CX core CPU through 16 bit ISA interface with 2 kbytes DPRAM
– bus nodes per channel: max. 63 slaves
– hardware diagnostics 2 LEDs
– protection class IP 20
– operating/storage temperature 0 °C ... +55 °C/-25 °C ... +85 °C
– weight approx. 190 g
– dimensions (W x H x D) 38 x 100 x 91 mm</t>
  </si>
  <si>
    <t>CX1500-M200</t>
  </si>
  <si>
    <t>Lightbus-Master-Interfacemodul
ISA-Adresse: DA000  
– Anzahl der Feldbuskanäle: 1 
– Anschlusstyp: 2 x Lichtwellenleiter-Stecker 
– Baudrate: 2,5 MBaud 
– Schnittstelle zum CX-CPU-Modul durch 16-Bit-ISA-Bus und 2 kBytes DPRAM für 
   8 Kommunikationskanäle, Daten-, Control- and Statusregister
– Kommunikation: 8 prioritätsgesteuerte logische Kommunikationskanäle 
– Busteilnehmer: max. 255 Busteilnehmer mit max. 65280 I/O-Punkten je Feldbusanschluss 
– Auslösung von 2 PC-Hardware-Interrupts möglich
– Hardwarediagnose: 3 LEDs
– Schutzart:  IP 20
– Betriebs-/Lagertemperatur: 0 °C … +55 °C/-25 °C … +85 °C
– Gewicht: ca. 190 g
– Abmessungen (B x H x T): 38 x 100 x 91 mm</t>
  </si>
  <si>
    <t>Lightbus master interface module
ISA address: DA000
– number of fieldbus channels: 1 
– connector type: 2 x fibre optic connectors 
– communication speed: 2.5 Mbaud 
– interface to the CX core CPU through 16 bit ISA interface with 2 kbytes DPRAM
   for 8 communication channels, data, control and status register
– communication: 8 priority controlled logical communication channels
– bus nodes: max. 255 nodes with a max. of 65280 I/O points per fieldbus connection
– interrupt initiation of 2 PC hardware interrupts is possible
– hardware diagnostics 3 LEDs
– protection class IP 20
– operating/storage temperature 0 °C ... +55 °C/-25 °C ... +85 °C
– weight approx. 190 g
– dimensions (W x H x D) 38 x 100 x 91 mm</t>
  </si>
  <si>
    <t>CX1500-M310</t>
  </si>
  <si>
    <t>PROFIBUS-Master-Interfacemodul
ISA-Adresse: D4000 
– Anzahl der Feldbuskanäle: 1
– Anschlusstyp: D-Sub-Buchse, 9-polig  
– unterstützt PROFIBUS-DP (Standard), PROFIBUS-DP-V1 (Cl. 1 + 2: azyklische Dienste, Alarm), DP-V2 (MC)
– Baudrate: 9,6 kBaud - 12 MBaud
– Schnittstelle zum CX-CPU-Modul durch 16-Bit-ISA-Bus und 2 kBytes DPRAM
– Busteilnehmer pro Kanal: max. 125 Slaves mit bis zu 
   244 Bytes Input-, Output-, Parameter-, Konfigurations-, Diagnosedaten je Slave
– unterschiedliche Zykluszeiten pro Slave einstellbar 
– Hardwarediagnose: 2 LEDs
– Schutzart: IP 20
– Betriebs-/Lagertemperatur: 0 °C … +55 °C/-25 °C … +85 °C
– Gewicht: ca. 190 g
– Abmessungen (B x H x T): 38 x 100 x 91 mm</t>
  </si>
  <si>
    <t>PROFIBUS master interface module
ISA address: D4000
– number of fieldbus channels: 1
– connector type: 9-pin D-sub, female 
– supports PROFIBUS DP (standard), PROFIBUS DP-V1 (Cl. 1+2: acyclic services, alarms), DP-V2 (MC)
– transmission rate 9.6 kbaud...12 Mbaud
– interface to the CX core CPU through 16 bit ISA interface with 2 kbytes DPRAM
– bus nodes per channel: max. 125 slaves with up to 244 bytes input, output, 
   parameter, configuration, diagnostic data per slave
– differing cycle times per slave are possible
– hardware diagnostics 2 LEDs
– protection class IP 20
– operating/storage temperature 0 °C ... +55 °C/-25 °C ... +85 °C
– weight approx. 190 g
– dimensions (W x H x D) 38 x 100 x 91 mm</t>
  </si>
  <si>
    <t>CX1500-M510</t>
  </si>
  <si>
    <t>CANopen-Master-Interfacemodul
ISA-Adresse: D6000 
– Anzahl der Feldbuskanäle: 1 
– Open-Style-Connector, 5-polig
– Baudrate: 10, 20, 50, 100, 125, 250, 500, 800, 1000 kBaud
– Schnittstelle zum CX-CPU-Modul durch 16-Bit-ISA-Bus und 2 kBytes DPRAM
– Anzahl der Busteilnehmer: max. 127 Slaves
– Hardwarediagnose: 2 LEDs
– Schutzart: IP 20
– Betriebs-/Lagertemperatur: 0 °C … +55 °C/-25 °C … +85 °C
– Gewicht: ca. 190 g
– Abmessungen (B x H x T): 38 x 100 x 91 mm</t>
  </si>
  <si>
    <t>CANopen master interface module
ISA address: D6000
– number of fieldbus channels: 1
– open style connector, 5-pin 
– transmission rate 10, 20, 50, 100, 125, 250, 500, 800, 1000 kbaud
– interface to the CX core CPU through 16 bit ISA interface with 2 kbytes DPRAM
– bus nodes per channel: max. 127 slaves
– hardware diagnostics 2 LEDs
– protection class IP 20
– operating/storage temperature 0 °C ... +55 °C/-25 °C ... +85 °C
– weight approx. 190 g
– dimensions (W x H x D) 38 x 100 x 91 mm</t>
  </si>
  <si>
    <t>CX1500-M520</t>
  </si>
  <si>
    <t>DeviceNet-Master-Interfacemodul
ISA-Adresse: D8000
– Anzahl der Feldbuskanäle: 1 
– Open-Style-Connector, 5-polig
– Baudrate: 125, 250, 500 kBaud
– Schnittstelle zum CX-CPU-Modul durch 16-Bit-ISA-Bus und 2 kBytes DPRAM
– Anzahl der Busteilnehmer: max. 63 Slaves
– Hardwarediagnose: 2 LEDs
– Schutzart: IP 20
– Betriebs-/Lagertemperatur: 0 °C … +55 °C/-25 °C … +85 °C
– Gewicht: ca. 190 g
– Abmessungen (B x H x T): 38 x 100 x 91 mm</t>
  </si>
  <si>
    <t>DeviceNet master interface module
ISA address: D8000
– number of fieldbus channels: 1
– open style connector, 5-pin 
– transmission rate 125, 250, 500 kbaud
– interface to the CX core CPU through 16 bit ISA interface with 2 kbytes DPRAM
– bus nodes per channel: max. 63 slaves
– hardware diagnostics 2 LEDs
– protection class IP 20
– operating/storage temperature 0 °C ... +55 °C/-25 °C ... +85 °C
– weight approx. 190 g
– dimensions (W x H x D) 38 x 100 x 91 mm</t>
  </si>
  <si>
    <t>CX1500-M750</t>
  </si>
  <si>
    <t>SERCOS-Master-Interfacemodul
ISA-Adresse: DC000
– Anzahl der Feldbuskanäle:1 
– Busanschlüsse: entsprechend Standard-FSMA-Norm IEC 872-2
– Baudrate: 2, 4, 8, 16 MBaud
– Anzahl der Busteilnehmer pro Kanal: max. 254
– max. Anzahl der Kommunikationsbytes: 508 Bytes In/508 Bytes Out für zyklische Daten je Slave
– Hardwarediagnose: 3 LEDs 
– Schnittstelle zum CX-CPU-Modul durch 16-Bit-ISA-Bus und 2 kBytes DPRAM
– Schutzart: IP 20
– Betriebs-/Lagertemperatur: 0 °C … +55 °C/-25 °C … +85 °C
– Gewicht: ca. 190 g
– Abmessungen (B x H x T): 38 x 100 x 91 mm</t>
  </si>
  <si>
    <t>SERCOS master interface module
ISA address: DC000
– number of fieldbus channels: 1
– bus connectors: following standard F-SMA-Norm IEC 872-2
– transmission rate 2, 4, 8, 16 Mbaud
– bus nodes per channel: max. 254
– maximum number of communication bytes: 508 bytes In/508 bytes Out for cyclic data per slave
– hardware diagnostics: 3 LEDs
– interface to the CX core CPU through 16 bit ISA interface with 2 kbytes DPRAM
– protection class IP 20
– operating/storage temperature 0 °C ... +55 °C/-25 °C ... +85 °C
– weight approx. 190 g
– dimensions (W x H x D) 38 x 100 x 91 mm</t>
  </si>
  <si>
    <t>CX1800-0299</t>
  </si>
  <si>
    <t>Pauschale für die kundenspezifische Anpassung eines Windows-Embedded-Standard- oder 
Windows-CE-Betriebssystems
– Die Pauschale wird nach Aufwand und pro Tag berechnet.
– Es erfolgt eine Mindestberechnung in Höhe eines Tages.</t>
  </si>
  <si>
    <t>Development cost for generation of a customer specific Windows Embedded Standard image or Windows CE image
– The rate is applied on a daily base.
– Minimum charge is one day.</t>
  </si>
  <si>
    <t>CX1800-0300</t>
  </si>
  <si>
    <t>Service-Pauschale Imageupdate
– Update zu einer spezifizierten Standard-Imageversion
– Angabe der Geräte-Seriennummer bei Bestellung zwingend erforderlich
– Bei Betriebssystemwechsel von Windows CE auf Windows XPE fallen zusätzliche Differenzkosten an.</t>
  </si>
  <si>
    <t>Service flat rate image update
– update to a specified standard image version
– When ordering the device, the serial number is necessary.
– additional differential costs when changing the operating system from Windows CE to Windows XPE</t>
  </si>
  <si>
    <t>CX1800-0401</t>
  </si>
  <si>
    <t>Microsoft Windows Embedded Standard 7 P 32 Bit statt Microsoft Windows Embedded Standard 2009</t>
  </si>
  <si>
    <t>Microsoft Windows Embedded Standard 7 P 32 bit instead of Microsoft Windows Embedded Standard 2009</t>
  </si>
  <si>
    <t>CX1800-1052</t>
  </si>
  <si>
    <t>BACnet/IP-Image für Embedded-PC CX9020, CX5010 und CX5020
Erfordert:
– TX1200 TwinCAT 2.11 R3 PLC Level
Enthält:
– TS8020 TwinCAT BACnet/IP Supplement Revison 12</t>
  </si>
  <si>
    <t>BACnet/IP Image for Embedded PC CX9020, CX5010 and CX5020
Requires:
– TX1200 TwinCAT 2.11 R3 PLC Level
Contains:
– TS8020 TwinCAT BACnet/IP Supplement Revison 12</t>
  </si>
  <si>
    <t>CX1900-0010</t>
  </si>
  <si>
    <t>Formatierung einer Compact-Flash-Karte (bootfähig), FAT16</t>
  </si>
  <si>
    <t>Formatting a Compact Flash card (bootable), FAT16</t>
  </si>
  <si>
    <t>CX1900-0012</t>
  </si>
  <si>
    <t>Formatierung einer Compact-Flash-Karte (bootfähig), NTFS</t>
  </si>
  <si>
    <t>Formatting a Compact Flash card (bootable), NTFS</t>
  </si>
  <si>
    <t>CX1900-0022</t>
  </si>
  <si>
    <t>128-MB-Compact-Flash-Karte, erweiterter Temperaturbereich</t>
  </si>
  <si>
    <t>128 MB Compact Flash card, extended temperature specification</t>
  </si>
  <si>
    <t>CX1900-0023</t>
  </si>
  <si>
    <t>1-GB-Compact-Flash-Karte, erweiterter Temperaturbereich, statt 128-MB-Compact-Flash-Karte</t>
  </si>
  <si>
    <t>1 GB Compact Flash card, extended temperature specification, instead of 128 MB Compact Flash</t>
  </si>
  <si>
    <t>CX1900-0024</t>
  </si>
  <si>
    <t>1-GB-Compact-Flash-Karte, erweiterter Temperaturbereich</t>
  </si>
  <si>
    <t>1 GB Compact Flash card, extended temperature specification</t>
  </si>
  <si>
    <t>CX1900-0025</t>
  </si>
  <si>
    <t>2-GB-Compact-Flash-Karte, erweiterter Temperaturbereich, statt 128-MB-Compact-Flash-Karte</t>
  </si>
  <si>
    <t>2 GB Compact Flash card, extended temperature specification, instead of 128 MB Compact Flash</t>
  </si>
  <si>
    <t>CX1900-0026</t>
  </si>
  <si>
    <t>2-GB-Compact-Flash-Karte, erweiterter Temperaturbereich</t>
  </si>
  <si>
    <t>2 GB Compact Flash card, extended temperature specification</t>
  </si>
  <si>
    <t>CX1900-0027</t>
  </si>
  <si>
    <t>4-GB-Compact-Flash-Karte, erweiterter Temperaturbereich, statt 128-MB-Compact-Flash-Karte</t>
  </si>
  <si>
    <t>4 GB Compact Flash card, extended temperature specification, instead of 128 MB Compact Flash</t>
  </si>
  <si>
    <t>CX1900-0028</t>
  </si>
  <si>
    <t>4-GB-Compact-Flash-Karte, erweiterter Temperaturbereich</t>
  </si>
  <si>
    <t>4 GB Compact Flash card, extended temperature specification</t>
  </si>
  <si>
    <t>CX1900-0029</t>
  </si>
  <si>
    <t>8-GB-Compact-Flash-Karte, erweiterter Temperaturbereich, statt 128-MB-Compact-Flash-Karte</t>
  </si>
  <si>
    <t>8 GB Compact Flash card, extended temperature specification, instead of 128 MB Compact Flash</t>
  </si>
  <si>
    <t>CX1900-0030</t>
  </si>
  <si>
    <t>8-GB-Compact-Flash-Karte, erweiterter Temperaturbereich</t>
  </si>
  <si>
    <t>8 GB Compact Flash card, extended temperature specification</t>
  </si>
  <si>
    <t>CX1900-0031</t>
  </si>
  <si>
    <t>16-GB-Compact-Flash-Karte, erweiterter Temperaturbereich, statt 128-MB-Compact-Flash-Karte</t>
  </si>
  <si>
    <t>16 GB Compact Flash card, extended temperature specification, instead of 128 MB Compact Flash</t>
  </si>
  <si>
    <t>CX1900-0032</t>
  </si>
  <si>
    <t>16-GB-Compact-Flash-Karte, erweiterter Temperaturbereich</t>
  </si>
  <si>
    <t>16 GB Compact Flash card, extended temperature specification</t>
  </si>
  <si>
    <t>CX1900-0101</t>
  </si>
  <si>
    <t>DVI-zu-VGA passiver Adapter für den Anschluss von Standard-VGA-Monitoren an das CX-System
– führt die VGA-Signale der DVI-I-Schnittstelle des CX-Moduls aus
– DVI-A-Stecker, 29-polig (unten), Buchse, 15-polig (oben) 
– Gewicht: ca. 40 g
– Abmessungen (B x H x T): 40 x 42 x 15 mm</t>
  </si>
  <si>
    <t>DVI-to-VGA passive adaptor for connecting a standard desktop VGA monitor to the CX system
– singles out the VGA signals of the DVI-I interface of the CX modules
– 29-pin male DVI-A connector (bottom) to 15-pin female connector (top) 
– weight approx. 40 g
– dimensions (W x H x D) 40 x 42 x 15 mm</t>
  </si>
  <si>
    <t>CX1900-0102</t>
  </si>
  <si>
    <t>Ersatzbatterie, passend für CX10x0, CX50x0, CX51x0, CX90x0, CX20x0
– Lithium-Knopfzelle Typ CR2032, 3 V/225 mAh
– Polarität bei Montage beachten</t>
  </si>
  <si>
    <t>Spare battery suitable for CX10x0, CX50x0, CX51x0, CX90x0, CX20x0
– lithium button cell type CR2032, 3V/225 mAh
– follow polarity when installing</t>
  </si>
  <si>
    <t>CX1900-0103</t>
  </si>
  <si>
    <t>Ersatzlüfterkassette für CX1030 
– Kassette bestehend aus Gehäuse und Lüfter 40 mm
– einfacher Austausch im Feld durch kabellose Montage
– Gewicht: ca. 30 g
– Abmessungen (B x H x T): 57 x 14 x 60 mm</t>
  </si>
  <si>
    <t>Spare fan cartridge for CX1030
– cartridge consisting of chassis and 40 mm fan
– simple exchange in the field due to wireless installation
– weight approx. 30 g
– dimensions (W x H x D) 57 x 14 x 60 mm</t>
  </si>
  <si>
    <t>CX1900-0105</t>
  </si>
  <si>
    <t>Gerätemodifikation für die Erfüllung der ATEX-Zertifizierung II 3 G Ex nA II T4 für CX5010 und CX5020:
Beinhaltet die Modifikation und Relokation des Geräteaufklebers sowie ein ab Werk montierter Haltebügel.
Diese Gerätemodifikation ist zwingend vorgeschrieben für den Einsatz der CX5010- oder CX5020-CPUs in den vom Zertifikat abgedeckten, explosionsgefährdeten Bereichen der ATEX-Zone 2.
Bitte die Gerätedokumentation beachten.</t>
  </si>
  <si>
    <t>Device modification for fulfillment of ATEX Certification II 3 G Ex nA II T4 for CX5010 and CX5020:
This option includes the modification and repositioning of the device label as well as a pre-mounted wire bow.
The modification is a mandatory prerequisite for usage of CX5010 or CX5020 in hazardous areas as covered by the before mentioned certificate for ATEX Zone 2.
Please also read the device documentation carefully.</t>
  </si>
  <si>
    <t>CX1900-0120</t>
  </si>
  <si>
    <t>„Aktive Kühlung“: werkseitiger Umbau des CX1020-CPU-Moduls für aktive Kühlung, um flexiblere Einbaulagen zu
ermöglichen (siehe Dokumentation). Die aktive Kühlung erfolgt mit einer Lüfterkassette. Diese Option erfordert
den Einsatz eines Netzteils vom Typ CX1100-001x.</t>
  </si>
  <si>
    <t>“Active cooling”: factory conversion of the CX1020 CPU module for active cooling in order to enable flexible
installation positions (see documentation). Active cooling takes place via a fan cartridge. This option requires the use of a power supply unit type CX1100-001x.</t>
  </si>
  <si>
    <t>CX1900-0122</t>
  </si>
  <si>
    <t>512-MB-MicroSD-Karte</t>
  </si>
  <si>
    <t>512 MB microSD card</t>
  </si>
  <si>
    <t>CX1900-0123</t>
  </si>
  <si>
    <t>1-GB-MicroSD-Karte, statt 512-MB-MicroSD-Karte</t>
  </si>
  <si>
    <t>1 GB microSD card, instead of 512 MB microSD card</t>
  </si>
  <si>
    <t>CX1900-0124</t>
  </si>
  <si>
    <t>1-GB-MicroSD-Karte</t>
  </si>
  <si>
    <t>1 GB microSD card</t>
  </si>
  <si>
    <t>CX1900-0125</t>
  </si>
  <si>
    <t>2-GB-MicroSD-Karte, statt 512-MB-MicroSD-Karte</t>
  </si>
  <si>
    <t>2 GB microSD card, instead of 512 MB microSD card</t>
  </si>
  <si>
    <t>CX1900-0126</t>
  </si>
  <si>
    <t>2-GB-MicroSD-Karte</t>
  </si>
  <si>
    <t>2 GB microSD card</t>
  </si>
  <si>
    <t>CX1900-0127</t>
  </si>
  <si>
    <t>4-GB-MicroSD-Karte, statt 512-MB-MicroSD-Karte</t>
  </si>
  <si>
    <t>4 GB microSD card, instead of 512 MB microSD card</t>
  </si>
  <si>
    <t>CX1900-0128</t>
  </si>
  <si>
    <t>4-GB-MicroSD-Karte</t>
  </si>
  <si>
    <t>4 GB microSD card</t>
  </si>
  <si>
    <t>CX1900-0129</t>
  </si>
  <si>
    <t>8-GB-MicroSD-Karte, statt 512-MB-MicroSD-Karte</t>
  </si>
  <si>
    <t>8 GB microSD card, instead of 512 MB microSD card</t>
  </si>
  <si>
    <t>CX1900-0130</t>
  </si>
  <si>
    <t>8-GB-MicroSD-Karte</t>
  </si>
  <si>
    <t>8 GB microSD card</t>
  </si>
  <si>
    <t>CX1900-0200</t>
  </si>
  <si>
    <t>Universal-Plastiketiketten für das CX-System, 1000 Stück
– passen in die dafür vorgesehenen Aussparungen der CX-Komponentengehäuse
– Beschriftung kann mit einem XY-Plotter erfolgen. 
– Format des einzelnen Beschriftungsfeldes: 15 x 5 mm 
– Material: Plastik (weiß)
– Originalherstellerbezeichnung: Murrplastik, Typ KMR 5/15, Bestellnummer 86401014</t>
  </si>
  <si>
    <t>Universal plastic labels for the CX system (package contains 1000 labels)
– snaps into the premoulded spots on the CX components
– labelling can be done with a X-Y plotter 
– dimension of the single label 15 x 5 mm 
– material: white coloured plastic
– Murrplastik type KMR 5/15, order number 86401014</t>
  </si>
  <si>
    <t>CX1900-0201</t>
  </si>
  <si>
    <t>512 MB DDR-RAM für CX1020 oder CX1030, statt 256 MB DDR-RAM</t>
  </si>
  <si>
    <t>512 MB DDR RAM for CX1020 or CX1030, instead of 256 MB DDR RAM</t>
  </si>
  <si>
    <t>CX1900-0202</t>
  </si>
  <si>
    <t>1 GB DDR-RAM für CX1020 oder CX1030, statt 256 MB DDR-RAM</t>
  </si>
  <si>
    <t>1 GB DDR RAM for CX1020 or CX1030, instead of 256 MB DDR RAM</t>
  </si>
  <si>
    <t>CX1900-0204</t>
  </si>
  <si>
    <t>Speichererweiterung 1 GB DDR2-RAM für CX5020, statt 512MB DDR2-RAM; ab Werk vormontiert</t>
  </si>
  <si>
    <t>1 GB DDR2 RAM for CX5020, instead of 512 MB DDR2 RAM; pre-assembled ex factory</t>
  </si>
  <si>
    <t>CX1900-0320</t>
  </si>
  <si>
    <t>Intel® Celeron® M 1,0 GHz, 0 kB L2-Cache (Zero Second Level Cache) anstelle von Intel® 1,0 GHz, 512 kB L2-Cache</t>
  </si>
  <si>
    <t>Intel® Celeron® M 1.0 GHz 0 kB L2 cache (zero second level cache) instead of Intel® 1.0 GHz, 512 kB L2 cache</t>
  </si>
  <si>
    <t>CX2020</t>
  </si>
  <si>
    <t>Modularer Hutschienen-Industrie-PC
– Prozessor Intel® Celeron® 827E 1,4 GHz, 1 Core (TC3: 50)
– Flash-Speicher: 4-GB- oder 8-GB-CFast-Flash-Karte (je nach Betriebssystem), optional erweiterbar
– interner Arbeitsspeicher: 2 GB DDR3-RAM (optional 4 GB)
– persistenter Speicher: 128 kB NOVRAM integriert
– 2 x RJ45-Ethernet-Anschluss 10/100/1000 MBit
– 4 x USB-2.0-Schnittstelle
– 1 x DVI-I-Schnittstelle
– interne, batteriegepufferte Uhr für Zeit und Datum (Batterie wechselbar)
– Diagnose-LED: 1 x Power, 1 x TC-Status, 1 x Flash-Zugriff, 2 x Bus-Status
– max. 15 W Verlustleistung (einschließlich der Systemschnittstellen)
– Schutzart: IP 20
– Betriebs-/Lagertemperatur: -25 °C … +60 °C/-40 °C … +85 °C
– Gewicht: ca. 1160 g
– Abmessungen (B x H x T): 144 mm x 99 mm x 91 mm</t>
  </si>
  <si>
    <t>Modular DIN rail Industrial PC
– processor Intel® Celeron® 827E 1.4 GHz, 1 core (TC3: 50)
– flash memory: 4 GB or 8 GB CFast flash card (depending on the operating system), optionally extendable
– internal main memory: 2 GB DDR3 RAM (optionally 4 GB)
– persistent memory: 128 KB NOVRAM integrated
– 2 x RJ45 Ethernet connector 10/100/1000 Mbit
– 4 x USB 2.0 interfaces
– 1 x DVI-I interface
– internal battery-backed clock for time and date (battery exchangeable)
– diagnostics LED: 1 x power, 1 x TC status, 1 x flash access, 2 x bus status
– max. power consumption: 15 W (including the system interfaces)
– protection class IP 20
– operating/storage temperature -25 °C ... +60 °C/-40 °C ... +85 °C
– weight approx. 1160 g
– dimensions (W x H x D) 144 mm x 99 mm x 91 mm</t>
  </si>
  <si>
    <t>CX2020-0100</t>
  </si>
  <si>
    <t>CPU-Modul CX2020, kein Betriebssystem, kein TwinCAT</t>
  </si>
  <si>
    <t>Basic CPU module CX2020, no operating system, no TwinCAT</t>
  </si>
  <si>
    <t>CX2020-0110</t>
  </si>
  <si>
    <t>CPU-Modul CX2020, Microsoft Windows Embedded Compact 7, kein TwinCAT</t>
  </si>
  <si>
    <t>Basic CPU module CX2020, Microsoft Windows Embedded Compact 7, no TwinCAT</t>
  </si>
  <si>
    <t>CX2020-0111</t>
  </si>
  <si>
    <t>CPU-Modul CX2020, Microsoft Windows Embedded Compact 7, TwinCAT-2-PLC-Runtime</t>
  </si>
  <si>
    <t>Basic CPU module CX2020, Microsoft Windows Embedded Compact 7, TwinCAT 2 PLC run-time</t>
  </si>
  <si>
    <t>CX2020-0112</t>
  </si>
  <si>
    <t>CPU-Modul CX2020, Microsoft Windows Embedded Compact 7, TwinCAT-2-PLC-Runtime, TwinCAT-2-NC-Runtime</t>
  </si>
  <si>
    <t>Basic CPU module CX2020, Microsoft Windows Embedded Compact 7, TwinCAT 2 PLC run-time, TwinCAT 2 NC run-time</t>
  </si>
  <si>
    <t>CX2020-0113</t>
  </si>
  <si>
    <t>CPU-Modul CX2020, Microsoft Windows Embedded Compact 7, TwinCAT-2-PLC-Runtime, TwinCAT-2-NC-Runtime, TwinCAT-2-NC-I-Runtime</t>
  </si>
  <si>
    <t>Basic CPU module CX2020, Microsoft Windows Embedded Compact 7, TwinCAT 2 PLC run-time, TwinCAT 2 NC run-time, TwinCAT 2 NC I run-time</t>
  </si>
  <si>
    <t>CX2020-0115</t>
  </si>
  <si>
    <t>CPU-Modul CX2020, Microsoft Windows Embedded Compact 7, TwinCAT-3-Runtime (XAR)</t>
  </si>
  <si>
    <t>Basic CPU module CX2020, Microsoft Windows Embedded Compact 7, TwinCAT 3 runtime (XAR)</t>
  </si>
  <si>
    <t>CX2020-0120</t>
  </si>
  <si>
    <t>CPU-Modul CX2020, Microsoft Windows Embedded Standard 7 P 32 Bit, kein TwinCAT</t>
  </si>
  <si>
    <t>Basic CPU module CX2020, Microsoft Windows Embedded Standard 7 P 32 bit, no TwinCAT</t>
  </si>
  <si>
    <t>CX2020-0121</t>
  </si>
  <si>
    <t>CPU-Modul CX2020, Microsoft Windows Embedded Standard 7 P 32 Bit, TwinCAT-2-PLC-Runtime</t>
  </si>
  <si>
    <t>Basic CPU module CX2020, Microsoft Windows Embedded Standard 7 P 32 bit, TwinCAT 2 PLC run-time</t>
  </si>
  <si>
    <t>CX2020-0122</t>
  </si>
  <si>
    <t>CPU-Modul CX2020, Microsoft Windows Embedded Standard 7 P 32 Bit, TwinCAT-2-PLC-Runtime, TwinCAT-2-NC-Runtime</t>
  </si>
  <si>
    <t>Basic CPU module CX2020, Microsoft Windows Embedded Standard 7 P 32 bit, TwinCAT 2 PLC run-time, TwinCAT 2 NC run-time</t>
  </si>
  <si>
    <t>CX2020-0123</t>
  </si>
  <si>
    <t>CPU-Modul CX2020, Microsoft Windows Embedded Standard 7 P 32 Bit, TwinCAT-2-PLC-Runtime, TwinCAT-2-NC-Runtime,TwinCAT-2-NC-I-Runtime</t>
  </si>
  <si>
    <t>Basic CPU module CX2020, Microsoft Windows Embedded Standard 7 P 32 bit, TwinCAT 2 PLC run-time, TwinCAT 2 NC run-time, TwinCAT 2 NC I run-time</t>
  </si>
  <si>
    <t>CX2020-0125</t>
  </si>
  <si>
    <t>CPU-Modul CX2020, Microsoft Windows Embedded Standard 7 P 32 Bit, TwinCAT-3-Runtime (XAR)</t>
  </si>
  <si>
    <t>Basic CPU module CX2020, Microsoft Windows Embedded Standard 7 P 32 bit, TwinCAT 3 runtime (XAR)</t>
  </si>
  <si>
    <t>CX2020-0130</t>
  </si>
  <si>
    <t>CPU-Modul CX2020, Microsoft Windows Embedded Standard 7 P, 64 Bit, kein TwinCAT</t>
  </si>
  <si>
    <t>Basic CPU module CX2020, Microsoft Windows Embedded Standard 7 P 64 bit, no TwinCAT</t>
  </si>
  <si>
    <t>CX2020-0135</t>
  </si>
  <si>
    <t>CPU-Modul CX2020, Microsoft Windows Embedded Standard 7 P, 64 Bit, TwinCAT-3-Runtime (XAR)</t>
  </si>
  <si>
    <t xml:space="preserve">Basic CPU module CX2020, Microsoft Windows Embedded Standard 7 P 64 bit, TwinCAT 3 runtime (XAR)
</t>
  </si>
  <si>
    <t>CX2020-B110</t>
  </si>
  <si>
    <t>EtherCAT-Slave-Schnittstelle, EtherCAT IN und OUT (2 x RJ45)</t>
  </si>
  <si>
    <t>EtherCAT slave interface, EtherCAT IN and OUT (2 x RJ45)</t>
  </si>
  <si>
    <t>CX2020-B310</t>
  </si>
  <si>
    <t>PROFIBUS-Slave-Schnittstelle, D-Sub-Buchse, 9-polig</t>
  </si>
  <si>
    <t>PROFIBUS slave interface, D-sub socket, 9-pin</t>
  </si>
  <si>
    <t>CX2020-B510</t>
  </si>
  <si>
    <t>CANopen-Slave-Schnittstelle, D-Sub-Stecker, 9-polig</t>
  </si>
  <si>
    <t>CANopen slave interface, D-sub plug, 9-pin</t>
  </si>
  <si>
    <t>CX2020-B930</t>
  </si>
  <si>
    <t>PROFINET-RT-Device-Schnittstelle, Ethernet (2 x RJ45-Switch)</t>
  </si>
  <si>
    <t>PROFINET RT, device interface, Ethernet (2 x RJ45 switched)</t>
  </si>
  <si>
    <t>CX2020-B950</t>
  </si>
  <si>
    <t>EtherNet/IP-Slave-Schnittstelle, Ethernet (2 x RJ45-Switch)</t>
  </si>
  <si>
    <t>EtherNet/IP slave interface, Ethernet (2 x RJ45 switched)</t>
  </si>
  <si>
    <t>CX2020-M310</t>
  </si>
  <si>
    <t>PROFIBUS-Master-Schnittstelle, D-Sub-Buchse, 9-polig</t>
  </si>
  <si>
    <t>PROFIBUS master interface, D-sub socket, 9-pin</t>
  </si>
  <si>
    <t>CX2020-M510</t>
  </si>
  <si>
    <t>CANopen-Master-Schnittstelle, D-Sub-Stecker, 9-polig</t>
  </si>
  <si>
    <t>CANopen master interface, D-sub plug, 9-pin</t>
  </si>
  <si>
    <t>CX2020-M930</t>
  </si>
  <si>
    <t>PROFINET-RT-Controller-Schnittstelle, Ethernet (2 x RJ45)</t>
  </si>
  <si>
    <t>PROFINET RT, controller interface, Ethernet (2 x RJ45)</t>
  </si>
  <si>
    <t>CX2020-N010</t>
  </si>
  <si>
    <t>DVI-D-Schnittstelle, zusätzlicher DVI-D-Port für Clone und Extended Display Mode</t>
  </si>
  <si>
    <t>DVI-D interface, additional DVI-D port for clone or extended desktop operation</t>
  </si>
  <si>
    <t>CX2020-N030</t>
  </si>
  <si>
    <t>RS232-Schnittstelle, D-Sub-Stecker, 9-polig</t>
  </si>
  <si>
    <t>RS232 interface, D-sub plug, 9-pin</t>
  </si>
  <si>
    <t>CX2020-N031</t>
  </si>
  <si>
    <t>RS485-Schnittstelle, D-Sub-Buchse, 9-polig, Konfiguration als Endpunkt, ohne Echo, Terminierung on</t>
  </si>
  <si>
    <t>RS485 interface, D-sub socket, 9-pin, configuration as an end point, without echo, termination on</t>
  </si>
  <si>
    <t>CX2020-N031-0001</t>
  </si>
  <si>
    <t>RS485-Schnittstelle, D-Sub-Buchse, 9-polig, Konfiguration als Endpunkt, mit Echo, Terminierung on</t>
  </si>
  <si>
    <t>RS485 interface, D-sub socket, 9-pin, configuration as an end point, with echo, termination on</t>
  </si>
  <si>
    <t>CX2020-N031-0002</t>
  </si>
  <si>
    <t>RS485-Schnittstelle, D-Sub-Buchse, 9-polig, Konfiguration als Drop-Point, ohne Echo, Terminierung off</t>
  </si>
  <si>
    <t>RS485 interface, D-sub socket, 9-pin, configuration as drop point, without echo, termination off</t>
  </si>
  <si>
    <t>CX2020-N031-0003</t>
  </si>
  <si>
    <t>RS485-Schnittstelle, D-Sub-Buchse, 9-polig, Konfiguration als Drop-Point, mit Echo, Terminierung off</t>
  </si>
  <si>
    <t>RS485 interface, D-sub socket, 9-pin, configuration as drop point, with echo, termination off</t>
  </si>
  <si>
    <t>CX2020-N031-0004</t>
  </si>
  <si>
    <t>RS422-Schnittstelle, D-Sub-Buchse, 9-polig, Konfiguration als Vollduplex-Endpunkt, Terminierung on</t>
  </si>
  <si>
    <t>RS422 interface, D-sub socket, 9-pin, configuration as full duplex end point, termination on</t>
  </si>
  <si>
    <t>CX2030</t>
  </si>
  <si>
    <t>Modularer Hutschienen-Industrie-PC
– Prozessor Intel® Core™ i7 2610UE 1,5 GHz, 2 Cores (TC3: 60)
– Flash-Speicher: 4-GB- oder 8-GB-CFast-Flash-Karte (je nach Betriebssystem), optional erweiterbar
– interner Arbeitsspeicher: 2 GB DDR3-RAM (optional 4 GB)
– persistenter Speicher: 128 kB NOVRAM integriert
– 2 x RJ45-Ethernet-Anschluss 10/100/1000 MBit
– 4 x USB-2.0-Schnittstelle
– 1 x DVI-I-Schnittstelle
– interne, batteriegepufferte Uhr für Zeit und Datum (Batterie wechselbar)
– Diagnose-LED: 1 x Power, 1 x TC-Status, 1 x Flash-Zugriff, 2 x Bus-Status
– max. 20 W Verlustleistung (einschließlich der Systemschnittstellen)
– Schutzart: IP 20
– Betriebs-/Lagertemperatur: -25 °C … +60 °C/-40 °C … +85 °C
– Gewicht: ca. 1165 g
– Abmessungen (B x H x T): 144 mm x 99 mm x 91 mm</t>
  </si>
  <si>
    <t>Modular DIN rail Industrial PC
– processor Intel® Core™ i7 2610UE 1.5 GHz, 2 cores (TC3: 60)
– flash memory: 4 GB or 8 GB CFast flash card (depending on the operating system), optionally extendable
– internal main memory: 2 GB DDR3 RAM (optionally 4 GB)
– persistent memory: 128 KB NOVRAM integrated
– 2 x RJ45 Ethernet connector 10/100/1000 Mbit
– 4 x USB 2.0 interfaces
– 1 x DVI-I interface
– internal battery-backed clock for time and date (battery exchangeable)
– diagnostics LED: 1 x power, 1 x TC status, 1 x flash access, 2 x bus status
– max. power consumption: 20 W (including the system interfaces)
– protection class IP 20
– operating/storage temperature -25 °C ... +60 °C/-40 °C ... +85 °C
– weight approx. 960 g
– dimensions (W x H x D) 144 mm x 99 mm x 91 mm</t>
  </si>
  <si>
    <t>CX2030-0100</t>
  </si>
  <si>
    <t>CPU-Modul CX2030, kein Betriebssystem, kein TwinCAT</t>
  </si>
  <si>
    <t>Basic CPU module CX2030, no operating system, no TwinCAT</t>
  </si>
  <si>
    <t>CX2030-0110</t>
  </si>
  <si>
    <t>CPU-Modul CX2030, Microsoft Windows Embedded Compact 7, kein TwinCAT</t>
  </si>
  <si>
    <t>Basic CPU module CX2030, Microsoft Windows Embedded Compact 7, no TwinCAT</t>
  </si>
  <si>
    <t>CX2030-0111</t>
  </si>
  <si>
    <t>CPU-Modul CX2030, Microsoft Windows Embedded Compact 7, TwinCAT-2-PLC-Runtime</t>
  </si>
  <si>
    <t>Basic CPU module CX2030, Microsoft Windows Embedded Compact 7, TwinCAT 2 PLC run-time</t>
  </si>
  <si>
    <t>CX2030-0112</t>
  </si>
  <si>
    <t>CPU-Modul CX2030, Microsoft Windows Embedded Compact 7, TwinCAT-2-PLC-Runtime, TwinCAT-2-NC-Runtime</t>
  </si>
  <si>
    <t>Basic CPU module CX2030, Microsoft Windows Embedded Compact 7, TwinCAT 2 PLC run-time, TwinCAT 2 NC run-time</t>
  </si>
  <si>
    <t>CX2030-0113</t>
  </si>
  <si>
    <t>CPU-Modul CX2030, Microsoft Windows Embedded Compact 7, TwinCAT-2-PLC-Runtime, TwinCAT-2-NC-Runtime, TwinCAT-2-NC-I-Runtime</t>
  </si>
  <si>
    <t>Basic CPU module CX2030, Microsoft Windows Embedded Compact 7, TwinCAT 2 PLC run-time, TwinCAT 2 NC run-time, TwinCAT 2 NC I run-time</t>
  </si>
  <si>
    <t>CX2030-0115</t>
  </si>
  <si>
    <t>CPU-Modul CX2030, Microsoft Windows Embedded Compact 7, TwinCAT-3-Runtime (XAR)</t>
  </si>
  <si>
    <t>Basic CPU module CX2030, Microsoft Windows Embedded Compact 7, TwinCAT 3 runtime (XAR)</t>
  </si>
  <si>
    <t>CX2030-0120</t>
  </si>
  <si>
    <t>CPU-Modul CX2030, Microsoft Windows Embedded Standard 7 P 32 Bit, kein TwinCAT</t>
  </si>
  <si>
    <t>Basic CPU module CX2030, Microsoft Windows Embedded Standard 7 P 32 bit, no TwinCAT</t>
  </si>
  <si>
    <t>CX2030-0121</t>
  </si>
  <si>
    <t>CPU-Modul CX2030, Microsoft Windows Embedded Standard 7 P 32 Bit, TwinCAT-2-PLC-Runtime</t>
  </si>
  <si>
    <t>Basic CPU module CX2030, Microsoft Windows Embedded Standard 7 P 32 bit, TwinCAT 2 PLC run-time</t>
  </si>
  <si>
    <t>CX2030-0122</t>
  </si>
  <si>
    <t>CPU-Modul CX2030, Microsoft Windows Embedded Standard 7 P 32 Bit, TwinCAT-2-PLC-Runtime, TwinCAT-2-NC-Runtime</t>
  </si>
  <si>
    <t>Basic CPU module CX2030, Microsoft Windows Embedded Standard 7 P 32 bit, TwinCAT 2 PLC run-time, TwinCAT 2 NC run-time</t>
  </si>
  <si>
    <t>CX2030-0123</t>
  </si>
  <si>
    <t>CPU-Modul CX2030, Microsoft Windows Embedded Standard 7 P 32 Bit, TwinCAT-2-PLC-Runtime, TwinCAT-2-NC-Runtime, TwinCAT-2-NC-I-Runtime</t>
  </si>
  <si>
    <t>Basic CPU module CX2030, Microsoft Windows Embedded Standard 7 P 32 bit, TwinCAT 2 PLC run-time, TwinCAT 2 NC run-time, TwinCAT 2 NC I run-time</t>
  </si>
  <si>
    <t>CX2030-0125</t>
  </si>
  <si>
    <t>CPU-Modul CX2030, Microsoft Windows Embedded Standard 7 P 32 Bit, TwinCAT-3-Runtime (XAR)</t>
  </si>
  <si>
    <t>Basic CPU module CX2030, Microsoft Windows Embedded Standard 7 P 32 bit, TwinCAT 3 runtime (XAR)</t>
  </si>
  <si>
    <t>CX2030-0130</t>
  </si>
  <si>
    <t>CPU-Modul CX2030, Microsoft Windows Embedded Standard 7 P 64 Bit, kein TwinCAT</t>
  </si>
  <si>
    <t>Basic CPU module CX2030, Microsoft Windows Embedded Standard 7 P 64 bit, no TwinCAT</t>
  </si>
  <si>
    <t>CX2030-0135</t>
  </si>
  <si>
    <t>CPU-Modul CX2030, Microsoft Windows Embedded Standard 7 P 64 Bit, TwinCAT-3-Runtime (XAR)</t>
  </si>
  <si>
    <t>Basic CPU module CX2030, Microsoft Windows Embedded Standard 7 P 64 bit, TwinCAT 3 runtime (XAR)</t>
  </si>
  <si>
    <t>CX2030-B110</t>
  </si>
  <si>
    <t>CX2030-B310</t>
  </si>
  <si>
    <t>CX2030-B510</t>
  </si>
  <si>
    <t>CX2030-B930</t>
  </si>
  <si>
    <t>CX2030-B950</t>
  </si>
  <si>
    <t>CX2030-M310</t>
  </si>
  <si>
    <t>CX2030-M510</t>
  </si>
  <si>
    <t>CX2030-M930</t>
  </si>
  <si>
    <t>CX2030-N010</t>
  </si>
  <si>
    <t>CX2030-N030</t>
  </si>
  <si>
    <t>CX2030-N031</t>
  </si>
  <si>
    <t>CX2030-N031-0001</t>
  </si>
  <si>
    <t>CX2030-N031-0002</t>
  </si>
  <si>
    <t>CX2030-N031-0003</t>
  </si>
  <si>
    <t>CX2030-N031-0004</t>
  </si>
  <si>
    <t>CX2040</t>
  </si>
  <si>
    <t>Modularer Hutschienen-Industrie-PC
– Prozessor Intel® Core™ i7 2715QE 2,1 GHz, 4 Cores (TC3: 70)
– Flash-Speicher: 4-GB- oder 8-GB-CFast-Flash-Karte (je nach Betriebssystem), optional erweiterbar
– interner Arbeitsspeicher: 4 GB DDR3-RAM
– persistenter Speicher: 128 kB NOVRAM integriert
– 2 x RJ45-Ethernet-Anschluss 10/100/1000 MBit
– 4 x USB-2.0-Schnittstelle
– 1 x DVI-I-Schnittstelle
– interne, batteriegepufferte Uhr für Zeit und Datum (Batterie wechselbar)
– Diagnose-LED: 1 x Power, 1 x TC-Status, 1 x Flash-Zugriff, 2 x Bus-Status
– kugelgelagerter und drehzahlüberwachter Lüfter integriert
– max. 42 W Verlustleistung (einschließlich der Systemschnittstellen)
– Schutzart: IP 20
– Betriebs-/Lagertemperatur: -25 °C … +60 °C/-40 °C … +85 °C
– Gewicht: ca. 1230 g
– Abmessungen (B x H x T): 144 mm x 99 mm x 91 mm</t>
  </si>
  <si>
    <t>Modular DIN rail Industrial PC
– processor Intel® Core™ i7 2715QE 2.1 GHz, 4 cores (TC3: 70)
– flash memory: 4 GB or 8 GB CFast flash card (depending on the operating system), optionally extendable
– internal main memory: 4 GB DDR3 RAM 
– persistent memory: 128 KB NOVRAM integrated
– 2 x RJ45 Ethernet connector 10/100/1000 Mbit
– 4 x USB 2.0 interfaces
– 1 x DVI-I interface
– internal battery-backed clock for time and date (battery exchangeable)
– diagnostics LED: 1 x power, 1 x TC status, 1 x flash access, 2 x bus status
– equipped with a fan with ball bearings and speed monitoring
– max. power consumption: 42 W (including the system interfaces)
– protection class IP 20
– operating/storage temperature -25 °C ... +60 °C/-40 °C ... +85 °C
– weight approx. 1230 g
– dimensions (W x H x D) 144 mm x 99 mm x 91 mm</t>
  </si>
  <si>
    <t>CX2040-0100</t>
  </si>
  <si>
    <t>CPU-Modul CX2040, kein Betriebssystem, kein TwinCAT</t>
  </si>
  <si>
    <t>Basic CPU module CX2040, no operating system, no TwinCAT</t>
  </si>
  <si>
    <t>CX2040-0110</t>
  </si>
  <si>
    <t>CPU-Modul CX2040, Microsoft Windows Embedded Compact 7, kein TwinCAT</t>
  </si>
  <si>
    <t>Basic CPU module CX2040, Microsoft Windows Embedded Compact 7, no TwinCAT</t>
  </si>
  <si>
    <t>CX2040-0111</t>
  </si>
  <si>
    <t>CPU-Modul CX2040, Microsoft Windows Embedded Compact 7, TwinCAT-2-PLC-Runtime</t>
  </si>
  <si>
    <t>Basic CPU module CX2040, Microsoft Windows Embedded Compact 7, TwinCAT 2 PLC run-time</t>
  </si>
  <si>
    <t>CX2040-0112</t>
  </si>
  <si>
    <t>CPU-Modul CX2040, Microsoft Windows Embedded Compact 7, TwinCAT-2-PLC-Runtime, TwinCAT-2-NC-Runtime</t>
  </si>
  <si>
    <t>Basic CPU module CX2040, Microsoft Windows Embedded Compact 7, TwinCAT 2 PLC run-time, TwinCAT 2 NC run-time</t>
  </si>
  <si>
    <t>CX2040-0113</t>
  </si>
  <si>
    <t>CPU-Modul CX2040, Microsoft Windows Embedded Compact 7, TwinCAT-2-PLC-Runtime, TwinCAT-2-NC-Runtime, TwinCAT-2-NC-I-Runtime</t>
  </si>
  <si>
    <t>Basic CPU module CX2040, Microsoft Windows Embedded Compact 7, TwinCAT 2 PLC run-time, TwinCAT 2 NC run-time, TwinCAT 2 NC I run-time</t>
  </si>
  <si>
    <t>CX2040-0115</t>
  </si>
  <si>
    <t>CPU-Modul CX2040, Microsoft Windows Embedded Compact 7, TwinCAT-3-Runtime (XAR)</t>
  </si>
  <si>
    <t>Basic CPU module CX2040, Microsoft Windows Embedded Compact 7, TwinCAT 3 runtime (XAR)</t>
  </si>
  <si>
    <t>CX2040-0120</t>
  </si>
  <si>
    <t>CPU-Modul CX2040, Microsoft Windows Embedded Standard 7 P 32 Bit, kein TwinCAT</t>
  </si>
  <si>
    <t>Basic CPU module CX2040, Microsoft Windows Embedded Standard 7 P 32 bit, no TwinCAT</t>
  </si>
  <si>
    <t>CX2040-0121</t>
  </si>
  <si>
    <t>CPU-Modul CX2040, Microsoft Windows Embedded Standard 7 P 32 Bit, TwinCAT-2-PLC-Runtime</t>
  </si>
  <si>
    <t>Basic CPU module CX2040, Microsoft Windows Embedded Standard 7 P 32 bit, TwinCAT 2 PLC run-time</t>
  </si>
  <si>
    <t>CX2040-0122</t>
  </si>
  <si>
    <t>CPU-Modul CX2040, Microsoft Windows Embedded Standard 7 P 32 Bit, TwinCAT-2-PLC-Runtime, TwinCAT-2-NC-Runtime</t>
  </si>
  <si>
    <t>Basic CPU module CX2040, Microsoft Windows Embedded Standard 7 P 32 bit, TwinCAT 2 PLC run-time, TwinCAT 2 NC run-time</t>
  </si>
  <si>
    <t>CX2040-0123</t>
  </si>
  <si>
    <t>CPU-Modul CX2040, Microsoft Windows Embedded Standard 7 P 32 Bit, TwinCAT-2-PLC-Runtime, TwinCAT-2-NC-Runtime, TwinCAT-2-NC-I-Runtime</t>
  </si>
  <si>
    <t>Basic CPU module CX2040, Microsoft Windows Embedded Standard 7 P 32 bit, TwinCAT 2 PLC run-time, TwinCAT 2 NC run-time, TwinCAT 2 NC I run-time</t>
  </si>
  <si>
    <t>CX2040-0125</t>
  </si>
  <si>
    <t>CPU-Modul CX2040, Microsoft Windows Embedded Standard 7 P 32 Bit, TwinCAT-3-Runtime (XAR)</t>
  </si>
  <si>
    <t>Basic CPU module CX2040, Microsoft Windows Embedded Standard 7 P 32 bit, TwinCAT 3 runtime (XAR)</t>
  </si>
  <si>
    <t>CX2040-0130</t>
  </si>
  <si>
    <t>CPU-Modul CX2040, Microsoft Windows Embedded Standard 7 P 64 Bit, kein TwinCAT</t>
  </si>
  <si>
    <t>Basic CPU module CX2040, Microsoft Windows Embedded Standard 7 P 64 bit, no TwinCAT</t>
  </si>
  <si>
    <t>CX2040-0135</t>
  </si>
  <si>
    <t>CPU-Modul CX2040, Microsoft Windows Embedded Standard 7 P 64 Bit, TwinCAT-3-Runtime (XAR)</t>
  </si>
  <si>
    <t>Basic CPU module CX2040, Microsoft Windows Embedded Standard 7 P 64 bit, TwinCAT 3 runtime (XAR)</t>
  </si>
  <si>
    <t>CX2040-B110</t>
  </si>
  <si>
    <t>CX2040-B310</t>
  </si>
  <si>
    <t>CX2040-B510</t>
  </si>
  <si>
    <t>CX2040-B930</t>
  </si>
  <si>
    <t>CX2040-B950</t>
  </si>
  <si>
    <t>CX2040-M310</t>
  </si>
  <si>
    <t>CX2040-M510</t>
  </si>
  <si>
    <t>CX2040-M930</t>
  </si>
  <si>
    <t>CX2040-N010</t>
  </si>
  <si>
    <t>CX2040-N030</t>
  </si>
  <si>
    <t>CX2040-N031</t>
  </si>
  <si>
    <t>CX2040-N031-0001</t>
  </si>
  <si>
    <t>CX2040-N031-0002</t>
  </si>
  <si>
    <t>CX2040-N031-0003</t>
  </si>
  <si>
    <t>CX2040-N031-0004</t>
  </si>
  <si>
    <t>Netzteil für Grundmodul CX2020 und CX2030, E-Bus-fähig oder K-Bus-fähig
– 24 V DC (-15 %/+20 %)
– E-Bus (EtherCAT-Klemmen) oder K-Bus (Busklemmen), automatische Erkennung
– Bus-Stromversorgung bis 2 A
– FSTN-Display: 2 Zeilen x 16 Zeichen Text, beleuchtet, Navi-Switch 4+1
– Diagnose-LED: 1 x PWR, 1 x I/O RUN, 1 x I/O Err
– Schutzart: IP 20
– Betriebs-/Lagertemperatur: -25 °C … +60 °C/-40 °C … +85 °C
– Gewicht: ca. 375 g
– Abmessungen (B x H x T): 39 mm x 100 mm x 91 mm</t>
  </si>
  <si>
    <t>Power supply unit for CX2020 and CX2030 core with E-bus or K-bus capability
– power supply 24 V DC (-15 %/+20 %)
– E-bus (EtherCAT Terminals) or K-bus (Bus Terminals), automatic recognition
– E-bus power supply up to 2 A
– FSTN display 2 lines x 16 characters of text, lighted, Navi switch 4+1
– diagnostics LED: 1 x PWR, 1 x I/O Run, 1 x I/O Err
– protection class IP 20
– operating/storage temperature -25 °C … +60 °C/-40 °C … +85 °C
– weight approx. 375 g
– dimensions (W x H x D) 39 x 100 x 91 mm</t>
  </si>
  <si>
    <t>Netzteil für Grundmodul CX2040, E-Bus-fähig oder K-Bus-fähig
– auch für CX2020 und CX2030 (falls mit Lüfteroption CX2900-0200/-0300 bestellt)
– 24 V DC (-15 %/+20 %)
– E-Bus (EtherCAT-Klemmen) oder K-Bus (Busklemmen), automatische Erkennung
– Bus-Stromversorgung bis 2 A
– FSTN-Display: 2 Zeilen x 16 Zeichen Text, beleuchtet, Navi-Switch 4+1
– Diagnose-LED: 1 x PWR, 1 x I/O RUN, 1 x I/O Err
– Schutzart: IP 20
– Betriebs-/Lagertemperatur: -25 °C … +60 °C/-40 °C … +85 °C
– Gewicht: ca. 550 g
– Abmessungen (B x H x T): 64 mm x 100 mm x 91 mm</t>
  </si>
  <si>
    <t>Power supply unit for CX2040 core with E-bus or K-bus capability
– also for CX2020 and CX2030 (if ordered with fan option CX2900-0200/-0300)
– power supply 24 V DC (-15 %/+20 %)
– E-bus (EtherCAT Terminals) or K-bus (Bus Terminals), automatic recognition
– E-bus power supply up to 2 A
– FSTN display 2 lines x 16 characters of text, lighted, Navi switch 4+1
– diagnostics LED: 1 x PWR, 1 x I/O Run, 1 x I/O Err
– protection class IP 20
– operating/storage temperature -25 °C … +60 °C/-40 °C … +85 °C
– weight approx. 550 g
– dimensions (W x H x D) 64 x 100 x 91 mm</t>
  </si>
  <si>
    <t>Netzteil mit integrierter, kapazitiver USV-Funktionalität zur unterbrechungsfreien Stromversorgung der 
CX-Steuerung
– geeignet für CX2020, CX2030, nicht in Verbindung mit CX2040
– E-Bus (EtherCAT-Klemmen) oder K-Bus (Busklemmen), automatische Erkennung
– Bus-Stromversorgung bis 2 A
– 24 V DC (-15 %/+20 %)
– Ladung: 75 As
– einfache Nachrüstung im Feld durch Anreihung an vorhandene CX-Steuerung möglich
– wartungsfrei dank moderner kapazitiver Technologie (Supercaps)
– FSTN-Display: 2 Zeilen x 16 Zeichen Text, beleuchtet, Navi-Switch 4+1
– USV-Status abfragbar über TwinCAT
– Schutzart: IP 20
– Betriebs-/Lagertemperatur: -25 °C … +50 °C/-25 °C … +60 °C
– Gewicht: ca. 1030 g
– Abmessungen (B x H x T): 117 x 100 x 91 mm</t>
  </si>
  <si>
    <t>Power supply unit with integrated capacitive UPS for uninterruptible power supply of the CX controller
– suitable for CX2020 and CX2030, not suitable for CX2040
– E-bus (EtherCAT Terminals) or K-bus (Bus Terminals), automatic recognition
– E-bus power supply up to 2 A
– 24 V DC (-15 %/+20 %)
– electric charge: 75 As
– simple retrofitting in the field by adding to existing CX controller is possible
– maintenance-free due to advanced capacitive technology (Supercaps)
– FSTN display 2 lines x 16 characters of text, lighted, Navi switch 4+1
– UPS status can be queried via TwinCAT
– protection class IP 20
– operating/storage temperature -25 °C … +50 °C/-25 °C … +60 °C
– weight approx. 1030 g
– dimensions (W x H x D) 117 x 100 x 91 mm</t>
  </si>
  <si>
    <t>Netzteil mit integrierter USV-Funktionalität zur unterbrechungsfreien Stromversorgung der CX-Steuerung
– geeignet für CX2020, CX2030 und CX2040
– E-Bus (EtherCAT-Klemmen) oder K-Bus (Busklemmen), automatische Erkennung
– Bus-Stromversorgung bis 2 A
– 24 V DC (-15 %/+20 %)
– integrierte Ladeelektronik für externen Smart-Battery-Akku CX2900-0192
– Anschluss für Versorgung externer 24-V-DC-Geräte (max. 2 A)
– einfache Nachrüstung im Feld durch Anreihung an vorhandene CX-Steuerung möglich
– FSTN-Display: 2 Zeilen x 16 Zeichen Text, beleuchtet, Navi-Switch 4+1
– USV-Status abfragbar über TwinCAT
– 8-pol. Spannungsversorgungsstecker im Lieferumfang des Akkus CX2900-0192 enthalten
– CAT-Verbindungskabel zur Batterie nicht im Lieferumfang enthalten
   (separat bestellbar, z. B. ZK1090-9191-xxxx)
– Schutzart: IP 20
– Betriebs-/Lagertemperatur: -25…+60 °C/-25…+85 °C
– Gewicht: ca. 800 g
– Abmessungen (B x H x T): 73 x 100 x 91 mm</t>
  </si>
  <si>
    <t>Power supply unit with integrated UPS for uninterruptible power supply of the CX controller
– suitable for CX2020, CX2030 and CX2040
– E-bus (EtherCAT Terminals) or K-bus (Bus Terminals), automatic recognition
– E-bus power supply up to 2 A
– 24 V DC (-15 %/+20 %)
– integrated charger for external CX2900-0192 Smart Battery
– connector to provide backup power for external 24 V DC components (max. 2 A)
– simple retrofitting in the field by adding to existing CX controller is possible
– FSTN display 2 lines x 16 characters of text, lighted, Navi switch 4+1
– UPS status can be queried via TwinCAT
– 8-pin power plug included in the scope of supply of the CX2900-0192 battery
– CAT connection cable to the battery is not included 
  (please order separately, e.g. ZK1090-9191-xxxx)
– protection class IP 20
– operating/storage temperature -25…+60 °C/-25…+85 °C
– weight approx. 800 g
– dimensions (W x H x D) 73 x 100 x 91 mm</t>
  </si>
  <si>
    <t>CX2500-0020</t>
  </si>
  <si>
    <t>Interfacemodul für Audio-In/Out-Schnittstellen
– nur ein Modul pro CPU verwendbar
– Line IN, Line OUT, Mic IN, 7.1 (3,5-mm-Buchse für Klinkenstecker)
– SPDIF (Cinch-Buchse)
– einfache Nachrüstung im Feld
– Schutzart: IP 20
– Betriebs-/Lagertemperatur: -25 °C … +60 °C/-40 °C … +85 °C
– Gewicht: ca. 180 g
– Abmessungen (B x H x T): 24 x 99 x 54,5 mm</t>
  </si>
  <si>
    <t>Interface module for audio In/Out connections
– only one module per CPU usable
– Line IN, Line OUT, Mic IN, 7.1 (3.5 mm socket for jack plug)
– SPDIF (RCA socket)
– easy field modification possible
– protection class IP 20
– operating/storage temperature -25 °C … +60 °C/-40 °C … +85 °C
– weight approx. 180 g
– dimensions (W x H x D) 24 x 99 x 54.5 mm</t>
  </si>
  <si>
    <t>CX2500-0030</t>
  </si>
  <si>
    <t>Interfacemodul für 2 x RS232-Schnittstellen
– volle 115 kBaud auf beiden Kanälen
– galvanisch getrennte Ausführung (opto-entkoppelt)
– einfache Nachrüstung im Feld
– PCI-Express basierend
– Schutzart: IP 20
– Betriebs-/Lagertemperatur: -25 °C … +60 °C/-40 °C … +85 °C
– Gewicht: ca. 205 g
– Abmessungen (B x H x T): 24 x 99 x 54,5 mm</t>
  </si>
  <si>
    <t>Interface module for 2 x RS232 connections
– full 115 kbaud on both channels
– electrically isolated interfaces (optically isolated)
– easy field modification possible
– based on PCI Express
– protection class IP 20
– operating/storage temperature -25 °C … +60 °C/-40 °C … +85 °C
– weight approx. 205 g
– dimensions (W x H x D) 24 x 99 x 54.5 mm</t>
  </si>
  <si>
    <t>CX2500-0031</t>
  </si>
  <si>
    <t>Interfacemodul für 2 x RS422/RS485-Schnittstellen opto-isoliert
– volle 115 kBaud auf beiden Kanälen
– galvanisch getrennte Schnittstellen (optisch isoliert)
– Modi: RS485: mit/ohne Echo, mit/ohne Terminierung, RS422: Vollduplex
– einfache Nachrüstung im Feld
– PCI-Express basierend
– Schutzart: IP 20
– Betriebs-/Lagertemperatur: -25 °C … +60 °C/-40 °C … +85 °C
– Gewicht: ca. 203 g
– Abmessungen (B x H x T): 24 x 99 x 54,5 mm</t>
  </si>
  <si>
    <t>Interface module for 2 x RS422/RS485 connections optically isolated
– full 115 kbaud on both channels
– electrically isolated interfaces (optically isolated)
– modes: RS485: with/without echo, with/without termination, RS422: full duplex
– easy field modification possible
– based on PCI Express
– protection class IP 20
– operating/storage temperature: -25 °C … +60 °C/-40 °C … +85 °C
– weight approx. 203 g
– dimensions (W x H x D) 24 x 99 x 54.5 mm</t>
  </si>
  <si>
    <t>CX2500-0060</t>
  </si>
  <si>
    <t>Interfacemodul für 2 x 10/100/1000-MBit-Ethernet
– 2 x RJ45 10/100/1000 MBit/s
– einfache Nachrüstung im Feld
– PCI-Express basierend
– Schutzart: IP 20
– Betriebs-/Lagertemperatur: -25 °C … +60 °C/-40 °C … +85 °C
– Gewicht: ca. 195 g
– Abmessungen (B x H x T): 24 x 99 x 54,5 mm</t>
  </si>
  <si>
    <t>Interface module for 10/100/1000 Mbit Ethernet 
– 2 x RJ45 10/100/1000 Mbit/s
– easy field modification possible
– based on PCI Express
– protection class IP 20
– operating/storage temperature: -25 °C … +60 °C/-40 °C … +85 °C
– weight approx. 195 g
– dimensions (W x H x D) 24 x 99 x 54.5 mm</t>
  </si>
  <si>
    <t>CX2500-0061</t>
  </si>
  <si>
    <t>Interfacemodul für 1 x 10/100/1000-MBit-Ethernet-PoE
– 1 x RJ45 10/100/1000 MBit/s mit Power-over-Ethernet (PoE)
– unterstützt Geräte mit PoE Class 0, 1, 2, 3 und 4 nach PoE-Standard IEEE 802.3af-2003
– max. PoE-Leistungsabgabe 15,4 W 
– interne Generierung der PoE-Versorgungsspannung (keine externe 48 V Spannungsversorgung nötig)
– Isolationsspannung Ethernet/interne Elektronik: 500 V
– Diagnose-LEDs: PWR, PoE, PM1, PM2
– PCI-Express basierend
– Schutzart: IP 20
– Betriebs-/Lagertemperatur: -25 °C … +60 °C/-40 °C … +85 °C
– Gewicht: ca. 208 g
– Abmessungen (B x H x T): 24 x 99 x 54,5 mm</t>
  </si>
  <si>
    <t>Interface module for 1 x 10/100/1000 Mbit Ethernet PoE
– 1 x RJ45 10/100/1000 Mbit/s with Power over Ethernet (PoE)
– supports devices of PoE Class 0, 1, 2, 3 and 4 as defined by PoE standard IEEE 802.3af-2003
– max. PoE power delivery 15.4 W 
– internal generation of PoE supply voltage (no external 48 V power feeding required)
– isolation voltage Ethernet/internal electronics: 500 V
– diagnostic LEDs: PWR, PoE, PM1, PM2
– based on PCI Express
– protection class IP 20
– operating/storage temperature: -25 °C … +60 °C/-40 °C … +85 °C
– weight approx. 208 g
– dimensions (W x H x D) 24 x 99 x 54.5 mm</t>
  </si>
  <si>
    <t>CX2500-0070</t>
  </si>
  <si>
    <t>Erweiterungsmodul für zusätzliche 4 USB-Anschlüsse
– 4 x USB-3.0-Ports Type A, Stromabgabe max. 2 A Summenstrom
– unterstützt USB-1.1-, USB-2.0- und USB-3.0-Standards
– Übertragungsraten von 1,5 MBit/s, 12 MBit/s und 480 MBit/s
– einfache Nachrüstung im Feld
– PCI-Express basierend
– Schutzart IP 20
– Betriebs-/Lagertemperatur: -25 °C … +60 °C/-40 °C … +85 °C
– Gewicht: ca. 195 g
– Abmessungen (B x H x T): 24 x 99 x 54,5 mm</t>
  </si>
  <si>
    <t>Extension module for 4 USB ports
– 4 x USB 3.0 ports type A, total current max. 2 A
– suppports USB 1.1, USB 2.0 and USB 3.0 standard
– transfer rates: 1.5 Mbit/s, 12 Mbit/s and 480 Mbit/s
– easy field modification possible
– based on PCI Express
– protection class IP 20
– operating/storage temperature: -25 °C … +60 °C/-40 °C … +85 °C
– weight approx. 195 g
– dimensions (W x H x D) 24 x 99 x 54.5 mm</t>
  </si>
  <si>
    <t>CX2500-B310</t>
  </si>
  <si>
    <t>PROFIBUS-Slave-Interfacemodul
– Anzahl der Feldbuskanäle: 1
– Anschlusstyp: D-Sub-Buchse, 9-polig 
– PROFIBUS-DP, DP-V1, DP-V2 (MC)
– Baudrate: 9,6 kBaud - 12 MBaud
– erweiterbares Prozessabbild: bis zu 15 virtuelle Slaves zusätzlich 
– max. Prozessabbild: 16 x 240 Bytes In/16 x 240 Bytes Out (virtuelle Slaves)
– Schnittstelle zum CX-CPU-Modul durch PCIe
– Hardwarediagnose: 2 LEDs
– Schutzart: IP 20
– Betriebs-/Lagertemperatur: -25 °C … +60 °C/-40 °C … +85 °C
– Gewicht: ca. 180 g
– Abmessungen (B x H x T): 24 x 99 x 54,5 mm</t>
  </si>
  <si>
    <t>PROFIBUS slave interface module
– number of fieldbus channels: 1
– connector type: 9-pin D-sub, female 
– PROFIBUS DP, DP-V1, DP-V2 (MC)
– communication speed: 9.6 kbaud...12 Mbaud 
– expandable process image: up to 15 virtual slaves in addition
– max. process image: 16 x 240 bytes In/16 x 240 bytes Out (virtual slaves)
– interface to the CX through PCIe
– hardware diagnostics 2 LEDs
– protection class IP 20
– operating/storage temperature -25 °C … +60 °C/-40 °C … +85 °C
– weight approx. 180 g
– dimensions (W x H x D) 24 x 99 x 54,5 mm</t>
  </si>
  <si>
    <t>CX2500-B510</t>
  </si>
  <si>
    <t>CANopen-Slave-Interfacemodul
– Anzahl der Feldbuskanäle: 1 
– Anschlusstyp: D-Sub-Buchse, 9-polig
– Schnittstelle galvanisch getrennt
– Baudrate: 10, 20, 50, 100, 125, 250, 500, 800, 1000 kBaud
– erweiterbares Prozessabbild: bis zu 15 virtuelle Slaves zusätzlich
– max. Prozessabbild: 16x16 Tx PDOs/16x16 Rx PDOs (8 Byte pro PDO)
– Schnittstelle zum CX-CPU-Modul durch PCIe
– Hardwarediagnose: 2 LEDs
– Schutzart: IP 20
– Betriebs-/Lagertemperatur: -25 °C … +60 °C/-40 °C … +85 °C
– Gewicht: ca. 180 g
– Abmessungen (B x H x T): 24 x 99 x 54,5 mm</t>
  </si>
  <si>
    <t>CANopen slave interface module
– number of fieldbus channels: 1
– connector type: 9-pin D-sub, female 
– electrically isolated interfaces
– transmission rate: 10, 20, 50, 100, 125, 250, 500, 800, 1000 kbaud
– expandable process image: up to 15 virtual slaves in addition
– max. process image: 16x16 Tx PDOs/16x16 Rx PDOs (8 byte per PDO) 
– interface to the CX core CPU through PCIe
– hardware diagnostics 2 LEDs
– protection class IP 20
– operating/storage temperature -25 °C … +60 °C/-40 °C … +85 °C
– weight approx. 180 g
– dimensions (W x H x D) 24 x 99 x 54,5 mm</t>
  </si>
  <si>
    <t>CX2500-M310</t>
  </si>
  <si>
    <t>PROFIBUS-Master-Interfacemodul
– Anzahl der Feldbuskanäle: 1
– Anschlusstyp: D-Sub-Buchse, 9-polig  
– unterstützt PROFIBUS-DP (Standard), PROFIBUS-DP-V1 (Cl. 1 + 2: azyklische Dienste, Alarm), DP-V2 (MC)
– Baudrate: 9,6 kBaud - 12 MBaud
– Schnittstelle zum CX-CPU-Modul durch PCIe
– Busteilnehmer pro Kanal: max. 125 Slaves mit bis zu 
   244 Bytes Input-, Output-, Parameter-, Konfigurations-, Diagnosedaten je Slave
– unterschiedliche Zykluszeiten pro Slave einstellbar 
– Hardwarediagnose: 2 LEDs
– Schutzart: IP 20
– Betriebs-/Lagertemperatur: -25 °C … +60 °C/-40 °C … +85 °C
– Gewicht: ca. 180 g
– Abmessungen (B x H x T): 24 x 99 x 54,5 mm</t>
  </si>
  <si>
    <t>PROFIBUS master interface module
– number of fieldbus channels: 1
– connector type: 9-pin D-sub, female 
– supports PROFIBUS DP (standard), PROFIBUS DP-V1 (Cl. 1+2: acyclic services, alarms), DP-V2 (MC)
– transmission rate 9.6 kbaud...12 Mbaud
– interface to the CX core CPU through PCIe
– bus nodes per channel: max. 125 slaves with up to 244 bytes input, output, 
   parameter, configuration, diagnostic data per slave
– differing cycle times per slave are possible
– hardware diagnostics 2 LEDs
– protection class IP 20
– operating/storage temperature -25 °C … +60 °C/-40 °C … +85 °C
– weight approx. 180 g
– dimensions (W x H x D) 24 x 99 x 54,5 mm</t>
  </si>
  <si>
    <t>CX2500-M510</t>
  </si>
  <si>
    <t>CANopen-Master-Interfacemodul
– Anzahl der Feldbuskanäle: 1 
– Anschlusstyp: D-Sub-Stecker, 9-polig 
– Baudrate: 10, 20, 50, 100, 125, 250, 500, 800, 1000 kBaud
– Schnittstelle zum CX-CPU-Modul durch PCIe
– Anzahl der Busteilnehmer: max. 64 Slaves
– Hardwarediagnose: 2 LEDs
– Schutzart: IP 20
– Betriebs-/Lagertemperatur: -25 °C … +60 °C/-40 °C … +85 °C
– Gewicht: ca. 180 g
– Abmessungen (B x H x T): 24 x 99 x 54,5 mm</t>
  </si>
  <si>
    <t>CANopen master interface module
– number of fieldbus channels: 1
– connector type: 9-pin D-sub, male 
– transmission rate 10, 20, 50, 100, 125, 250, 500, 800, 1000 kbaud
– interface to the CX core CPU through PCIe
– bus nodes per channel: max. 64 slaves
– hardware diagnostics 2 LEDs
– protection class IP 20
– operating/storage temperature -25 °C … +60 °C/-40 °C … +85 °C
– weight approx. 180 g
– dimensions (W x H x D) 24 x 99 x 54,5 mm</t>
  </si>
  <si>
    <t>CX2550-0010</t>
  </si>
  <si>
    <t>Erweiterungsmodul für zusätzlichen Massenspeicher, CFast-Schnittstelle
– Schnittstelle: SATA
– Anschlussart: CFast-Einschub
– Diagnose-LED: 1 x RDY, 1 x HDD
– Schutzart: IP 20
– Betriebs-/Lagertemperatur: -25 °C … +60 °C/-40 °C … +85 °C
– Gewicht: ca. 95 g
– Abmessungen (B x H x T): 24 x 99 x 91 mm</t>
  </si>
  <si>
    <t>Extension module for usage of a mass storage CFast
– Interface: SATA
– type of connection: CFast slot
– Diagnostics LED: 1 x RDY, 1 x HDD
– protection class IP 20
– operating/storage temperature: -25 °C … +60 °C/-40 °C … +85 °C
– weight approx. 95 g
– dimensions (W x H x D) 24 x 99 x 91 mm</t>
  </si>
  <si>
    <t>CX2550-0020</t>
  </si>
  <si>
    <t>Erweiterungsmodul für 2½-Zoll-HDD/-SSD
– Schnittstelle: SATA 6G
– Anschlussart: 2½-Zoll-Einschub
– Schutzart: IP 20
– Betriebs-/Lagertemperatur: -25 °C … +60 °C/-40 °C … +85 °C
– Gewicht: ca. 290 g (ohne Medium)
– Abmessungen (B x H x T): 24 x 99 x 125 mm</t>
  </si>
  <si>
    <t>Extension module for 2½-inch HDD/SSD
– Interface: SATA 6G
– type of connection: 2½-inch slot
– protection class IP 20
– operating/storage temperature: -25 °C … +60 °C/-40 °C … +85 °C
– weight: approx. 290 g (without medium)
– dimensions (W x H x D) 24 x 99 x 125 mm</t>
  </si>
  <si>
    <t>CX2550-0179</t>
  </si>
  <si>
    <t>Erweiterungsmodul USB-Extender-Tx für CP69xx und CP79xx
– USB-Extended-Sendermodul
– 1 USB-Extended-Ausgang mit RJ45-Buchse für bis zu 50 m CAT-5-Kabel zum Anschluss eines Control Panels
   mit DVI/USB-Extended-Interface CP69xx oder CP79xx
– USB-Übertragungsrate bis 12 MBit/s entsprechend USB 1.1, abwärtskompatibel zu USB 1.0
– Schutzart IP 20
– Betriebs-/Lagertemperatur: -25 °C … +60 °C/-40 °C … +85 °C
– Gewicht: ca. 190 g
– Abmessungen (B x H x T): 24 x 99 x 54,5 mm</t>
  </si>
  <si>
    <t>Extension module USB Extender Tx for CP69xx and CP79xx
– USB Extended transmitter module
– 1 USB Extended output with RJ45 socket for up to 50 m CAT5 cable for connecting a Control Panel 
   with DVI/USB Extended interface CP69xx or CP79xx
– USB transfer rate up to 12 Mbit/s for USB 1.1, downwards compatible to USB 1.0
– protection class IP 20
– operating/storage temperature: -25 °C … +60 °C/-40 °C … +85 °C
– weight approx. 190 g
– dimensions (W x H x D) 24 x 99 x 54.5 mm</t>
  </si>
  <si>
    <t>CX2550-0279</t>
  </si>
  <si>
    <t>Erweiterungsmodul USB-Extender-2.0-Tx für CP29xx-0000 und CP39xx-0000
– USB-Extended-2.0-Sendermodul
– 1 USB-Extended-2.0-Ausgang mit RJ45-Buchse für bis zu 50 m CAT-5-Kabel zum Anschluss eines Control Panels 
   mit DVI/USB-Extended-Interface CP29xx-0000 oder CP39xx-0000
– USB-Übertragungsrate bis 480 MBit/s entsprechend USB 2.0
– Schutzart IP 20
– Betriebs-/Lagertemperatur: -25 °C … +60 °C/-40 °C … +85 °C
– Gewicht: ca. 190 g
– Abmessungen (B x H x T): 24 x 99 x 54,5 mm</t>
  </si>
  <si>
    <t>Extension module USB Extender 2.0 Tx for CP29xx-0000 and CP39xx-0000
– USB Extended 2.0 transmitter module
– 1 USB Extended 2.0 output with RJ45 socket for up to 50 m CAT5 cable for connecting a Control Panel 
   with DVI/USB Extended interface CP29xx-0000 or CP39xx-0000
– USB transfer rate up to 480 Mbit/s for USB 2.0
– protection class IP 20
– operating/storage temperature: -25 °C … +60 °C/-40 °C … +85 °C
– weight approx. 190 g
– dimensions (W x H x D) 24 x 99 x 54.5 mm</t>
  </si>
  <si>
    <t>CX2900-0026</t>
  </si>
  <si>
    <t>2-GB-CFast-Karte, SLC-Flash, erweiterter Temperaturbereich</t>
  </si>
  <si>
    <t>2 GB CFast card, SLC flash, extended temperature range</t>
  </si>
  <si>
    <t>CX2900-0028</t>
  </si>
  <si>
    <t>4-GB-CFast-Karte, SLC-Flash, erweiterter Temperaturbereich</t>
  </si>
  <si>
    <t>4 GB CFast card, SLC flash, extended temperature range</t>
  </si>
  <si>
    <t>CX2900-0029</t>
  </si>
  <si>
    <t>8-GB-CFast-Karte, SLC-Flash, erweiterter Temperaturbereich, statt 4-GB-CFast-Karte</t>
  </si>
  <si>
    <t>8 GB CFast card, SLC flash, extended temperature range, instead of 4 GB CFast card</t>
  </si>
  <si>
    <t>CX2900-0030</t>
  </si>
  <si>
    <t>8-GB-CFast-Karte, SLC-Flash, erweiterter Temperaturbereich</t>
  </si>
  <si>
    <t>8 GB CFast card, SLC flash, extended temperature range</t>
  </si>
  <si>
    <t>CX2900-0031</t>
  </si>
  <si>
    <t>16-GB-CFast-Karte, SLC-Flash, erweiterter Temperaturbereich, statt  4-GB-CFast-Karte</t>
  </si>
  <si>
    <t>16 GB CFast card, SLC flash, extended temperature range, instead of 4 GB CFast card</t>
  </si>
  <si>
    <t>CX2900-0032</t>
  </si>
  <si>
    <t>16-GB-CFast-Karte, SLC-Flash, erweiterter Temperaturbereich</t>
  </si>
  <si>
    <t>16 GB CFast card, SLC flash, extended temperature range</t>
  </si>
  <si>
    <t>CX2900-0033</t>
  </si>
  <si>
    <t>16-GB-CFast-Karte, SLC-Flash, erweiterter Temperaturbereich, statt  8-GB-CFast-Karte</t>
  </si>
  <si>
    <t>16 GB CFast card, SLC flash, extended temperature range, instead of 8 GB CFast card</t>
  </si>
  <si>
    <t>CX2900-0034</t>
  </si>
  <si>
    <t>32-GB-CFast-Karte, SLC-Flash, erweiterter Temperaturbereich</t>
  </si>
  <si>
    <t>32 GB CFast card, SLC flash, extended temperature range</t>
  </si>
  <si>
    <t>CX2900-0035</t>
  </si>
  <si>
    <t>32-GB-CFast-Karte, SLC-Flash, erweiterter Temperaturbereich, statt  8-GB-CFast-Karte</t>
  </si>
  <si>
    <t>32 GB CFast card, SLC flash, extended temperature range, instead of 8 GB CFast card</t>
  </si>
  <si>
    <t>CX2900-0036</t>
  </si>
  <si>
    <t>64-GB-CFast-Karte, SLC-Flash, erweiterter Temperaturbereich</t>
  </si>
  <si>
    <t>64 GB CFast card, SLC flash, extended temperature range</t>
  </si>
  <si>
    <t>CX2900-0037</t>
  </si>
  <si>
    <t>64-GB-CFast-Karte, SLC-Flash, erweiterter Temperaturbereich, statt  8-GB-CFast-Karte</t>
  </si>
  <si>
    <t>64 GB CFast card, SLC flash, extended temperature range, instead of 8 GB CFast card</t>
  </si>
  <si>
    <t>CX2900-0101</t>
  </si>
  <si>
    <t>Gehäuse-Verriegelungsclips (schwarz) für CX20x0-Baureihe
10 Verriegelungsungssets zu je zwei Clips</t>
  </si>
  <si>
    <t>Housing locking clips (black) for the CX20x0 series
10 locking pin sets (each set consisting of two pieces)</t>
  </si>
  <si>
    <t>CX2900-0102</t>
  </si>
  <si>
    <t>Abdeckung für linksseitigen Busstecker, 5 Stück</t>
  </si>
  <si>
    <t>Cover for left-side module bus connector, 5 pieces</t>
  </si>
  <si>
    <t>CX2900-0103</t>
  </si>
  <si>
    <t>Ersatzlüfterkassette für CX2040 
– Kassette bestehend aus Gehäuse und Lüfter 60 mm
– einfacher Austausch im Feld durch kabellose Montage
– Abmessungen (B x H x T): 67 x 62 x 16 mm</t>
  </si>
  <si>
    <t>Spare fan cartridge for CX2040
– cartridge consisting of chassis and 60 mm fan
– simple exchange in the field due to wireless installation
– dimensions (W x H x D) 67 x 62 x 16 mm</t>
  </si>
  <si>
    <t>CX2900-0104</t>
  </si>
  <si>
    <t>Steckersatz (Ersatzteil) zur Verbindung von USV-Modul CX2100-0914 und Akkupack CX2900-0192</t>
  </si>
  <si>
    <t>Plug set (spare part) for connecting the CX2100-0914 UPS module and CX2900-0192 battery pack</t>
  </si>
  <si>
    <t>CX2900-0105</t>
  </si>
  <si>
    <t>Ersatzhaube für 2½-Zoll-SSD/HDD-Modul CX2550-0020</t>
  </si>
  <si>
    <t>Plastic covering hood for CX2550-0020 2½-inch SSD/HDD module, spare part</t>
  </si>
  <si>
    <t>CX2900-0106</t>
  </si>
  <si>
    <t>Ersatzrahmen für 2½-Zoll-SSD/HDD-Modul CX2550-0020</t>
  </si>
  <si>
    <t>Frame for CX2550-0020 2½-inch SSD/HDD module, spare part</t>
  </si>
  <si>
    <t>CX2900-0192</t>
  </si>
  <si>
    <t>Akkupack für CX2100-0914
– extern zur Hutschienenmontage
– Spannung: intern 12 V
– Kapazität: 2,3 Ah
– 8-pol. netzteilseitiger Spannungsversorgungsstecker sowie 3-pol. batterieseitiger 
   Spannungsversorgungsstecker im Lieferumfang enthalten
– Betriebs-/Lagertemperatur: 0…+50 °C/0…+85 °C
– Gewicht: ca. 2100 g
– Abmessungen (B x H x T): 163 x 90 x 85 mm</t>
  </si>
  <si>
    <t>Battery pack for CX2100-0914
– external for DIN rail mounting
– voltage: internal 12 V
– capacity: 2.3 Ah
– includes 8-pin power plug for CX2100-0914 power supply unit and 3-pin power plug for the battery
– operating/storage temperature 0…+50 °C/0…+85 °C
– weight approx. 2100 g
– dimensions (W x H x D) 163 x 90 x 85 mm</t>
  </si>
  <si>
    <t>CX2900-0200</t>
  </si>
  <si>
    <t>„Aktive Kühlung“: werkseitiger Umbau des CX2020-CPU-Moduls für aktive Kühlung, um flexiblere Einbaulagen zu
ermöglichen (siehe Dokumentation). Die aktive Kühlung erfolgt mit einer Lüfterkassette. Diese Option erfordert
den Einsatz eines Netzteils vom Typ CX2100-001x.</t>
  </si>
  <si>
    <t>“Active cooling”: factory conversion of the CX2020 CPU module for active cooling in order to enable flexible
installation positions (see documentation). Active cooling takes place via a fan cartridge. This option requires the use of a power supply unit type CX2100-001x.</t>
  </si>
  <si>
    <t>CX2900-0204</t>
  </si>
  <si>
    <t>Erweiterung auf 4 GB DDR3-RAM statt 2 GB DDR3-RAM</t>
  </si>
  <si>
    <t>memory extension to 4 GB DDR3 RAM, instead of 2 GB DDR3 RAM</t>
  </si>
  <si>
    <t>CX2900-0300</t>
  </si>
  <si>
    <t>„Aktive Kühlung“: werkseitiger Umbau des CX2030-CPU-Moduls für aktive Kühlung, um flexiblere Einbaulagen zu
ermöglichen (siehe Dokumentation). Die aktive Kühlung erfolgt mit einer Lüfterkassette. Diese Option erfordert
den Einsatz eines Netzteils vom Typ CX2100-001x.</t>
  </si>
  <si>
    <t>“Active cooling”: factory conversion of the CX2030 CPU module for active cooling in order to enable flexible
installation positions (see documentation). Active cooling takes place via a fan cartridge. This option requires the use of a power supply unit type CX2100-001x.</t>
  </si>
  <si>
    <t>CX2900-0304</t>
  </si>
  <si>
    <t>CX2900-0401</t>
  </si>
  <si>
    <t>Festplatte, SATA, 2½ Zoll, 1 TB</t>
  </si>
  <si>
    <t>Hard disk, SATA, 2½-inch, 1 TB</t>
  </si>
  <si>
    <t>CX2900-0501</t>
  </si>
  <si>
    <t>Solid-State-Disk SSD, SATA, MLC-Flash, 2½ Zoll, 128 GB</t>
  </si>
  <si>
    <t>Solid-state disk SSD, SATA, MLC flash, 2½-inch, 128 GB</t>
  </si>
  <si>
    <t>CX5010</t>
  </si>
  <si>
    <t>Hutschienen-Industrie-PC
– Prozessor Intel® Atom™ Z510, 1,1-GHz-Taktfrequenz (TC3: 40)
– Flash-Speicher: 128-MByte-Compact-Flash-Karte (austauschbar, erweiterbar)
– 512 MB RAM (intern, nicht erweiterbar)
– 2 x RJ45-Ethernet-Anschluss 10/100/1000 MBit
– 4 x USB-2.0-Schnittstelle
– 1 x DVI-D-Schnittstelle
– 1-Sekunden-USV integriert (for 1 MB persistent data on Compact Flash card)
– interne, batteriegepufferte Uhr für Zeit und Datum (Batterie wechselbar)
– Compact-Flash-Typ I oder II, Einschub mit Auswurfmechanik
– Diagnose-LED: 1 x Power, 1 x TC-Status, 1 x Flash-Zugriff, 2 x Bus-Status
– max. 12 W (einschließlich der Systemschnittstellen)
– Schutzart: IP 20
– Betriebs-/Lagertemperatur: -25 °C … +60 °C/-40 °C … +85 °C
– Gewicht: ca. 575 g
– Abmessungen (B x H x T): 100 mm x 106 mm x 92 mm</t>
  </si>
  <si>
    <t>DIN rail Industrial PC 
– processor Intel® Atom™ Z510, 1.1 GHz clock frequency (TC3: 40)
– Flash memory: 128 MB Compact Flash card (exchangeable, expandable)
– 512 MB RAM (internal, not expandable)
– 2 x RJ45 Ethernet connector 10/100/1000 Mbit
– 4 x USB 2.0 interfaces
– 1 x DVI-D interface
– integrated 1-second UPS (for 1 MB persistent data on Compact Flash card)
– internal battery-backed clock for time and date (battery exchangeable)
– Compact Flash storage slot type I or II with ejector
– Diagnostics LED: 1 x power, 1 x TC status, 1 x flash access, 2 x bus status
– max. power consumption: 12 W (including the system interfaces)
– protection class IP 20
– operating/storage temperature -25 °C ... +60 °C/-40 °C ... +85 °C
– weight approx. 575 g
– dimensions (W x H x D) 100 mm x 106 mm x 92 mm</t>
  </si>
  <si>
    <t>Basic CPU module CX5010, E-bus, no operating system, no TwinCAT</t>
  </si>
  <si>
    <t>CPU-Modul CX5010, E-Bus, Microsoft Windows Embedded CE 6.0, kein TwinCAT</t>
  </si>
  <si>
    <t>Basic CPU module CX5010, E-bus, Microsoft Windows Embedded CE 6.0, no TwinCAT</t>
  </si>
  <si>
    <t>CPU-Modul CX5010, E-Bus, Microsoft Windows Embedded CE 6.0, TwinCAT-2-PLC-Runtime</t>
  </si>
  <si>
    <t>Basic CPU module CX5010, E-bus, Microsoft Windows Embedded CE 6.0, TwinCAT 2 PLC run-time</t>
  </si>
  <si>
    <t>CPU-Modul CX5010, E-Bus, Microsoft Windows Embedded CE 6.0, TwinCAT-2-PLC-Runtime, TwinCAT-2-NC-Runtime</t>
  </si>
  <si>
    <t>Basic CPU module CX5010, E-bus, Microsoft Windows Embedded CE 6.0, TwinCAT 2 PLC run-time, TwinCAT 2 NC run-time</t>
  </si>
  <si>
    <t>CX5010-0115</t>
  </si>
  <si>
    <t>CPU-Modul CX5010, E-Bus, Microsoft Windows Embedded CE 6.0, TwinCAT-3-Runtime (XAR)</t>
  </si>
  <si>
    <t>Basic CPU module CX5010, E-bus, Microsoft Windows Embedded CE 6.0, TwinCAT 3 runtime (XAR)</t>
  </si>
  <si>
    <t>CPU-Modul CX5010, E-Bus, Microsoft Windows Embedded Standard 2009, kein TwinCAT</t>
  </si>
  <si>
    <t>Basic CPU module CX5010, E-bus, Microsoft Windows Embedded Standard 2009, no TwinCAT</t>
  </si>
  <si>
    <t>CPU-Modul CX5010, E-Bus, Microsoft Windows Embedded Standard 2009, TwinCAT-2-PLC-Runtime</t>
  </si>
  <si>
    <t>Basic CPU module CX5010, E-bus, Microsoft Windows Embedded Standard 2009, TwinCAT 2 PLC run-time</t>
  </si>
  <si>
    <t>CPU-Modul CX5010, E-Bus, Microsoft Windows Embedded Standard 2009, TwinCAT-2-PLC-Runtime, TwinCAT-2-NC-Runtime</t>
  </si>
  <si>
    <t>Basic CPU module CX5010, E-bus, Microsoft Windows Embedded Standard 2009, TwinCAT 2 PLC run-time, TwinCAT 2 NC run-time</t>
  </si>
  <si>
    <t>CX5010-0125</t>
  </si>
  <si>
    <t>CPU-Modul CX5010, E-Bus, Microsoft Windows Embedded Standard 2009, TwinCAT-3-Runtime (XAR)</t>
  </si>
  <si>
    <t>Basic CPU module CX5010, E-bus, Microsoft Windows Embedded Standard 2009, TwinCAT 3 runtime (XAR)</t>
  </si>
  <si>
    <t>Basic CPU module CX5010, K-bus, no operating system, no TwinCAT</t>
  </si>
  <si>
    <t>Basic CPU module CX5010, K-bus, Microsoft Windows Embedded CE 6.0, no TwinCAT</t>
  </si>
  <si>
    <t>CPU-Modul CX5010, K-Bus, Microsoft Windows Embedded CE 6.0, TwinCAT-2-PLC-Runtime</t>
  </si>
  <si>
    <t>Basic CPU module CX5010, K-bus, Microsoft Windows Embedded CE 6.0, TwinCAT 2 PLC run-time</t>
  </si>
  <si>
    <t>CPU-Modul CX5010, K-Bus, Microsoft Windows Embedded CE 6.0, TwinCAT-2-PLC-Runtime, TwinCAT-2-NC-Runtime</t>
  </si>
  <si>
    <t>Basic CPU module CX5010, K-bus, Microsoft Windows Embedded CE 6.0, TwinCAT 2 PLC run-time, TwinCAT 2 NC run-time</t>
  </si>
  <si>
    <t>CX5010-1115</t>
  </si>
  <si>
    <t>CPU-Modul CX5010, K-Bus, Microsoft Windows Embedded CE 6.0, TwinCAT-3-Runtime (XAR)</t>
  </si>
  <si>
    <t>Basic CPU module CX5010, K-bus, Microsoft Windows Embedded CE 6.0, TwinCAT 3 runtime (XAR)</t>
  </si>
  <si>
    <t>CPU-Modul CX5010, K-Bus, Microsoft Windows Embedded Standard 2009 kein TwinCAT</t>
  </si>
  <si>
    <t>Basic CPU module CX5010, K-bus, Microsoft Windows Embedded Standard 2009, no TwinCAT</t>
  </si>
  <si>
    <t>CPU-Modul CX5010, K-Bus, Microsoft Windows Embedded Standard 2009, TwinCAT-2-PLC-Runtime</t>
  </si>
  <si>
    <t>Basic CPU module CX5010, K-bus, Microsoft Windows Embedded Standard 2009, TwinCAT 2 PLC run-time</t>
  </si>
  <si>
    <t>CPU-Modul CX5010, K-Bus, Microsoft Windows Embedded Standard 2009, TwinCAT-2-PLC-Runtime, TwinCAT-NC-Runtime</t>
  </si>
  <si>
    <t>Basic CPU module CX5010, K-bus, Microsoft Windows Embedded Standard 2009, TwinCAT 2 PLC run-time, TwinCAT 2 NC run-time</t>
  </si>
  <si>
    <t>CX5010-1125</t>
  </si>
  <si>
    <t>CPU-Modul CX5010, K-Bus, Microsoft Windows Embedded Standard 2009, TwinCAT-3-Runtime (XAR)</t>
  </si>
  <si>
    <t>Basic CPU module CX5010, K-bus, Microsoft Windows Embedded Standard 2009, TwinCAT 3 runtime (XAR)</t>
  </si>
  <si>
    <t>CX5010-B110</t>
  </si>
  <si>
    <t>CX5010-B310</t>
  </si>
  <si>
    <t>CX5010-B510</t>
  </si>
  <si>
    <t>CX5010-B930</t>
  </si>
  <si>
    <t>CX5010-B950</t>
  </si>
  <si>
    <t>CX5010-M310</t>
  </si>
  <si>
    <t>CX5010-M510</t>
  </si>
  <si>
    <t>CX5010-M930</t>
  </si>
  <si>
    <t>CX5010-N020</t>
  </si>
  <si>
    <t>Audio-Schnittstelle, 3 x 3,5-mm-Klinkenstecker, Line-In, Mic-In, Line-Out oder 5.1 Surround</t>
  </si>
  <si>
    <t>audio interface, 3 x 3.5 mm jack sockets, Line In, Mic In, Line Out or 5.1 Surround</t>
  </si>
  <si>
    <t>CX5010-N030</t>
  </si>
  <si>
    <t>CX5010-N031</t>
  </si>
  <si>
    <t>CX5010-N031-0001</t>
  </si>
  <si>
    <t>CX5010-N031-0002</t>
  </si>
  <si>
    <t>CX5010-N031-0003</t>
  </si>
  <si>
    <t>CX5010-N031-0004</t>
  </si>
  <si>
    <t>CX5020</t>
  </si>
  <si>
    <t>Hutschienen-Industrie-PC
– Prozessor Intel® Atom™ Z530, 1,6-GHz-Taktfrequenz (TC3: 40)
– Flash-Speicher: 128-MByte-Compact-Flash-Karte (austauschbar, erweiterbar)
– 512 MB RAM (intern, optional 1 GB, siehe Zubehör)
– 2 x RJ45-Ethernet-Anschluss 10/100/1000 MBit
– 4 x USB-2.0-Schnittstelle
– 1 x DVI-D-Schnittstelle
– 1-Sekunden-USV integriert (für 1 MB persistente Daten auf CF-Karte)
– interne, batteriegepufferte Uhr für Zeit und Datum (Batterie wechselbar)
– Compact-Flash-Typ I oder II, Einschub mit Auswurfmechanik
– Diagnose-LED: 1 x Power, 1 x TC-Status, 1 x Flash-Zugriff, 2 x Bus-Status
– max. 12,5 W (einschließlich der Systemschnittstellen)
– Schutzart: IP 20
– Betriebs-/Lagertemperatur: -25 °C … +60 °C/-40 °C … +85 °C
– Gewicht: ca. 575 g
– Abmessungen (B x H x T): 100 mm x 106 mm x 92 mm</t>
  </si>
  <si>
    <t>DIN rail Industrial PC 
– processor Intel® Atom™ Z530, 1.6 GHz clock frequency (TC3: 40)
– Flash memory: 128 MB Compact Flash card (exchangeable, expandable)
– 512 MB RAM (internal, optionally expandable to 1 GB)
– 2 x RJ45 Ethernet connector 10/100/1000 Mbit
– 4 x USB 2.0 interfaces
– 1 x DVI-D interface
– integrated 1-second UPS (for 1 MB persistent data on Compact Flash card)
– internal battery-backed clock for time and date (battery exchangeable)
– Compact Flash storage slot type I or II with ejector
– Diagnostics LED: 1 x power, 1 x TC status, 1 x flash access, 2 x bus status
– max. power consumption: 12.5 W (including the system interfaces)
– protection class IP 20
– operating/storage temperature -25 °C ... +60 °C/-40 °C ... +85 °C
– weight approx. 575 g
– dimensions (W x H x D) 100 mm x 106 mm x 92 mm</t>
  </si>
  <si>
    <t>Basic CPU module CX5020, E-bus, no operating system, no TwinCAT</t>
  </si>
  <si>
    <t>Basic CPU module CX5020, E-bus, Microsoft Windows Embedded CE 6.0, no TwinCAT</t>
  </si>
  <si>
    <t>CPU-Modul CX5020, E-Bus, Microsoft Windows Embedded CE 6.0, TwinCAT-2-PLC-Runtime</t>
  </si>
  <si>
    <t>Basic CPU module CX5020, E-bus, Microsoft Windows Embedded CE 6.0, TwinCAT 2 PLC run-time</t>
  </si>
  <si>
    <t>CPU-Modul CX5020, E-Bus, Microsoft Windows Embedded CE 6.0, TwinCAT-2-PLC-Runtime, TwinCAT-2-NC-Runtime</t>
  </si>
  <si>
    <t>Basic CPU module CX5020, E-bus, Microsoft Windows Embedded CE 6.0, TwinCAT 2 PLC run-time, TwinCAT 2 NC run-time</t>
  </si>
  <si>
    <t>CX5020-0115</t>
  </si>
  <si>
    <t>CPU-Modul CX5020, E-Bus, Microsoft Windows Embedded CE 6.0, TwinCAT-3-Runtime (XAR)</t>
  </si>
  <si>
    <t>Basic CPU module CX5020, E-bus, Microsoft Windows Embedded CE 6.0, TwinCAT 3 runtime (XAR)</t>
  </si>
  <si>
    <t>CPU-Modul CX5020, E-Bus, Microsoft Windows Embedded Standard 2009, kein TwinCAT</t>
  </si>
  <si>
    <t>Basic CPU module CX5020, E-bus, Microsoft Windows Embedded Standard 2009, no TwinCAT</t>
  </si>
  <si>
    <t>CPU-Modul CX5020, E-Bus, Microsoft Windows Embedded Standard 2009, TwinCAT-2-PLC-Runtime</t>
  </si>
  <si>
    <t>Basic CPU module CX5020, E-bus, Microsoft Windows Embedded Standard 2009, TwinCAT 2 PLC run-time</t>
  </si>
  <si>
    <t>CPU-Modul CX5020, E-Bus, Microsoft Windows Embedded Standard 2009, TwinCAT-2-PLC-Runtime, TwinCAT-2-NC-Runtime</t>
  </si>
  <si>
    <t>Basic CPU module CX5020, E-bus, Microsoft Windows Embedded Standard 2009, TwinCAT 2 PLC run-time, TwinCAT 2 NC run-time</t>
  </si>
  <si>
    <t>CX5020-0125</t>
  </si>
  <si>
    <t>CPU-Modul CX5020, E-Bus, Microsoft Windows Embedded Standard 2009, TwinCAT-3-Runtime (XAR)</t>
  </si>
  <si>
    <t>Basic CPU module CX5020, E-bus, Microsoft Windows Embedded Standard 2009, TwinCAT 3 runtime (XAR)</t>
  </si>
  <si>
    <t>Basic CPU module CX5020, K-bus, no operating system, no TwinCAT</t>
  </si>
  <si>
    <t>Basic CPU module CX5020, K-bus, Microsoft Windows Embedded CE 6.0, no TwinCAT</t>
  </si>
  <si>
    <t>CPU-Modul CX5020, K-Bus, Microsoft Windows Embedded CE 6.0, TwinCAT-2-PLC-Runtime</t>
  </si>
  <si>
    <t>Basic CPU module CX5020, K-bus, Microsoft Windows Embedded CE 6.0, TwinCAT 2 PLC run-time</t>
  </si>
  <si>
    <t>CPU-Modul CX5020, K-Bus, Microsoft Windows Embedded CE 6.0, TwinCAT-2-PLC-Runtime, TwinCAT-2-NC-Runtime</t>
  </si>
  <si>
    <t>Basic CPU module CX5020, K-bus, Microsoft Windows Embedded CE 6.0, TwinCAT 2 PLC run-time, TwinCAT 2 NC run-time</t>
  </si>
  <si>
    <t>CX5020-1115</t>
  </si>
  <si>
    <t>CPU-Modul CX5020, K-Bus, Microsoft Windows Embedded CE 6.0, TwinCAT-3-Runtime (XAR)</t>
  </si>
  <si>
    <t>Basic CPU module CX5020, K-bus, Microsoft Windows Embedded CE 6.0, TwinCAT 3 runtime (XAR)</t>
  </si>
  <si>
    <t>CPU-Modul CX5020, K-Bus, Microsoft Windows Embedded Standard 2009, kein TwinCAT</t>
  </si>
  <si>
    <t>Basic CPU module CX5020, K-bus, Microsoft Windows Embedded Standard 2009, no TwinCAT</t>
  </si>
  <si>
    <t>CPU-Modul CX5020, K-Bus, Microsoft Windows Embedded Standard 2009, TwinCAT-2-PLC-Runtime</t>
  </si>
  <si>
    <t>Basic CPU module CX5020, K-bus, Microsoft Windows Embedded Standard 2009, TwinCAT 2 PLC run-time</t>
  </si>
  <si>
    <t>CPU-Modul CX5020, K-Bus, Microsoft Windows Embedded Standard 2009, TwinCAT-2-PLC-Runtime, TwinCAT-2-NC-Runtime</t>
  </si>
  <si>
    <t>Basic CPU module CX5020, K-bus, Microsoft Windows Embedded Standard 2009, TwinCAT 2 PLC run-time, TwinCAT 2 NC run-time</t>
  </si>
  <si>
    <t>CX5020-1125</t>
  </si>
  <si>
    <t>CPU-Modul CX5020, K-Bus, Microsoft Windows Embedded Standard 2009, TwinCAT-3-Runtime (XAR)</t>
  </si>
  <si>
    <t>Basic CPU module CX5020, K-bus, Microsoft Windows Embedded Standard 2009, TwinCAT 3 runtime (XAR)</t>
  </si>
  <si>
    <t>CX5020-B110</t>
  </si>
  <si>
    <t>CX5020-B310</t>
  </si>
  <si>
    <t>CX5020-B510</t>
  </si>
  <si>
    <t>CX5020-B930</t>
  </si>
  <si>
    <t>CX5020-B950</t>
  </si>
  <si>
    <t>CX5020-M310</t>
  </si>
  <si>
    <t>CX5020-M510</t>
  </si>
  <si>
    <t>CX5020-M930</t>
  </si>
  <si>
    <t>CX5020-N020</t>
  </si>
  <si>
    <t>CX5020-N030</t>
  </si>
  <si>
    <t>CX5020-N031</t>
  </si>
  <si>
    <t>CX5020-N031-0001</t>
  </si>
  <si>
    <t>CX5020-N031-0002</t>
  </si>
  <si>
    <t>CX5020-N031-0003</t>
  </si>
  <si>
    <t>CX5020-N031-0004</t>
  </si>
  <si>
    <t>CX5120</t>
  </si>
  <si>
    <t>Hutschienen-Industrie-PC
– Prozessor Intel® Atom™ E3815, 1,46 GHz, 1 Core (TC3: 40)
– Flash-Speicher: Einschub für CFast-Karte (Karte nicht enthalten), Einschub für MicroSD-Karte
– interner Arbeitsspeicher: 2 GB DDR3-RAM (intern, nicht erweiterbar)
– 2 x RJ45-Ethernet-Anschluss 10/100/1000 MBit
– 4 x USB-2.0-Schnittstelle
– 1 x DVI-I-Schnittstelle
– 1-Sekunden-USV integriert (für 1 MB persistente Daten auf CFast-Karte)
– interne, batteriegepufferte Uhr für Zeit und Datum (Batterie wechselbar)
– max. 9 W Verlustleistung (einschließlich der Systemschnittstellen)
– Schutzart: IP 20
– Betriebs-/Lagertemperatur: -25 °C … +60 °C/-40 °C … +85 °C
– Gewicht: ca. 860 g
– Abmessungen (B x H x T): 124 mm x 100 mm x 92 mm</t>
  </si>
  <si>
    <t>DIN rail Industrial PC
– processor Intel® Atom™ E3815, 1.46 GHz, 1 core (TC3: 40)
– flash memory: slot for CFast card (card not included), slot for microSD card
– internal main memory: 2 GB DDR3 RAM (not expandable)
– 2 x RJ45 Ethernet connector 10/100/1000 Mbit
– 4 x USB 2.0 interfaces
– 1 x DVI-I interface
– integrated 1-second UPS (for 1 MB of persistent data on CFast card)
– internal battery-backed clock for time and date (battery exchangeable)
– max. power consumption: 9 W (including the system interfaces)
– protection class IP 20
– operating/storage temperature -25 °C ... +60 °C/-40 °C ... +85 °C
– weight approx. 860 g
– dimensions (W x H x D) 124 mm x 100 mm x 92 mm</t>
  </si>
  <si>
    <t>Basic CPU module CX5120, no operating system, no TwinCAT</t>
  </si>
  <si>
    <t>CPU-Modul CX5120, Microsoft Windows Embedded Standard 7 P, 32 Bit, kein TwinCAT</t>
  </si>
  <si>
    <t>Basic CPU module CX5120, Microsoft Windows Embedded Standard 7 P, 32 bit, no TwinCAT</t>
  </si>
  <si>
    <t>CPU-Modul CX5120, Microsoft Windows Embedded Standard 7 P, 32 Bit, TwinCAT-2-PLC-Runtime</t>
  </si>
  <si>
    <t>Basic CPU module CX5120, Microsoft Windows Embedded Standard 7 P, 32 bit, TwinCAT 2 PLC run-time</t>
  </si>
  <si>
    <t>CPU-Modul CX5120, Microsoft Windows Embedded Standard 7 P, 32 Bit, TwinCAT-2-PLC-Runtime, TwinCAT-2-NC-Runtime</t>
  </si>
  <si>
    <t>Basic CPU module CX5120, Microsoft Windows Embedded Standard 7 P, 32 bit, TwinCAT 2 PLC run-time, TwinCAT 2 NC run-time</t>
  </si>
  <si>
    <t>CPU-Modul CX5120, Microsoft Windows Embedded Standard 7 P, 32 Bit, TwinCAT-2-PLC-Runtime, TwinCAT-2-NC-Runtime, TwinCAT-2-NC-I-Runtime</t>
  </si>
  <si>
    <t>Basic CPU module CX5120, Microsoft Windows Embedded Standard 7 P, 32 bit, TwinCAT 2 PLC run-time, TwinCAT 2 NC run-time, TwinCAT 2 NC I run-time</t>
  </si>
  <si>
    <t>CX5120-0125</t>
  </si>
  <si>
    <t>CPU-Modul CX5120, Microsoft Windows Embedded Standard 7 P, 32 Bit, TwinCAT-3-Runtime (XAR)</t>
  </si>
  <si>
    <t>Basic CPU module CX5120, Microsoft Windows Embedded Standard 7 P, 32 bit, TwinCAT 3 runtime (XAR)</t>
  </si>
  <si>
    <t>CPU-Modul CX5120, Microsoft Windows Embedded Standard 7 P, 64 Bit, kein TwinCAT</t>
  </si>
  <si>
    <t>Basic CPU module CX5120, Microsoft Windows Embedded Standard 7 P, 64 bit, no TwinCAT</t>
  </si>
  <si>
    <t>CX5120-0135</t>
  </si>
  <si>
    <t>CPU-Modul CX5120, Microsoft Windows Embedded Standard 7 P, 64 Bit, TwinCAT-3-Runtime (XAR)</t>
  </si>
  <si>
    <t>Basic CPU module CX5120, Microsoft Windows Embedded Standard 7 P, 64 bit, TwinCAT 3 runtime (XAR)</t>
  </si>
  <si>
    <t>CX5120-B110</t>
  </si>
  <si>
    <t>CX5120-B310</t>
  </si>
  <si>
    <t>CX5120-B510</t>
  </si>
  <si>
    <t>CX5120-B930</t>
  </si>
  <si>
    <t>CX5120-B950</t>
  </si>
  <si>
    <t>CX5120-M310</t>
  </si>
  <si>
    <t>CX5120-M510</t>
  </si>
  <si>
    <t>CX5120-M930</t>
  </si>
  <si>
    <t>CX5120-N020</t>
  </si>
  <si>
    <t>CX5120-N030</t>
  </si>
  <si>
    <t>RS232-Schnittstelle, D-Sub-Stecker, 9-polig (RXD, TXD, RTS, CTS)</t>
  </si>
  <si>
    <t>RS232 interface, D-sub plug, 9-pin (RXD, TXD, RTS, CTS)</t>
  </si>
  <si>
    <t>CX5120-N031</t>
  </si>
  <si>
    <t>CX5120-N031-0001</t>
  </si>
  <si>
    <t>CX5120-N031-0002</t>
  </si>
  <si>
    <t>CX5120-N031-0003</t>
  </si>
  <si>
    <t>CX5120-N031-0004</t>
  </si>
  <si>
    <t>CX5130</t>
  </si>
  <si>
    <t>Hutschienen-Industrie-PC
– Prozessor Intel® Atom™ E3827, 1,75 GHz, 2 Cores (TC3: 40)
– Flash-Speicher: Einschub für CFast-Karte (Karte nicht enthalten), Einschub für MicroSD-Karte
– interner Arbeitsspeicher: 4 GB DDR3-RAM (intern, nicht erweiterbar)
– 2 x RJ45-Ethernet-Anschluss 10/100/1000 MBit
– 4 x USB-2.0-Schnittstelle
– 1 x DVI-I-Schnittstelle
– 1-Sekunden-USV integriert (für 1 MB persistente Daten auf CFast-Karte)
– interne, batteriegepufferte Uhr für Zeit und Datum (Batterie wechselbar)
– max. 11 W Verlustleistung (einschließlich der Systemschnittstellen)
– Schutzart: IP 20
– Betriebs-/Lagertemperatur: -25 °C … +60 °C/-40 °C … +85 °C
– Gewicht: ca. 960 g
– Abmessungen (B x H x T): 142 mm x 100 mm x 92 mm</t>
  </si>
  <si>
    <t>DIN rail Industrial PC
– processor Intel® Atom™ E3827, 1.75 GHz, 2 cores (TC3: 40)
– flash memory: slot for CFast card (card not included), slot for microSD card
– internal main memory: 4 GB DDR3 RAM (not expandable)
– 2 x RJ45 Ethernet connector 10/100/1000 Mbit
– 4 x USB 2.0 interfaces
– 1 x DVI-I interface
– integrated 1-second UPS (for 1 MB of persistent data on CFast card)
– internal battery-backed clock for time and date (battery exchangeable)
– max. power consumption: 11 W (including the system interfaces)
– protection class IP 20
– operating/storage temperature -25 °C ... +60 °C/-40 °C ... +85 °C
– weight approx. 960 g
– dimensions (W x H x D) 142 mm x 100 mm x 92 mm</t>
  </si>
  <si>
    <t>Basic CPU module CX5130, no operating system, no TwinCAT</t>
  </si>
  <si>
    <t>CPU-Modul CX5130, Microsoft Windows Embedded Standard 7 P, 32 Bit, kein TwinCAT</t>
  </si>
  <si>
    <t>Basic CPU module CX5130, Microsoft Windows Embedded Standard 7 P, 32 bit, no TwinCAT</t>
  </si>
  <si>
    <t>CPU-Modul CX5130, Microsoft Windows Embedded Standard 7 P, 32 Bit, TwinCAT-2-PLC-Runtime</t>
  </si>
  <si>
    <t>Basic CPU module CX5130, Microsoft Windows Embedded Standard 7 P, 32 bit, TwinCAT 2 PLC run-time</t>
  </si>
  <si>
    <t>CPU-Modul CX5130, Microsoft Windows Embedded Standard 7 P, 32 Bit, TwinCAT-2-PLC-Runtime, TwinCAT-2-NC-Runtime</t>
  </si>
  <si>
    <t>Basic CPU module CX5130, Microsoft Windows Embedded Standard 7 P, 32 bit, TwinCAT 2 PLC run-time, TwinCAT 2 NC run-time</t>
  </si>
  <si>
    <t>CPU-Modul CX5130, Microsoft Windows Embedded Standard 7 P, 32 Bit, TwinCAT-2-PLC-Runtime, TwinCAT-2-NC-Runtime, TwinCAT-2-NC-I-Runtime</t>
  </si>
  <si>
    <t>Basic CPU module CX5130, Microsoft Windows Embedded Standard 7 P, 32 bit, TwinCAT 2 PLC run-time, TwinCAT 2 NC run-time, TwinCAT 2 NC I run-time</t>
  </si>
  <si>
    <t>CX5130-0125</t>
  </si>
  <si>
    <t>CPU-Modul CX5130, Microsoft Windows Embedded Standard 7 P, 32 Bit, TwinCAT-3-Runtime (XAR)</t>
  </si>
  <si>
    <t>Basic CPU module CX5130, Microsoft Windows Embedded Standard 7 P, 32 bit, TwinCAT 3 runtime (XAR)</t>
  </si>
  <si>
    <t>CPU-Modul CX5130, Microsoft Windows Embedded Standard 7 P, 64 Bit, kein TwinCAT</t>
  </si>
  <si>
    <t>Basic CPU module CX5130, Microsoft Windows Embedded Standard 7 P, 64 bit, no TwinCAT</t>
  </si>
  <si>
    <t>CX5130-0135</t>
  </si>
  <si>
    <t>CPU-Modul CX5130, Microsoft Windows Embedded Standard 7 P, 64 Bit, TwinCAT-3-Runtime (XAR)</t>
  </si>
  <si>
    <t>Basic CPU module CX5130, Microsoft Windows Embedded Standard 7 P, 64 bit, TwinCAT 3 runtime (XAR)</t>
  </si>
  <si>
    <t>CX5130-B110</t>
  </si>
  <si>
    <t>CX5130-B310</t>
  </si>
  <si>
    <t>CX5130-B510</t>
  </si>
  <si>
    <t>CX5130-B930</t>
  </si>
  <si>
    <t>CX5130-B950</t>
  </si>
  <si>
    <t>CX5130-M310</t>
  </si>
  <si>
    <t>CX5130-M510</t>
  </si>
  <si>
    <t>CX5130-M930</t>
  </si>
  <si>
    <t>CX5130-N010</t>
  </si>
  <si>
    <t>CX5130-N020</t>
  </si>
  <si>
    <t>CX5130-N030</t>
  </si>
  <si>
    <t>CX5130-N031</t>
  </si>
  <si>
    <t>CX5130-N031-0001</t>
  </si>
  <si>
    <t>CX5130-N031-0002</t>
  </si>
  <si>
    <t>CX5130-N031-0003</t>
  </si>
  <si>
    <t>CX5130-N031-0004</t>
  </si>
  <si>
    <t>CX5140</t>
  </si>
  <si>
    <t>Hutschienen-Industrie-PC
– Prozessor Intel® Atom™ E3845, 1,91 GHz, 4 Cores (TC3: 50)
– Flash-Speicher: Einschub für CFast-Karte (Karte nicht enthalten), Einschub für MicroSD-Karte
– interner Arbeitsspeicher: 4 GB DDR3-RAM (intern, nicht erweiterbar)
– 2 x RJ45-Ethernet-Anschluss 10/100/1000 MBit
– 4 x USB-2.0-Schnittstelle
– 1 x DVI-I-Schnittstelle
– 1-Sekunden-USV integriert (für 1 MB persistente Daten auf CFast-Karte)
– interne, batteriegepufferte Uhr für Zeit und Datum (Batterie wechselbar)
– max. 12 W Verlustleistung (einschließlich der Systemschnittstellen)
– Schutzart: IP 20
– Betriebs-/Lagertemperatur: -25 °C … +60 °C/-40 °C … +85 °C
– Gewicht: ca. 960 g
– Abmessungen (B x H x T): 142 mm x 100 mm x 92 mm</t>
  </si>
  <si>
    <t>DIN rail Industrial PC
– processor Intel® Atom™ E3845, 1.91 GHz, 4 cores (TC3: 50)
– flash memory: slot for CFast card (card not included), slot for microSD card
– internal main memory: 4 GB DDR3 RAM (not expandable)
– 2 x RJ45 Ethernet connector 10/100/1000 Mbit
– 4 x USB 2.0 interfaces
– 1 x DVI-I interface
– integrated 1-second UPS (for 1 MB of persistent data on CFast card)
– internal battery-backed clock for time and date (battery exchangeable)
– max. power consumption: 12 W (including the system interfaces)
– protection class IP 20
– operating/storage temperature -25 °C ... +60 °C/-40 °C ... +85 °C
– weight approx. 960 g
– dimensions (W x H x D) 142 mm x 100 mm x 92 mm</t>
  </si>
  <si>
    <t>Basic CPU module CX5140, no operating system, no TwinCAT</t>
  </si>
  <si>
    <t>CPU-Modul CX5140, Microsoft Windows Embedded Standard 7 P, 32 Bit, kein TwinCAT</t>
  </si>
  <si>
    <t>Basic CPU module CX5140, Microsoft Windows Embedded Standard 7 P, 32 bit, no TwinCAT</t>
  </si>
  <si>
    <t>CPU-Modul CX5140, Microsoft Windows Embedded Standard 7 P, 32 Bit, TwinCAT-2-PLC-Runtime</t>
  </si>
  <si>
    <t>Basic CPU module CX5140, Microsoft Windows Embedded Standard 7 P, 32 bit, TwinCAT 2 PLC run-time</t>
  </si>
  <si>
    <t>CPU-Modul CX5140, Microsoft Windows Embedded Standard 7 P, 32 Bit, TwinCAT-2-PLC-Runtime, TwinCAT-2-NC-Runtime</t>
  </si>
  <si>
    <t>Basic CPU module CX5140, Microsoft Windows Embedded Standard 7 P, 32 bit, TwinCAT 2 PLC run-time, TwinCAT 2 NC run-time</t>
  </si>
  <si>
    <t>CPU-Modul CX5140, Microsoft Windows Embedded Standard 7 P, 32 Bit, TwinCAT-2-PLC-Runtime, TwinCAT-2-NC-Runtime, TwinCAT-2-NC-I-Runtime</t>
  </si>
  <si>
    <t>Basic CPU module CX5140, Microsoft Windows Embedded Standard 7 P, 32 bit, TwinCAT 2 PLC run-time, TwinCAT 2 NC run-time, TwinCAT 2 NC I run-time</t>
  </si>
  <si>
    <t>CX5140-0125</t>
  </si>
  <si>
    <t>CPU-Modul CX5140, Microsoft Windows Embedded Standard 7 P, 32 Bit, TwinCAT-3-Runtime (XAR)</t>
  </si>
  <si>
    <t>Basic CPU module CX5140, Microsoft Windows Embedded Standard 7 P, 32 bit, TwinCAT 3 runtime (XAR)</t>
  </si>
  <si>
    <t>CPU-Modul CX5140, Microsoft Windows Embedded Standard 7 P, 64 Bit, kein TwinCAT</t>
  </si>
  <si>
    <t>Basic CPU module CX5140, Microsoft Windows Embedded Standard 7 P, 64 bit, no TwinCAT</t>
  </si>
  <si>
    <t>CX5140-0135</t>
  </si>
  <si>
    <t>CPU-Modul CX5140, Microsoft Windows Embedded Standard 7 P, 64 Bit, TwinCAT-3-Runtime (XAR)</t>
  </si>
  <si>
    <t>Basic CPU module CX5140, Microsoft Windows Embedded Standard 7 P, 64 bit, TwinCAT 3 runtime (XAR)</t>
  </si>
  <si>
    <t>CX5140-B110</t>
  </si>
  <si>
    <t>CX5140-B310</t>
  </si>
  <si>
    <t>CX5140-B510</t>
  </si>
  <si>
    <t>CX5140-B930</t>
  </si>
  <si>
    <t>CX5140-B950</t>
  </si>
  <si>
    <t>CX5140-M310</t>
  </si>
  <si>
    <t>CX5140-M510</t>
  </si>
  <si>
    <t>CX5140-M930</t>
  </si>
  <si>
    <t>CX5140-N010</t>
  </si>
  <si>
    <t>CX5140-N020</t>
  </si>
  <si>
    <t>CX5140-N030</t>
  </si>
  <si>
    <t>CX5140-N031</t>
  </si>
  <si>
    <t>CX5140-N031-0001</t>
  </si>
  <si>
    <t>CX5140-N031-0002</t>
  </si>
  <si>
    <t>CX5140-N031-0003</t>
  </si>
  <si>
    <t>CX5140-N031-0004</t>
  </si>
  <si>
    <t>Hutschienen-Industrie-PC
– 32 Bit, 400-MHz-CPU
– 512 MB MicroSD Flash-Speicher (optional 1 GB, 2 GB oder 4 GB)
– 64 MB interner Arbeitsspeicher
– Protokoll: EtherCAT (Slave)
– Betriebssystem: Microsoft Windows Embedded CE 6.0
– Programmierung: TwinCAT 2 PLC
– Schnittstellen: 1 x Ethernet 10/100 MBit/s (RJ45), 1 x USB-Device (hinter der Frontklappe)
– Businterface: EtherCAT IN und OUT (2 x RJ45)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</si>
  <si>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EtherCAT (slave)
– operating system: Microsoft Windows Embedded CE 6.0
– programming: TwinCAT 2 PLC
– interfaces: 1 x Ethernet 10/100 Mbit/s (RJ45), 1 x USB device (behind the front flap)
– bus interface: EtherCAT IN and OUT (2 x RJ45)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</si>
  <si>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PROFIBUS-DP (Master)
– Betriebssystem: Microsoft Windows Embedded CE 6.0
– Programmierung: TwinCAT 2 PLC
– Schnittstellen: 1 x Ethernet 10/100 MBit/s (RJ45), 1 x USB-Device (hinter der Frontklappe)
– Businterface: 1 x PROFIBUS (D-Sub-Stecker RS485, 9-polig mit Schirmung)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</si>
  <si>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(TC3: 20)
– 512 MB microSD flash memory (optionally 1 GB, 2 GB or 4 GB)
– 64 MB internal main memory
– protocol: PROFIBUS-DP master
– operating system: Microsoft Windows Embedded CE 6.0
– programming: TwinCAT 2 PLC
– interfaces: 1 x Ethernet 10/100 Mbit/s (RJ45), 1 x USB device (behind the front flap)
– bus interface: 1 x PROFIBUS (D-sub RS485, 9-pin socket with shielding)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</si>
  <si>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PROFIBUS-DP (Slave)
– Betriebssystem: Microsoft Windows Embedded CE 6.0
– Programmierung: TwinCAT 2 PLC
– Schnittstellen: 1 x Ethernet 10/100 MBit/s (RJ45), 1 x USB-Device (hinter der Frontklappe)
– Businterface: 1 x PROFIBUS (D-Sub-Stecker RS485, 9-polig mit Schirmung)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</si>
  <si>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PROFIBUS-DP slave
– operating system: Microsoft Windows Embedded CE 6.0
– programming: TwinCAT 2 PLC
– interfaces: 1 x Ethernet 10/100 Mbit/s (RJ45), 1 x USB device (behind the front flap)
– bus interface: 1 x PROFIBUS (D-sub RS485, 9-pin socket with shielding)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</si>
  <si>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CANopen (Master), CAN-Layer-2-Kommunikation
– Betriebssystem: Microsoft Windows Embedded CE 6.0
– Programmierung: TwinCAT 2 PLC
– Schnittstellen: 1 x Ethernet 10/100 MBit/s (RJ45), 1 x USB-Device (hinter der Frontklappe)
– Businterface: D-Sub-Stecker, galvanisch entkoppelt, 9-polig, nach CANopen-Spezifikation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</si>
  <si>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CANopen master, CAN Layer 2 Kommunikation
– operating system: Microsoft Windows Embedded CE 6.0
– programming: TwinCAT 2 PLC
– interfaces: 1 x Ethernet 10/100 Mbit/s (RJ45), 1 x USB device (behind the front flap)
– bus interface: D-sub connector, 9-pin according to CANopen specification, galvanically decoupled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</si>
  <si>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CANopen (Slave)
– Betriebssystem: Microsoft Windows Embedded CE 6.0
– Programmierung: TwinCAT 2 PLC
– Schnittstellen: 1 x Ethernet 10/100 MBit/s (RJ45), 1 x USB-Device (hinter der Frontklappe)
– Businterface: D-Sub-Stecker, galvanisch entkoppelt, 9-polig, nach CANopen-Spezifikation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</si>
  <si>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CANopen slave
– operating system: Microsoft Windows Embedded CE 6.0
– programming: TwinCAT 2 PLC
– interfaces: 1 x Ethernet 10/100 Mbit/s (RJ45), 1 x USB device (behind the front flap)
– bus interface: D-sub connector, 9-pin according to CANopen specification, galvanically decoupled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</si>
  <si>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serielle Kommunikation RS232/RS485
– Betriebssystem: Microsoft Windows Embedded CE 6.0
– Programmierung: TwinCAT 2 PLC
– Schnittstellen: 1 x Ethernet 10/100 MBit/s (RJ45), 1 x USB-Device (hinter der Frontklappe)
– Businterface: D-Sub-Stecker, 9-polig, RS232/RS485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</si>
  <si>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serial communication RS232/RS485
– operating system: Microsoft Windows Embedded CE 6.0
– programming: TwinCAT 2 PLC
– interfaces: 1 x Ethernet 10/100 Mbit/s (RJ45), 1 x USB device (behind the front flap)
– bus interface: D-sub connector, 9-pin, RS232/RS485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</si>
  <si>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Realtime-Ethernet, ADS UDP, ADS TCP, ModbusTCP, TCP/IP, UDP/IP, EAP (EtherCAT Automation Protocol)
– Betriebssystem: Microsoft Windows Embedded CE 6.0
– Programmierung: TwinCAT 2 PLC
– Schnittstellen: 1 x Ethernet 10/100 MBit/s (RJ45), 1 x USB-Device (hinter der Frontklappe)
– Businterface: 2 x Ethernet RJ45 (switched)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</si>
  <si>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real-time Ethernet, ADS UDP, ADS TCP, ModbusTCP, TCP/IP, UDP/IP, EAP (EtherCAT Automation Protocol)
– operating system: Microsoft Windows Embedded CE 6.0
– programming: TwinCAT 2 PLC 
– interfaces: 1 x Ethernet 10/100 Mbit/s (RJ45), 1 x USB device (behind the front flap)
– bus interface: 2 x Ethernet RJ45 (switched)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</si>
  <si>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BACnet/IP oder OPC UA
– Betriebssystem: Microsoft Windows Embedded CE 6.0
– Programmierung: TwinCAT 2 PLC
– Schnittstellen: 1 x Ethernet 10/100 MBit/s (RJ45), 1 x USB-Device (hinter der Frontklappe)
– Businterface: 2 x Ethernet RJ45 (switched)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</si>
  <si>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BACnet/IP or OPC UA
– operating system: Microsoft Windows Embedded CE 6.0
– programming: TwinCAT 2 PLC
– interfaces: 1 x Ethernet 10/100 Mbit/s (RJ45), 1 x USB device (behind the front flap)
– bus interface: 2 x Ethernet RJ45 (switched)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</si>
  <si>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PROFINET-RT-Device
– Betriebssystem: Microsoft Windows Embedded CE 6.0
– Programmierung: TwinCAT 2 PLC
– Schnittstellen: 1 x Ethernet 10/100 MBit/s (RJ45), 1 x USB-Device (hinter der Frontklappe)
– Businterface: 2 x Ethernet RJ45 (switched)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</si>
  <si>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PROFINET RT device
– operating system: Microsoft Windows Embedded CE 6.0
– programming: TwinCAT 2 PLC
– interfaces: 1 x Ethernet 10/100 Mbit/s (RJ45), 1 x USB device (behind the front flap)
– bus interface: 2 x Ethernet RJ45 (switched)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</si>
  <si>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Hutschienen-Industrie-PC
– 32 Bit, 400-MHz-CPU
– 512 MB MicroSD Flash-Speicher (optional 1 GB, 2 GB oder 4 GB)
– 64 MB interner Arbeitsspeicher
– Protokoll: EtherNet/IP (Slave)
– Betriebssystem: Microsoft Windows Embedded CE 6.0
– Programmierung: TwinCAT 2 PLC
– Schnittstellen: 1 x Ethernet 10/100 MBit/s (RJ45), 1 x USB-Device (hinter der Frontklappe)
– Businterface: 2 x Ethernet RJ45 (switched)
– I/O-Anschluss: E-Bus (EtherCAT-Klemmen) oder K-Bus (Busklemmen), automatische Erkennung
– Uhr: interne, batteriegepufferte Uhr für Zeit und Datum (Batterie hinter der Frontklappe, wechselbar)
– USV: 1-Sekunden-USV (für 1 MB persistente Daten)
– Schutzart: IP 20
– Abmessungen (B x H x T): 64 x 100 x 73 mm</t>
  </si>
  <si>
    <t>DIN rail Industrial PC
– 32 bit, 400 MHz CPU
– 512 MB microSD flash memory (optionally 1 GB, 2 GB or 4 GB)
– 64 MB internal main memory
– protocol: EtherNet/IP (slave)
– operating system: Microsoft Windows Embedded CE 6.0
– programming: TwinCAT 2 PLC
– interfaces: 1 x Ethernet 10/100 Mbit/s (RJ45), 1 x USB device (behind the front flap)
– bus interface: 2 x Ethernet RJ45 (switched)
– I/O connection: E-bus (EtherCAT Terminals) or K-bus (Bus Terminals), automatic detection
– clock: internal battery-backed clock for time and date (battery behind the front flap, exchangeable)
– UPS: 1-second UPS (for 1 MB of persistent data)
– protection class: IP 20
– dimensions (W x H x D) 64 x 100 x 73 mm</t>
  </si>
  <si>
    <t>CX8190</t>
  </si>
  <si>
    <t>Hutschienen-Industrie-PC
– 600-MHz-ARM-Cortex™-A9-Prozessor (TC3: 20)
– 512 MB DDR3-RAM interner Arbeitsspeicher (nicht erweiterbar)
– Flash-Speicher: 512-MB-MicroSD-Karte (austauschbar, erweiterbar)
– 1 x MicroSD-Kartenslot
– Protokoll: Realtime-Ethernet, ADS UDP, ADS TCP, EAP (EtherCAT Automation Protocol)
– Betriebssystem: Microsoft Windows Embedded Compact 7
– Programmierung: TwinCAT 3 (siehe Preisliste TwinCAT)
– Schnittstellen: 1 x Ethernet 10/100 MBit/s (RJ45)
– Businterface: 2 x Ethernet RJ45 (switched)
– I/O-Anschluss: E-Bus (EtherCAT-Klemmen) oder K-Bus (Busklemmen), automatische Erkennung
– Uhr: interne, batteriegepufferte Uhr für Zeit und Datum (Batterie hinter der Frontklappe, wechselbar)
– USV: 1-Sekunden-USV (für 1 MB persistente Daten)
– Schutzart: IP 20
– Betriebs-/Lagertemperatur: -25...+60 °C/-40...+85 °C
– Abmessungen (B x H x T): 71 x 100 x 73 mm</t>
  </si>
  <si>
    <t>DIN rail Industrial PC
– 600 MHz ARM Cortex™-A9 processor (TC3: 20)
– 512 MB DDR3 RAM internal memory (not expandable)
– flash memory: 512 MB microSD card (exchangeable, expandable)
– 1 x microSD card slot
– protocol: real-time Ethernet, ADS UDP, ADS TCP, EAP (EtherCAT Automation Protocol)
– operating system: Microsoft Windows Embedded Compact 7
– programming: TwinCAT 3 (see TwinCAT Price List) 
– interfaces: 1 x Ethernet 10/100 Mbit/s (RJ45)
– bus interface: 2 x Ethernet RJ45 (switched)
– I/O connection: E-bus (EtherCAT Terminals) or K-bus (Bus Terminals), automatic detection
– clock: internal battery-backed clock for time and date (battery behind the front flap, exchangeable)
– UPS: 1-second UPS (for 1 MB of persistent data)
– protection class: IP 20
– operating/storage temperature: -25...+60 °C/-40...+85 °C
– dimensions (W x H x D) 71 x 100 x 73 mm</t>
  </si>
  <si>
    <t>Basic CPU module CX9000, 16 Mbyte Flash/64 Mbyte RAM, E-bus, no TwinCAT</t>
  </si>
  <si>
    <t>CPU-Modul CX9000, 16 MByte Flash/64 MByte RAM, E-Bus, TwinCAT-2-PLC-Runtime</t>
  </si>
  <si>
    <t>Basic CPU module CX9000, 16 Mbyte Flash/64 Mbyte RAM, E-bus, TwinCAT 2 PLC run-time</t>
  </si>
  <si>
    <t>Basic CPU module CX9000, 16 Mbyte Flash/64 Mbyte RAM, K-bus, no TwinCAT</t>
  </si>
  <si>
    <t>CPU-Modul CX9000, 16 MByte Flash/64 MByte RAM, K-Bus, TwinCAT-2-PLC-Runtime</t>
  </si>
  <si>
    <t>Basic CPU module CX9000, 16 Mbyte Flash/64 Mbyte RAM, K-bus, TwinCAT 2 PLC run-time</t>
  </si>
  <si>
    <t>CX9000-A001</t>
  </si>
  <si>
    <t>Erweiterungsmodul für zusätzlichen Massenspeicher, Compact-Flash-Schnittstelle
– Compact-Flash-Steckplatz für Karten Typ I + II
– LED-Statusanzeige für PWR (Power), LOCK (Karte gesteckt) und CF (Zugriff)
– Schutzart: IP 20
– Betriebs-/Lagertemperatur: 0 °C ... +55 °C/-25 °C ... +85 °C
– Gewicht: ca. 80 g (ohne CF-Karte)
– Abmessungen (B x H x T): 19 x 100 x 51 mm</t>
  </si>
  <si>
    <t>Extension module for usage of a mass storage Compact Flash card
– Compact Flash card slot for cards type I and II
– front LED indicators for: PWR (power), LOCK (card inserted) and CF (access)
– protection class IP 20
– operating/storage temperature: 0 °C ... +55 °C/-25 °C ... +85 °C
– weight approx. 80 g (without CF card)
– dimensions (W x H x D) 19 x 100 x 51 mm</t>
  </si>
  <si>
    <t>CX9000-N010</t>
  </si>
  <si>
    <t>Interfacemodul für DVI/VGA + USB-Anschluss
– 2-D-Grafik-Controller: min. Auflösung 320 x 240, max. 1280 x 1024 (Beckhoff-19-Zoll-Panel)
– Standard-DVI-Schnittstelle (max. 5…7 m Kabellänge, auflösungsabhängig)
– DVI-Schnittstelle führt VGA-Signale aus 
  (Passiver Steckeradapter dient dem Anschluss von Standard-CRT-VGA-Monitoren.)
– 2 x USB-Ports 2,0, Typ A
– ab Werk vormontiert, nicht nachrüstbar
– Schutzart: IP 20
– Betriebs-/Lagertemperatur: 0 °C … +55 °C/-25 °C … +85 °C
– Gewicht: ca. 80 g
– Abmessungen (B x H x T): 19 x 100 x 51 mm</t>
  </si>
  <si>
    <t>Interface module for DVI+USB connection
– 2D graphics controller: min. resolution 320 x 240, max. 1280 x 1024 (Beckhoff 19" panels)
– standard DVI connector (max. 5...7 m cable length, resolution dependant)
– DVI connector includes VGA signals 
  (simple adaptor connects to desktop standard CRT-VGA monitors)
– 2 x USB 2.0 ports type A
– pre-assembled ex factory, cannot be upgraded
– protection class IP 20
– operating/storage temperature: 0 °C ... +55 °C/-25 °C ... +85 °C
– weight approx. 80 g
– dimensions (W x H x D) 19 x 100 x 51 mm</t>
  </si>
  <si>
    <t>CX9000-N030</t>
  </si>
  <si>
    <t>Interfacemodul für 2 x RS232-Schnittstellen (COM1 + COM2)
– volle 115 kBaud auf beiden Kanälen
– galvanisch getrennte Schnittstellen (optisch isoliert)
– COM1: RXD, TXD, RTS, CTS
– COM2: RXD, TXD, RTS, CTS
– ab Werk vormontiert, nicht nachrüstbar
– Schutzart: IP 20
– Betriebs-/Lagertemperatur: 0 °C … +55 °C/-25 °C … +85 °C
– Gewicht: ca. 80 g
– Abmessungen (B x H x T): 19 x 100 x 51 mm</t>
  </si>
  <si>
    <t>Interface module for 2 x RS232 connections (COM1 + COM2)
– full 115 kbaud on both channels
– electrically isolated interfaces (optically isolated)
– COM1: RXD, TXD, RTS, CTS
– COM2: RXD, TXD, RTS, CTS
– pre-assembled ex factory, cannot be upgraded
– protection class IP 20
– operating/storage temperature: 0 °C ... +55 °C/-25 °C ... +85 °C
– weight approx. 80 g
– dimensions (W x H x D) 19 x 100 x 51 mm</t>
  </si>
  <si>
    <t>CX9000-N031</t>
  </si>
  <si>
    <t>Interfacemodul für 2 x RS422/RS85-Schnittstellen, opto-isoliert (COM1 + COM2)
– volle 115 kBaud auf beiden Kanälen
– galvanisch getrennte Schnittstellen (optisch isoliert)
– Modi: RS485: mit/ohne Echo, mit/ohne Terminierung, RS422: Vollduplex
– COM1: RXD, TXD, RTS, CTS
– COM2: RXD, TXD, RTS, CTS
– kann nur anstelle von und nicht gleichzeitig mit CX9000-N030 verwendet werden
– ab Werk vormontiert, nicht nachrüstbar
– Schutzart: IP 20
– Betriebs-/Lagertemperatur: 0 °C … +55 °C/-25 °C … +85 °C
– Gewicht: ca. 80 g
– Abmessungen (B x H x T): 19 x 100 x 51 mm</t>
  </si>
  <si>
    <t>Interface module for 2 x RS422/RS485 connections optically isolated (COM1 + COM2)
– full 115 kbaud on both channels
– electrically isolated interfaces (optically isolated)
– modes: RS485: with/without echo, with/without termination, RS422: full duplex
– COM1: RXD, TXD, RTS, CTS
– COM2: RXD, TXD, RTS, CTS
– may not be used at the same time with CX9000-N030
– pre-assembled ex factory, cannot be upgraded
– protection class IP 20
– operating/storage temperature: 0 °C ... +55 °C/-25 °C ... +85 °C
– weight approx. 80 g
– dimensions (W x H x D) 19 x 100 x 51 mm</t>
  </si>
  <si>
    <t>CX9000-N070</t>
  </si>
  <si>
    <t>Erweiterungsmodul für zusätzliche 4 USB-Anschlüsse
– 4 x USB-2.0-Ports Type A, Stromabgabe max. 500 mA
– unterstützt USB-1.1- und USB-2.0-Standards
– Übertragungsraten von 1,5 MBit/s, 12 MBit/s und 480 MBit/s
– einfache Nachrüstung im Feld
– Schutzart IP 20
– Betriebs-/Lagertemperatur: 0°C ... +55°C/-25°C ... +85°C
– Gewicht: ca. 80 g
– Abmessungen (B x H x T): 19 x 100 x 51 mm</t>
  </si>
  <si>
    <t>Extension module for 4 USB ports
– 4 x USB 2.0 ports type A, current output max. 500 mA
– suppports USB 1.1 and USB 2.0 standard
– transfer rates: 1.5 Mbit/s, 12 Mbit/s and 480 Mbit/s
– for field assembly
– protection class IP 20
– operating/storage temperature: 0°C ... +55°C/-25°C ... +85°C
– weight: ca. 80 g
– dimensions (W x H x D): 19 x 100 x 51 mm</t>
  </si>
  <si>
    <t>Basic CPU module CX9000, 32 Mbyte Flash/128 Mbyte RAM, E-bus, no TwinCAT</t>
  </si>
  <si>
    <t>CPU-Modul CX9000, 32 MByte Flash/128 MByte RAM, E-Bus, TwinCAT-2-PLC-Runtime</t>
  </si>
  <si>
    <t>Basic CPU module CX9000, 32 Mbyte Flash/128 Mbyte RAM, E-bus, TwinCAT 2 PLC run-time</t>
  </si>
  <si>
    <t>Basic CPU module CX9000, 32 Mbyte Flash/128 Mbyte RAM, DVI/USB, E-bus, no TwinCAT</t>
  </si>
  <si>
    <t>CPU-Modul CX9000, 32 MByte Flash/128 MByte RAM, DVI/USB, E-Bus, TwinCAT-2-PLC-Runtime</t>
  </si>
  <si>
    <t>Basic CPU module CX9000, 32 Mbyte Flash/128 Mbyte RAM, DVI/USB, E-bus, TwinCAT 2 PLC run-time</t>
  </si>
  <si>
    <t>Basic CPU module CX9000, 32 Mbyte Flash/128 Mbyte RAM, K-bus, no TwinCAT</t>
  </si>
  <si>
    <t>CPU-Modul CX9000, 32 MByte Flash/128 MByte RAM, K-Bus, TwinCAT-2-PLC-Runtime</t>
  </si>
  <si>
    <t>Basic CPU module CX9000, 32 Mbyte Flash/128 Mbyte RAM, K-bus, TwinCAT 2 PLC run-time</t>
  </si>
  <si>
    <t>Basic CPU module CX9000, 32 Mbyte Flash/128 Mbyte RAM, DVI/USB, K-bus, no TwinCAT</t>
  </si>
  <si>
    <t>CPU-Modul CX9000, 32 MByte Flash/128 MByte RAM, DVI/USB, K-Bus, TwinCAT-2-PLC-Runtime</t>
  </si>
  <si>
    <t>Basic CPU module CX9000, 32 Mbyte Flash/128 Mbyte RAM, DVI/USB, K-bus, TwinCAT 2 PLC run-time</t>
  </si>
  <si>
    <t>Basic CPU module CX9010, E-bus, no TwinCAT</t>
  </si>
  <si>
    <t>CPU-Modul CX9010, E-Bus, TwinCAT-2-PLC-Runtime</t>
  </si>
  <si>
    <t>Basic CPU module CX9010, E-bus, TwinCAT 2 PLC run-time</t>
  </si>
  <si>
    <t>CPU-Modul CX9010, E-Bus, TwinCAT-2-NC-Runtime</t>
  </si>
  <si>
    <t>Basic CPU module CX9010, E-bus, TwinCAT 2 NC run-time</t>
  </si>
  <si>
    <t>Basic CPU module CX9010, DVI/USB, E-bus, no TwinCAT</t>
  </si>
  <si>
    <t>CPU-Modul CX9010, DVI/USB, E-Bus, TwinCAT-2-PLC-Runtime</t>
  </si>
  <si>
    <t>Basic CPU module CX9010, DVI/USB, E-bus, TwinCAT 2 PLC run-time</t>
  </si>
  <si>
    <t>CPU-Modul CX9010, DVI/USB, E-Bus, TwinCAT-2-NC-Runtime</t>
  </si>
  <si>
    <t>Basic CPU module CX9010, DVI/USB, E-bus, TwinCAT 2 NC run-time</t>
  </si>
  <si>
    <t>Basic CPU module CX9010, K-bus, no TwinCAT</t>
  </si>
  <si>
    <t>CPU-Modul CX9010, K-Bus, TwinCAT-2-PLC-Runtime</t>
  </si>
  <si>
    <t>Basic CPU module CX9010, K-bus, TwinCAT 2 PLC run-time</t>
  </si>
  <si>
    <t>CPU-Modul CX9010, K-Bus, TwinCAT-2-NC-Runtime</t>
  </si>
  <si>
    <t>Basic CPU module CX9010, K-bus, TwinCAT 2 NC run-time</t>
  </si>
  <si>
    <t>Basic CPU module CX9010, DVI/USB, K-bus, no TwinCAT</t>
  </si>
  <si>
    <t>CPU-Modul CX9010, DVI/USB, K-Bus, TwinCAT-2-PLC-Runtime</t>
  </si>
  <si>
    <t>Basic CPU module CX9010, DVI/USB, K-bus, TwinCAT 2 PLC run-time</t>
  </si>
  <si>
    <t>CPU-Modul CX9010, DVI/USB, K-Bus, TwinCAT-2-NC-Runtime</t>
  </si>
  <si>
    <t>Basic CPU module CX9010, DVI/USB, K-bus, TwinCAT 2 NC run-time</t>
  </si>
  <si>
    <t>CX9010-A001</t>
  </si>
  <si>
    <t>CX9010-N010</t>
  </si>
  <si>
    <t>Interface module for DVI/VGA+USB connection
– 2D graphics controller: min. resolution 320 x 240, max. 1280 x 1024 (Beckhoff 19" panels)
– standard DVI connector (max. 5...7 m cable length, resolution dependant)
– DVI connector includes VGA signals 
  (simple adaptor connects to desktop standard CRT-VGA monitors)
– 2 x USB 2.0 ports type A
– pre-assembled ex factory, cannot be upgraded
– protection class IP 20
– operating/storage temperature: 0 °C ... +55 °C/-25 °C ... +85 °C
– weight approx. 80 g
– dimensions (W x H x D) 19 x 100 x 51 mm</t>
  </si>
  <si>
    <t>CX9010-N030</t>
  </si>
  <si>
    <t>CX9010-N031</t>
  </si>
  <si>
    <t>CX9010-N070</t>
  </si>
  <si>
    <t>Erweiterungsmodul für zusätzliche 4 USB-Anschlüsse
- 4 x USB-2.0-Ports Type A, Stromabgabe max. 500 mA
- unterstützt USB-1.1- und USB-2.0-Standards
- Übertragungsraten von 1,5 MBit/s, 12 MBit/s und 480 MBit/s
- einfache Nachrüstung im Feld
- Schutzart IP 20
- Betriebs-/Lagertemperatur: 0°C ... +55°C/-25°C ... +85°C
- Gewicht: ca. 80 g
- Abmessungen (B x H x T): 19 x 100 x 51 mm</t>
  </si>
  <si>
    <t>Extension module for 4 USB ports
- 4 x USB 2.0 ports type A, current output max. 500 mA
- suppports USB 1.1 and USB 2.0 standard
- transfer rates: 1.5 Mbit/s, 12 Mbit/s and 480 Mbit/s
- for field assembly
- protection class IP 20
- operating/storage temperature: 0°C ... +55°C/-25°C ... +85°C
- weight: ca. 80 g
- dimensions (W x H x D): 19 x 100 x 51 mm</t>
  </si>
  <si>
    <t>CX9020</t>
  </si>
  <si>
    <t>Hutschienen-Industrie-PC
– 1-GHz-ARM-Cortex™-A8-Prozessor (TC3: 30)
– Flash-Speicher: 512-MB-MicroSD-Karte (austauschbar, erweiterbar)
– 1 GB DDR3-RAM (intern, nicht erweiterbar)
– 2 x RJ45-Ethernet-Anschluss 10/100 MBit (interner Switch)
– 4 x USB-2.0-Schnittstelle
– 1 x DVI-D-Schnittstelle
– 2 x MicroSD-Kartenslot
– 128 kB NOVRAM integriert
– interne, batteriegepufferte Uhr für Zeit und Datum (Batterie wechselbar)
– Diagnose-LED: 1 x Power, 1 x TC-Status, 1 x Flash-Zugriff, 2 x Bus-Status
– Betriebssystem: Microsoft Windows Embedded Compact 7
– max. Verlustleistung: 5 W 
– Schutzart: IP 20
– Betriebs-/Lagertemperatur: -25...+60 °C/-40...+85 °C
– Gewicht: ca. 590 g
– Abmessungen (B x H x T): 84 x 100 x 91 mm</t>
  </si>
  <si>
    <t>DIN rail Industrial PC
– 1 GHz ARM Cortex™-A8 processor (TC3: 30)
– flash memory: 512 MB microSD card (exchangeable, expandable)
– 1 GB DDR3-RAM (internal, not expandable)
– 2 x RJ45 Ethernet connection 10/100 Mbit (internal switch)
– 4 x USB 2.0 interface
– 1 x DVI-D interface
– 2 x microSD card slot
– 128 KB NOVRAM integrated
– internal battery-backed clock for time and date (battery exchangeable)
– diagnostics LED: 1 x power, 1 x TC status, 1 x flash access, 2 x bus status
– Operating system: Microsoft Windows Embedded Compact 7
– max. power loss: 5 W 
– protection class: IP 20
– operating/storage temperature: -25...+60 °C/-40...+85 °C
– weight approx. 590 g
– dimensions (W x H x D): 84 x 100 x 91 mm</t>
  </si>
  <si>
    <t>CX9020-0100</t>
  </si>
  <si>
    <t>CPU-Modul CX9020, kein Betriebssystem, kein TwinCAT</t>
  </si>
  <si>
    <t>Basic CPU module CX9020, no operating system, no TwinCAT</t>
  </si>
  <si>
    <t>CPU-Modul CX9020, kein TwinCAT</t>
  </si>
  <si>
    <t>Basic CPU module CX9020, no TwinCAT</t>
  </si>
  <si>
    <t>CPU-Modul CX9020, TwinCAT-2-PLC-Runtime</t>
  </si>
  <si>
    <t>Basic CPU module CX9020, TwinCAT 2 PLC run-time</t>
  </si>
  <si>
    <t>CPU-Modul CX9020, TwinCAT-2-PLC-Runtime, TwinCAT-2-NC-Runtime</t>
  </si>
  <si>
    <t>Basic CPU module CX9020, TwinCAT 2 PLC run-time, TwinCAT 2 NC run-time</t>
  </si>
  <si>
    <t>CX9020-0115</t>
  </si>
  <si>
    <t>CPU-Modul CX9020, TwinCAT-3-Runtime (XAR)</t>
  </si>
  <si>
    <t>Basic CPU module CX9020, TwinCAT 3 runtime (XAR)</t>
  </si>
  <si>
    <t>CX9020-B110</t>
  </si>
  <si>
    <t>CX9020-B310</t>
  </si>
  <si>
    <t>CX9020-B510</t>
  </si>
  <si>
    <t>CX9020-B930</t>
  </si>
  <si>
    <t>CX9020-B950</t>
  </si>
  <si>
    <t>CX9020-M310</t>
  </si>
  <si>
    <t>CX9020-M510</t>
  </si>
  <si>
    <t>CX9020-M930</t>
  </si>
  <si>
    <t>CX9020-N020</t>
  </si>
  <si>
    <t>Audio-Schnittstelle, 3 x 3,5-mm-Klinkenstecker, Line-In, Mic-In, Line-Out</t>
  </si>
  <si>
    <t>audio interface, 3 x 3.5 mm jack sockets, Line In, Mic In, Line Out</t>
  </si>
  <si>
    <t>CX9020-N030</t>
  </si>
  <si>
    <t>CX9020-N031</t>
  </si>
  <si>
    <t>CX9020-N031-0001</t>
  </si>
  <si>
    <t>CX9020-N031-0002</t>
  </si>
  <si>
    <t>CX9020-N031-0003</t>
  </si>
  <si>
    <t>CX9020-N031-0004</t>
  </si>
  <si>
    <t>CX9020-U900</t>
  </si>
  <si>
    <t>interne kapazitive 1-Sekunden-USV zum sicheren Abspeichern der persistenten Anwendungsdaten auf die MicroSD-Karte</t>
  </si>
  <si>
    <t>internal, capacitive 1-second UPS to ensure secure backup of persistent application data 
on the microSD card</t>
  </si>
  <si>
    <t>Deutsch</t>
  </si>
  <si>
    <t>PE</t>
  </si>
  <si>
    <t>+</t>
  </si>
  <si>
    <t>-</t>
  </si>
  <si>
    <t>T</t>
  </si>
  <si>
    <t>|</t>
  </si>
  <si>
    <t>-T-</t>
  </si>
  <si>
    <t>===</t>
  </si>
  <si>
    <t>EL9571</t>
  </si>
  <si>
    <t>Puffer-Kondensator-Klemme, 80 V, 270 µF</t>
  </si>
  <si>
    <t>Buffer capacitor terminal, 80 V, 270 µF</t>
  </si>
  <si>
    <t>Buffer capacitor terminal, 50 V, 500 µF</t>
  </si>
  <si>
    <t>Puffer-Kondensator-Klemme, 50 V, 500 µF</t>
  </si>
  <si>
    <t>EL5021-0090</t>
  </si>
  <si>
    <t>1-Kanal-SinCos-Encoder-Interface, 1 VSS, TwinSAFE SC</t>
  </si>
  <si>
    <t>1-channel SinCos encoder interface, 1 VSS, TwinSAFE SC</t>
  </si>
  <si>
    <t>EL3214-0090</t>
  </si>
  <si>
    <t>4-Kanal-Eingangsklemme PT100 (RTD) für Widerstandsthermometer, 16 Bit, 3-Leitertechnik, TwinSAFE SC</t>
  </si>
  <si>
    <t>4-channel input terminal PT100 (RTD)  for resistance sensors, 16 bit, 3-wire system, TwinSAFE SC</t>
  </si>
  <si>
    <t>Servomotor EtherCAT Terminal with OCT and STO input, 50 V DC, 2.8 ARMS</t>
  </si>
  <si>
    <t>EP1008-0001</t>
  </si>
  <si>
    <t>EtherCAT Box, Industriegehäuse, 8 digitale Eingänge 24 V DC, 3,0 ms</t>
  </si>
  <si>
    <t>EtherCAT Box, industrial housing, 8 digital inputs, 24 V DC, 3.0 ms</t>
  </si>
  <si>
    <t>EP1809-0021</t>
  </si>
  <si>
    <t>EtherCAT Box, Industriegehäuse, 16 digitale Eingänge 24 V DC, 3,0 ms</t>
  </si>
  <si>
    <t>EtherCAT Box, industrial housing, 16 digital inputs, 24 V DC, 3.0 ms</t>
  </si>
  <si>
    <t>FC9001-0010</t>
  </si>
  <si>
    <t>Ethernet-PC-Netzwerkkarte, 1 Kanal, PCI-Bus</t>
  </si>
  <si>
    <t>Ethernet PC interface card, 1-channel, PCI bus</t>
  </si>
  <si>
    <t>EL3443</t>
  </si>
  <si>
    <t>Demo-Rack mobile IoT 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</si>
</sst>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 ;[Red]\-0\ "/>
  </numFmts>
  <fonts count="12" x14ac:knownFonts="1">
    <font>
      <sz val="10"/>
      <name val="Arial"/>
    </font>
    <font>
      <b/>
      <sz val="10"/>
      <name val="Arial"/>
      <family val="2"/>
    </font>
    <font>
      <sz val="10"/>
      <name val="Arial"/>
      <family val="2"/>
    </font>
    <font>
      <b/>
      <sz val="12"/>
      <name val="Arial"/>
      <family val="2"/>
    </font>
    <font>
      <b/>
      <sz val="10"/>
      <color theme="0"/>
      <name val="Arial"/>
      <family val="2"/>
    </font>
    <font>
      <sz val="10"/>
      <name val="Arial Narrow"/>
      <family val="2"/>
    </font>
    <font>
      <sz val="12"/>
      <name val="Arial"/>
      <family val="2"/>
    </font>
    <font>
      <sz val="10"/>
      <color theme="0"/>
      <name val="Arial"/>
      <family val="2"/>
    </font>
    <font>
      <sz val="10"/>
      <color indexed="8"/>
      <name val="Arial"/>
      <family val="2"/>
    </font>
    <font>
      <b/>
      <sz val="10"/>
      <name val="Calibri"/>
      <family val="2"/>
    </font>
    <font>
      <sz val="10"/>
      <color rgb="FFFF0000"/>
      <name val="Arial"/>
      <family val="2"/>
    </font>
    <font>
      <b/>
      <sz val="12"/>
      <color rgb="FFFF0000"/>
      <name val="Arial"/>
      <family val="2"/>
    </font>
  </fonts>
  <fills count="6">
    <fill>
      <patternFill patternType="none"/>
    </fill>
    <fill>
      <patternFill patternType="gray125"/>
    </fill>
    <fill>
      <patternFill patternType="solid">
        <fgColor theme="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FF0000"/>
        <bgColor indexed="64"/>
      </patternFill>
    </fill>
  </fills>
  <borders count="34">
    <border>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style="medium">
        <color auto="1"/>
      </top>
      <bottom style="medium">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medium">
        <color indexed="64"/>
      </right>
      <top style="thin">
        <color auto="1"/>
      </top>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5" fillId="0" borderId="0"/>
  </cellStyleXfs>
  <cellXfs count="127">
    <xf numFmtId="0" fontId="0" fillId="0" borderId="0" xfId="0"/>
    <xf numFmtId="0" fontId="1" fillId="0" borderId="0" xfId="0" applyFont="1"/>
    <xf numFmtId="0" fontId="0" fillId="0" borderId="0" xfId="0" applyAlignment="1">
      <alignment vertical="center"/>
    </xf>
    <xf numFmtId="0" fontId="1" fillId="0" borderId="0" xfId="0" applyFont="1" applyFill="1" applyBorder="1" applyAlignment="1">
      <alignment horizontal="center" vertical="center"/>
    </xf>
    <xf numFmtId="0" fontId="1" fillId="0" borderId="0" xfId="0" applyFont="1" applyFill="1" applyBorder="1" applyAlignment="1">
      <alignment horizontal="right" vertical="center"/>
    </xf>
    <xf numFmtId="0" fontId="2" fillId="0" borderId="0" xfId="0" applyFont="1" applyFill="1" applyBorder="1" applyAlignment="1">
      <alignment vertical="center"/>
    </xf>
    <xf numFmtId="0" fontId="4" fillId="0" borderId="0" xfId="0" applyFont="1" applyFill="1" applyBorder="1" applyAlignment="1">
      <alignment horizontal="center" vertical="center"/>
    </xf>
    <xf numFmtId="0" fontId="0" fillId="0" borderId="2" xfId="0" applyBorder="1" applyAlignment="1">
      <alignment vertical="center"/>
    </xf>
    <xf numFmtId="164" fontId="0" fillId="0" borderId="2" xfId="0" applyNumberFormat="1" applyBorder="1" applyAlignment="1">
      <alignment vertical="center"/>
    </xf>
    <xf numFmtId="164" fontId="0" fillId="0" borderId="2" xfId="0" applyNumberFormat="1" applyBorder="1" applyAlignment="1">
      <alignment horizontal="right" vertical="center"/>
    </xf>
    <xf numFmtId="0" fontId="0" fillId="0" borderId="1" xfId="0" applyBorder="1" applyAlignment="1">
      <alignment vertical="center"/>
    </xf>
    <xf numFmtId="164" fontId="0" fillId="0" borderId="1" xfId="0" applyNumberFormat="1" applyBorder="1" applyAlignment="1">
      <alignment vertical="center"/>
    </xf>
    <xf numFmtId="164" fontId="0" fillId="0" borderId="1" xfId="0" applyNumberFormat="1" applyBorder="1" applyAlignment="1">
      <alignment horizontal="right" vertical="center"/>
    </xf>
    <xf numFmtId="0" fontId="0" fillId="0" borderId="1" xfId="0" applyFill="1" applyBorder="1" applyAlignment="1">
      <alignment vertical="center"/>
    </xf>
    <xf numFmtId="0" fontId="0" fillId="0" borderId="4" xfId="0" applyFill="1" applyBorder="1" applyAlignment="1">
      <alignment vertical="center"/>
    </xf>
    <xf numFmtId="0" fontId="0" fillId="0" borderId="4" xfId="0" applyBorder="1" applyAlignment="1">
      <alignment vertical="center"/>
    </xf>
    <xf numFmtId="164" fontId="0" fillId="0" borderId="4" xfId="0" applyNumberFormat="1" applyBorder="1" applyAlignment="1">
      <alignment vertical="center"/>
    </xf>
    <xf numFmtId="164" fontId="0" fillId="0" borderId="4" xfId="0" applyNumberFormat="1" applyBorder="1" applyAlignment="1">
      <alignment horizontal="right" vertical="center"/>
    </xf>
    <xf numFmtId="164" fontId="0" fillId="0" borderId="0" xfId="0" applyNumberFormat="1" applyAlignment="1">
      <alignment vertical="center"/>
    </xf>
    <xf numFmtId="164" fontId="0" fillId="0" borderId="0" xfId="0" applyNumberFormat="1" applyAlignment="1">
      <alignment horizontal="right" vertical="center"/>
    </xf>
    <xf numFmtId="0" fontId="2" fillId="0" borderId="0" xfId="0" applyFont="1"/>
    <xf numFmtId="0" fontId="2" fillId="0" borderId="0" xfId="0" applyFont="1" applyAlignment="1">
      <alignment horizontal="center"/>
    </xf>
    <xf numFmtId="0" fontId="2" fillId="0" borderId="2" xfId="0" applyFont="1" applyBorder="1" applyAlignment="1" applyProtection="1">
      <alignment vertical="center"/>
      <protection locked="0"/>
    </xf>
    <xf numFmtId="0" fontId="0" fillId="0" borderId="1" xfId="0" applyBorder="1" applyAlignment="1" applyProtection="1">
      <alignment vertical="center"/>
      <protection locked="0"/>
    </xf>
    <xf numFmtId="0" fontId="2" fillId="0" borderId="1" xfId="0" applyFont="1" applyBorder="1" applyAlignment="1" applyProtection="1">
      <alignment vertical="center"/>
      <protection locked="0"/>
    </xf>
    <xf numFmtId="0" fontId="2" fillId="0" borderId="1" xfId="0" applyFont="1" applyFill="1" applyBorder="1" applyAlignment="1" applyProtection="1">
      <alignment vertical="center"/>
      <protection locked="0"/>
    </xf>
    <xf numFmtId="0" fontId="0" fillId="0" borderId="1" xfId="0" applyFill="1" applyBorder="1" applyAlignment="1" applyProtection="1">
      <alignment vertical="center"/>
      <protection locked="0"/>
    </xf>
    <xf numFmtId="0" fontId="0" fillId="0" borderId="4" xfId="0" applyBorder="1" applyAlignment="1" applyProtection="1">
      <alignment vertical="center"/>
      <protection locked="0"/>
    </xf>
    <xf numFmtId="0" fontId="1" fillId="2" borderId="3" xfId="0" applyFont="1" applyFill="1" applyBorder="1" applyAlignment="1">
      <alignment horizontal="center" vertical="center" wrapText="1"/>
    </xf>
    <xf numFmtId="0" fontId="2" fillId="0" borderId="0" xfId="0" applyFont="1" applyProtection="1">
      <protection locked="0"/>
    </xf>
    <xf numFmtId="0" fontId="2" fillId="0" borderId="1" xfId="0" applyFont="1" applyBorder="1" applyProtection="1">
      <protection locked="0"/>
    </xf>
    <xf numFmtId="0" fontId="2" fillId="0" borderId="0" xfId="0" applyFont="1" applyAlignment="1" applyProtection="1">
      <alignment horizontal="center"/>
      <protection locked="0"/>
    </xf>
    <xf numFmtId="0" fontId="7" fillId="0" borderId="0" xfId="0"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xf>
    <xf numFmtId="0" fontId="0" fillId="0" borderId="0" xfId="0" applyAlignment="1">
      <alignment horizontal="center" vertical="center"/>
    </xf>
    <xf numFmtId="0" fontId="8" fillId="0" borderId="2" xfId="0" applyFont="1" applyBorder="1" applyAlignment="1" applyProtection="1">
      <alignment horizontal="left" wrapText="1"/>
      <protection locked="0"/>
    </xf>
    <xf numFmtId="0" fontId="8" fillId="0" borderId="1" xfId="0" applyFont="1" applyBorder="1" applyAlignment="1" applyProtection="1">
      <alignment horizontal="left"/>
      <protection locked="0"/>
    </xf>
    <xf numFmtId="0" fontId="8" fillId="0" borderId="1" xfId="0" applyFont="1" applyBorder="1" applyAlignment="1" applyProtection="1">
      <alignment horizontal="left" wrapText="1"/>
      <protection locked="0"/>
    </xf>
    <xf numFmtId="0" fontId="2" fillId="0" borderId="4" xfId="0" applyFont="1" applyBorder="1" applyProtection="1">
      <protection locked="0"/>
    </xf>
    <xf numFmtId="0" fontId="8" fillId="0" borderId="1" xfId="0" applyFont="1" applyBorder="1" applyAlignment="1" applyProtection="1">
      <alignment horizontal="right"/>
      <protection locked="0"/>
    </xf>
    <xf numFmtId="0" fontId="2" fillId="0" borderId="1" xfId="0" applyFont="1" applyBorder="1" applyAlignment="1" applyProtection="1">
      <alignment horizontal="right"/>
      <protection locked="0"/>
    </xf>
    <xf numFmtId="0" fontId="2" fillId="0" borderId="4" xfId="0" applyFont="1" applyBorder="1" applyAlignment="1" applyProtection="1">
      <alignment horizontal="right"/>
      <protection locked="0"/>
    </xf>
    <xf numFmtId="0" fontId="8" fillId="0" borderId="2" xfId="0" applyFont="1" applyBorder="1" applyAlignment="1" applyProtection="1">
      <alignment horizontal="right"/>
      <protection locked="0"/>
    </xf>
    <xf numFmtId="0" fontId="8" fillId="0" borderId="1" xfId="0" quotePrefix="1" applyFont="1" applyBorder="1" applyAlignment="1" applyProtection="1">
      <alignment horizontal="right"/>
      <protection locked="0"/>
    </xf>
    <xf numFmtId="0" fontId="2" fillId="0" borderId="2" xfId="0" applyFont="1" applyBorder="1" applyAlignment="1" applyProtection="1">
      <alignment horizontal="right"/>
      <protection locked="0"/>
    </xf>
    <xf numFmtId="0" fontId="0" fillId="0" borderId="1" xfId="0" applyBorder="1" applyProtection="1">
      <protection locked="0"/>
    </xf>
    <xf numFmtId="164" fontId="0" fillId="0" borderId="1" xfId="0" applyNumberFormat="1" applyBorder="1" applyAlignment="1">
      <alignment horizontal="center" vertical="center"/>
    </xf>
    <xf numFmtId="164" fontId="0" fillId="0" borderId="4" xfId="0" applyNumberFormat="1" applyBorder="1" applyAlignment="1">
      <alignment horizontal="center" vertical="center"/>
    </xf>
    <xf numFmtId="164" fontId="0" fillId="0" borderId="0" xfId="0" applyNumberFormat="1" applyAlignment="1">
      <alignment horizontal="center" vertical="center"/>
    </xf>
    <xf numFmtId="49" fontId="8" fillId="0" borderId="1" xfId="0" applyNumberFormat="1" applyFont="1" applyBorder="1" applyAlignment="1" applyProtection="1">
      <alignment horizontal="center"/>
      <protection locked="0"/>
    </xf>
    <xf numFmtId="49" fontId="0" fillId="0" borderId="1" xfId="0" applyNumberFormat="1" applyBorder="1" applyAlignment="1" applyProtection="1">
      <alignment horizontal="center"/>
      <protection locked="0"/>
    </xf>
    <xf numFmtId="49" fontId="2" fillId="0" borderId="1" xfId="0" applyNumberFormat="1" applyFont="1" applyBorder="1" applyAlignment="1" applyProtection="1">
      <alignment horizontal="center"/>
      <protection locked="0"/>
    </xf>
    <xf numFmtId="49" fontId="0" fillId="0" borderId="6" xfId="0" applyNumberFormat="1" applyBorder="1" applyAlignment="1" applyProtection="1">
      <alignment horizontal="center"/>
      <protection locked="0"/>
    </xf>
    <xf numFmtId="49" fontId="8" fillId="0" borderId="1" xfId="0" quotePrefix="1" applyNumberFormat="1" applyFont="1" applyBorder="1" applyAlignment="1" applyProtection="1">
      <alignment horizontal="center"/>
      <protection locked="0"/>
    </xf>
    <xf numFmtId="49" fontId="2" fillId="0" borderId="4" xfId="0" applyNumberFormat="1" applyFont="1" applyBorder="1" applyAlignment="1" applyProtection="1">
      <alignment horizontal="center"/>
      <protection locked="0"/>
    </xf>
    <xf numFmtId="49" fontId="1" fillId="2" borderId="8" xfId="0" applyNumberFormat="1" applyFont="1" applyFill="1" applyBorder="1" applyAlignment="1">
      <alignment horizontal="center" vertical="center" wrapText="1"/>
    </xf>
    <xf numFmtId="49" fontId="1" fillId="2" borderId="10" xfId="0" applyNumberFormat="1" applyFont="1" applyFill="1" applyBorder="1" applyAlignment="1">
      <alignment horizontal="center" vertical="center" wrapText="1"/>
    </xf>
    <xf numFmtId="164" fontId="0" fillId="0" borderId="2" xfId="0" applyNumberFormat="1" applyBorder="1" applyAlignment="1">
      <alignment horizontal="center" vertical="center"/>
    </xf>
    <xf numFmtId="0" fontId="2" fillId="0" borderId="1" xfId="0" quotePrefix="1" applyFont="1" applyBorder="1" applyProtection="1">
      <protection locked="0"/>
    </xf>
    <xf numFmtId="0" fontId="8" fillId="0" borderId="2" xfId="0" quotePrefix="1" applyFont="1" applyBorder="1" applyAlignment="1" applyProtection="1">
      <alignment horizontal="right"/>
      <protection locked="0"/>
    </xf>
    <xf numFmtId="0" fontId="2" fillId="0" borderId="0" xfId="0" applyFont="1" applyFill="1" applyProtection="1">
      <protection locked="0"/>
    </xf>
    <xf numFmtId="0" fontId="8" fillId="0" borderId="1" xfId="0" applyFont="1" applyFill="1" applyBorder="1" applyAlignment="1" applyProtection="1">
      <alignment horizontal="left" wrapText="1"/>
      <protection locked="0"/>
    </xf>
    <xf numFmtId="0" fontId="6" fillId="0" borderId="15" xfId="0" applyFont="1" applyFill="1" applyBorder="1" applyAlignment="1" applyProtection="1">
      <alignment horizontal="center" vertical="center"/>
    </xf>
    <xf numFmtId="49" fontId="2" fillId="2" borderId="16" xfId="0" applyNumberFormat="1" applyFont="1" applyFill="1" applyBorder="1" applyAlignment="1">
      <alignment horizontal="center" vertical="center"/>
    </xf>
    <xf numFmtId="49" fontId="2" fillId="2" borderId="16" xfId="0" applyNumberFormat="1" applyFont="1" applyFill="1" applyBorder="1" applyAlignment="1" applyProtection="1">
      <alignment horizontal="center" vertical="center"/>
      <protection locked="0"/>
    </xf>
    <xf numFmtId="49" fontId="2" fillId="2" borderId="20" xfId="0" applyNumberFormat="1" applyFont="1" applyFill="1" applyBorder="1" applyAlignment="1">
      <alignment horizontal="center" vertical="center"/>
    </xf>
    <xf numFmtId="49" fontId="9" fillId="2" borderId="9" xfId="0" applyNumberFormat="1" applyFont="1" applyFill="1" applyBorder="1" applyAlignment="1">
      <alignment horizontal="center" vertical="center" wrapText="1"/>
    </xf>
    <xf numFmtId="0" fontId="10" fillId="0" borderId="1" xfId="0" applyFont="1" applyFill="1" applyBorder="1" applyAlignment="1" applyProtection="1">
      <alignment vertical="center"/>
      <protection locked="0"/>
    </xf>
    <xf numFmtId="0" fontId="2" fillId="0" borderId="0" xfId="0" applyFont="1" applyAlignment="1">
      <alignment vertical="center"/>
    </xf>
    <xf numFmtId="0" fontId="4" fillId="0" borderId="0" xfId="0" applyFont="1" applyFill="1" applyBorder="1" applyAlignment="1">
      <alignment vertical="center"/>
    </xf>
    <xf numFmtId="0" fontId="3" fillId="0" borderId="0" xfId="0" applyFont="1" applyFill="1" applyAlignment="1">
      <alignment vertical="center"/>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2" borderId="27" xfId="0" applyNumberFormat="1" applyFont="1" applyFill="1" applyBorder="1" applyAlignment="1">
      <alignment horizontal="center" vertical="center"/>
    </xf>
    <xf numFmtId="0" fontId="11" fillId="0" borderId="24" xfId="0" applyFont="1" applyFill="1" applyBorder="1" applyAlignment="1">
      <alignment vertical="center"/>
    </xf>
    <xf numFmtId="0" fontId="11" fillId="0" borderId="25" xfId="0" applyFont="1" applyFill="1" applyBorder="1" applyAlignment="1">
      <alignment vertical="center"/>
    </xf>
    <xf numFmtId="0" fontId="1"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1" fillId="0" borderId="19" xfId="0" applyFont="1" applyFill="1" applyBorder="1" applyAlignment="1" applyProtection="1">
      <alignment vertical="center"/>
      <protection locked="0"/>
    </xf>
    <xf numFmtId="0" fontId="1" fillId="0" borderId="30" xfId="0" applyFont="1" applyFill="1" applyBorder="1" applyAlignment="1" applyProtection="1">
      <alignment vertical="center"/>
      <protection locked="0"/>
    </xf>
    <xf numFmtId="0" fontId="1" fillId="0" borderId="31" xfId="0" applyFont="1" applyFill="1" applyBorder="1" applyAlignment="1" applyProtection="1">
      <alignment vertical="center"/>
      <protection locked="0"/>
    </xf>
    <xf numFmtId="0" fontId="8" fillId="0" borderId="1" xfId="0" applyFont="1" applyFill="1" applyBorder="1" applyAlignment="1" applyProtection="1">
      <alignment horizontal="right"/>
      <protection locked="0"/>
    </xf>
    <xf numFmtId="0" fontId="8" fillId="0" borderId="1" xfId="0" quotePrefix="1" applyFont="1" applyFill="1" applyBorder="1" applyAlignment="1" applyProtection="1">
      <alignment horizontal="right"/>
      <protection locked="0"/>
    </xf>
    <xf numFmtId="0" fontId="8" fillId="0" borderId="1" xfId="0" applyFont="1" applyFill="1" applyBorder="1" applyAlignment="1" applyProtection="1">
      <alignment horizontal="left"/>
      <protection locked="0"/>
    </xf>
    <xf numFmtId="49" fontId="8" fillId="0" borderId="1" xfId="0" applyNumberFormat="1" applyFont="1" applyFill="1" applyBorder="1" applyAlignment="1" applyProtection="1">
      <alignment horizontal="center"/>
      <protection locked="0"/>
    </xf>
    <xf numFmtId="0" fontId="8" fillId="0" borderId="2" xfId="0" applyFont="1" applyFill="1" applyBorder="1" applyAlignment="1" applyProtection="1">
      <alignment horizontal="left"/>
      <protection locked="0"/>
    </xf>
    <xf numFmtId="0" fontId="0" fillId="0" borderId="1" xfId="0" applyFill="1" applyBorder="1" applyProtection="1">
      <protection locked="0"/>
    </xf>
    <xf numFmtId="0" fontId="8" fillId="0" borderId="1" xfId="0" applyFont="1" applyFill="1" applyBorder="1" applyAlignment="1" applyProtection="1">
      <protection locked="0"/>
    </xf>
    <xf numFmtId="0" fontId="2" fillId="0" borderId="1" xfId="0" applyFont="1" applyFill="1" applyBorder="1" applyAlignment="1" applyProtection="1">
      <alignment horizontal="left"/>
      <protection locked="0"/>
    </xf>
    <xf numFmtId="0" fontId="2" fillId="0" borderId="2" xfId="0" applyFont="1" applyFill="1" applyBorder="1" applyAlignment="1" applyProtection="1">
      <alignment vertical="center"/>
      <protection locked="0"/>
    </xf>
    <xf numFmtId="0" fontId="2" fillId="0" borderId="6" xfId="0" applyFont="1" applyBorder="1" applyAlignment="1" applyProtection="1">
      <alignment vertical="center"/>
      <protection locked="0"/>
    </xf>
    <xf numFmtId="0" fontId="2" fillId="2" borderId="21" xfId="0" applyFont="1" applyFill="1" applyBorder="1" applyAlignment="1">
      <alignment horizontal="left" vertical="center"/>
    </xf>
    <xf numFmtId="0" fontId="2" fillId="2" borderId="22" xfId="0" applyFont="1" applyFill="1" applyBorder="1" applyAlignment="1">
      <alignment horizontal="left" vertical="center"/>
    </xf>
    <xf numFmtId="0" fontId="2" fillId="2" borderId="23" xfId="0" applyFont="1" applyFill="1" applyBorder="1" applyAlignment="1">
      <alignment horizontal="left" vertical="center"/>
    </xf>
    <xf numFmtId="0" fontId="1" fillId="3" borderId="5" xfId="0" applyFont="1" applyFill="1" applyBorder="1" applyAlignment="1">
      <alignment horizontal="center" vertical="center"/>
    </xf>
    <xf numFmtId="0" fontId="1" fillId="3" borderId="7" xfId="0" applyFont="1" applyFill="1" applyBorder="1" applyAlignment="1">
      <alignment horizontal="center" vertical="center"/>
    </xf>
    <xf numFmtId="164" fontId="1" fillId="2" borderId="5" xfId="0" applyNumberFormat="1" applyFont="1" applyFill="1" applyBorder="1" applyAlignment="1">
      <alignment horizontal="center" vertical="center" wrapText="1"/>
    </xf>
    <xf numFmtId="164" fontId="1" fillId="2" borderId="7" xfId="0" applyNumberFormat="1" applyFont="1" applyFill="1" applyBorder="1" applyAlignment="1">
      <alignment horizontal="center" vertical="center" wrapText="1"/>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1" fillId="0" borderId="32" xfId="0" applyFont="1" applyFill="1" applyBorder="1" applyAlignment="1" applyProtection="1">
      <alignment horizontal="left" vertical="center"/>
      <protection locked="0"/>
    </xf>
    <xf numFmtId="0" fontId="1" fillId="2" borderId="5" xfId="0" applyFont="1" applyFill="1" applyBorder="1" applyAlignment="1">
      <alignment horizontal="center" vertical="center"/>
    </xf>
    <xf numFmtId="0" fontId="1" fillId="2" borderId="7" xfId="0" applyFont="1" applyFill="1" applyBorder="1" applyAlignment="1">
      <alignment horizontal="center" vertical="center"/>
    </xf>
    <xf numFmtId="0" fontId="1" fillId="3" borderId="5"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2" fillId="2" borderId="17" xfId="0" applyFont="1" applyFill="1" applyBorder="1" applyAlignment="1">
      <alignment horizontal="left" vertical="center"/>
    </xf>
    <xf numFmtId="0" fontId="2" fillId="2" borderId="18" xfId="0" applyFont="1" applyFill="1" applyBorder="1" applyAlignment="1">
      <alignment horizontal="left" vertical="center"/>
    </xf>
    <xf numFmtId="0" fontId="1" fillId="3" borderId="12" xfId="0" applyFont="1" applyFill="1" applyBorder="1" applyAlignment="1">
      <alignment horizontal="left" vertical="center" wrapText="1"/>
    </xf>
    <xf numFmtId="0" fontId="2" fillId="3" borderId="13" xfId="0" applyFont="1" applyFill="1" applyBorder="1" applyAlignment="1">
      <alignment horizontal="left" vertical="center"/>
    </xf>
    <xf numFmtId="0" fontId="3" fillId="0" borderId="0" xfId="0" applyFont="1" applyFill="1" applyAlignment="1">
      <alignment horizontal="center" vertical="center" wrapText="1"/>
    </xf>
    <xf numFmtId="0" fontId="3" fillId="0" borderId="0" xfId="0" applyFont="1" applyFill="1" applyAlignment="1">
      <alignment horizontal="center" vertical="center"/>
    </xf>
    <xf numFmtId="0" fontId="11" fillId="0" borderId="25" xfId="0" applyFont="1" applyFill="1" applyBorder="1" applyAlignment="1">
      <alignment horizontal="center" vertical="center" wrapText="1"/>
    </xf>
    <xf numFmtId="0" fontId="11" fillId="0" borderId="26" xfId="0" applyFont="1" applyFill="1" applyBorder="1" applyAlignment="1">
      <alignment horizontal="center" vertical="center" wrapText="1"/>
    </xf>
    <xf numFmtId="0" fontId="1" fillId="3" borderId="11" xfId="0" applyFont="1" applyFill="1" applyBorder="1" applyAlignment="1">
      <alignment horizontal="left" vertical="center"/>
    </xf>
    <xf numFmtId="0" fontId="1" fillId="3" borderId="14" xfId="0" applyFont="1" applyFill="1" applyBorder="1" applyAlignment="1">
      <alignment horizontal="left" vertical="center"/>
    </xf>
    <xf numFmtId="0" fontId="2" fillId="2" borderId="28" xfId="0" applyFont="1" applyFill="1" applyBorder="1" applyAlignment="1">
      <alignment horizontal="left" vertical="center"/>
    </xf>
    <xf numFmtId="0" fontId="2" fillId="2" borderId="29" xfId="0" applyFont="1" applyFill="1" applyBorder="1" applyAlignment="1">
      <alignment horizontal="left" vertical="center"/>
    </xf>
    <xf numFmtId="0" fontId="1" fillId="4" borderId="12" xfId="0" applyFont="1" applyFill="1" applyBorder="1" applyAlignment="1" applyProtection="1">
      <alignment horizontal="left" vertical="center"/>
    </xf>
    <xf numFmtId="0" fontId="1" fillId="4" borderId="32" xfId="0" applyFont="1" applyFill="1" applyBorder="1" applyAlignment="1" applyProtection="1">
      <alignment horizontal="left" vertical="center"/>
    </xf>
    <xf numFmtId="0" fontId="1" fillId="4" borderId="33" xfId="0" applyFont="1" applyFill="1" applyBorder="1" applyAlignment="1" applyProtection="1">
      <alignment horizontal="left" vertical="center"/>
    </xf>
    <xf numFmtId="0" fontId="1" fillId="5" borderId="12" xfId="0" applyFont="1" applyFill="1" applyBorder="1" applyAlignment="1" applyProtection="1">
      <alignment horizontal="left" vertical="center"/>
    </xf>
    <xf numFmtId="0" fontId="1" fillId="5" borderId="32" xfId="0" applyFont="1" applyFill="1" applyBorder="1" applyAlignment="1" applyProtection="1">
      <alignment horizontal="left" vertical="center"/>
    </xf>
    <xf numFmtId="0" fontId="1" fillId="5" borderId="33" xfId="0" applyFont="1" applyFill="1" applyBorder="1" applyAlignment="1" applyProtection="1">
      <alignment horizontal="left" vertical="center"/>
    </xf>
    <xf numFmtId="0" fontId="1" fillId="3" borderId="12" xfId="0" applyFont="1" applyFill="1" applyBorder="1" applyAlignment="1" applyProtection="1">
      <alignment horizontal="left" vertical="center"/>
    </xf>
    <xf numFmtId="0" fontId="1" fillId="3" borderId="32" xfId="0" applyFont="1" applyFill="1" applyBorder="1" applyAlignment="1" applyProtection="1">
      <alignment horizontal="left" vertical="center"/>
    </xf>
    <xf numFmtId="0" fontId="1" fillId="3" borderId="33" xfId="0" applyFont="1" applyFill="1" applyBorder="1" applyAlignment="1" applyProtection="1">
      <alignment horizontal="left" vertical="center"/>
    </xf>
  </cellXfs>
  <cellStyles count="2">
    <cellStyle name="Standard" xfId="0" builtinId="0"/>
    <cellStyle name="Standard 2 2" xfId="1"/>
  </cellStyles>
  <dxfs count="25">
    <dxf>
      <font>
        <b/>
        <i val="0"/>
      </font>
      <fill>
        <patternFill>
          <bgColor theme="0" tint="-4.9989318521683403E-2"/>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font>
      <fill>
        <patternFill>
          <bgColor rgb="FFFF0000"/>
        </patternFill>
      </fill>
    </dxf>
    <dxf>
      <fill>
        <patternFill>
          <bgColor rgb="FFFF0000"/>
        </patternFill>
      </fill>
    </dxf>
    <dxf>
      <font>
        <b val="0"/>
        <i val="0"/>
      </font>
      <fill>
        <patternFill>
          <bgColor rgb="FFFF0000"/>
        </patternFill>
      </fill>
    </dxf>
    <dxf>
      <font>
        <b val="0"/>
        <i val="0"/>
      </font>
      <fill>
        <patternFill>
          <bgColor rgb="FFFF0000"/>
        </patternFill>
      </fill>
    </dxf>
    <dxf>
      <font>
        <b val="0"/>
        <i val="0"/>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3"/>
      </font>
    </dxf>
    <dxf>
      <font>
        <b/>
        <i val="0"/>
      </font>
    </dxf>
    <dxf>
      <font>
        <color theme="3"/>
      </font>
    </dxf>
    <dxf>
      <font>
        <b/>
        <i val="0"/>
      </font>
    </dxf>
    <dxf>
      <font>
        <b/>
        <i val="0"/>
      </font>
      <fill>
        <patternFill>
          <bgColor theme="0" tint="-4.9989318521683403E-2"/>
        </patternFill>
      </fill>
    </dxf>
    <dxf>
      <font>
        <b/>
        <i val="0"/>
      </font>
      <fill>
        <patternFill>
          <bgColor theme="0" tint="-4.9989318521683403E-2"/>
        </patternFill>
      </fill>
    </dxf>
    <dxf>
      <font>
        <b/>
        <i val="0"/>
        <color auto="1"/>
      </font>
      <fill>
        <patternFill>
          <bgColor rgb="FFFF0000"/>
        </patternFill>
      </fill>
    </dxf>
    <dxf>
      <font>
        <b/>
        <i val="0"/>
      </font>
      <fill>
        <patternFill>
          <bgColor theme="0" tint="-4.9989318521683403E-2"/>
        </patternFill>
      </fill>
    </dxf>
    <dxf>
      <font>
        <b/>
        <i val="0"/>
      </font>
      <fill>
        <patternFill patternType="solid">
          <bgColor theme="0" tint="-4.9989318521683403E-2"/>
        </patternFill>
      </fill>
    </dxf>
    <dxf>
      <font>
        <b/>
        <i val="0"/>
        <color auto="1"/>
      </font>
      <fill>
        <patternFill>
          <bgColor rgb="FFFF0000"/>
        </patternFill>
      </fill>
    </dxf>
  </dxfs>
  <tableStyles count="0" defaultTableStyle="TableStyleMedium2" defaultPivotStyle="PivotStyleLight16"/>
  <colors>
    <mruColors>
      <color rgb="FFF8F8F8"/>
      <color rgb="FFF9B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Drop" dropLines="2" dropStyle="combo" dx="16" fmlaLink="$E$5" fmlaRange="$F$4:$F$5" noThreeD="1" sel="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1171575</xdr:colOff>
          <xdr:row>4</xdr:row>
          <xdr:rowOff>0</xdr:rowOff>
        </xdr:from>
        <xdr:to>
          <xdr:col>2</xdr:col>
          <xdr:colOff>6172200</xdr:colOff>
          <xdr:row>4</xdr:row>
          <xdr:rowOff>161925</xdr:rowOff>
        </xdr:to>
        <xdr:sp macro="" textlink="">
          <xdr:nvSpPr>
            <xdr:cNvPr id="1026" name="Drop Down 2" hidden="1">
              <a:extLst>
                <a:ext uri="{63B3BB69-23CF-44E3-9099-C40C66FF867C}">
                  <a14:compatExt spid="_x0000_s10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_Demoracks/10_Konstuktionen/01_Demo-Rack_TwinSAFE/32_Zusammenstellung_Klemmen/Mobile%20Demo-Rack%20TwinSAFE%20calculation%20E-BUS%20curr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stem_configuration"/>
      <sheetName val="Data_source"/>
    </sheetNames>
    <sheetDataSet>
      <sheetData sheetId="0">
        <row r="10">
          <cell r="B10" t="str">
            <v>Product</v>
          </cell>
        </row>
        <row r="12">
          <cell r="B12" t="str">
            <v>EK1100</v>
          </cell>
        </row>
        <row r="13">
          <cell r="B13" t="str">
            <v>EL1859</v>
          </cell>
        </row>
        <row r="14">
          <cell r="B14" t="str">
            <v>EL1904</v>
          </cell>
        </row>
        <row r="15">
          <cell r="B15" t="str">
            <v>EL2904</v>
          </cell>
        </row>
        <row r="16">
          <cell r="B16" t="str">
            <v>EL6910</v>
          </cell>
        </row>
        <row r="17">
          <cell r="B17" t="str">
            <v>EL5021-0090</v>
          </cell>
        </row>
        <row r="18">
          <cell r="B18" t="str">
            <v>EL3255</v>
          </cell>
        </row>
        <row r="19">
          <cell r="B19" t="str">
            <v>EL9110</v>
          </cell>
        </row>
        <row r="20">
          <cell r="B20" t="str">
            <v>EL2004</v>
          </cell>
        </row>
        <row r="21">
          <cell r="B21" t="str">
            <v>EL9011</v>
          </cell>
        </row>
        <row r="26">
          <cell r="B26" t="str">
            <v>EK1914</v>
          </cell>
        </row>
        <row r="27">
          <cell r="B27" t="str">
            <v>EL1904</v>
          </cell>
        </row>
        <row r="28">
          <cell r="B28" t="str">
            <v>EL9110</v>
          </cell>
        </row>
        <row r="29">
          <cell r="B29" t="str">
            <v>EL7201-9014</v>
          </cell>
        </row>
        <row r="30">
          <cell r="B30" t="str">
            <v>EL9011</v>
          </cell>
        </row>
        <row r="31">
          <cell r="B31" t="str">
            <v>Schütz</v>
          </cell>
        </row>
      </sheetData>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11"/>
  <sheetViews>
    <sheetView tabSelected="1" zoomScaleNormal="100" zoomScaleSheetLayoutView="100" workbookViewId="0">
      <pane xSplit="2" ySplit="11" topLeftCell="C12" activePane="bottomRight" state="frozen"/>
      <selection pane="topRight" activeCell="C1" sqref="C1"/>
      <selection pane="bottomLeft" activeCell="A10" sqref="A10"/>
      <selection pane="bottomRight" activeCell="M12" sqref="M12"/>
    </sheetView>
  </sheetViews>
  <sheetFormatPr baseColWidth="10" defaultRowHeight="12.75" x14ac:dyDescent="0.2"/>
  <cols>
    <col min="1" max="1" width="5.140625" style="2" customWidth="1"/>
    <col min="2" max="2" width="17.7109375" style="2" customWidth="1"/>
    <col min="3" max="3" width="92.7109375" style="2" customWidth="1"/>
    <col min="4" max="7" width="10.85546875" style="18" customWidth="1"/>
    <col min="8" max="8" width="10.85546875" style="19" customWidth="1"/>
    <col min="9" max="9" width="15.28515625" style="19" customWidth="1"/>
    <col min="10" max="12" width="5.42578125" style="48" customWidth="1"/>
    <col min="13" max="13" width="80.7109375" style="2" customWidth="1"/>
    <col min="14" max="16384" width="11.42578125" style="2"/>
  </cols>
  <sheetData>
    <row r="1" spans="1:15" ht="37.5" customHeight="1" thickBot="1" x14ac:dyDescent="0.25">
      <c r="A1" s="70"/>
      <c r="B1" s="70"/>
      <c r="C1" s="110" t="str">
        <f>IF(E5=1, "Tragen Sie die Produktbezeichnungen Ihrer Module in die Spalte „Produkt“ ein um eine Auswertung zu erhalten. 
Die verfügbaren Produkte und deren technischen Angaben stehen in der Tabelle 'Data_source' und können dort erweitert werden.", "Enter the product names of your modules in the column “Product” in order to obtain an evaluation.
The available products and their specifications are in the table 'Data_source' and can be extended there.")</f>
        <v>Enter the product names of your modules in the column “Product” in order to obtain an evaluation.
The available products and their specifications are in the table 'Data_source' and can be extended there.</v>
      </c>
      <c r="D1" s="111"/>
      <c r="E1" s="111"/>
      <c r="F1" s="111"/>
      <c r="G1" s="111"/>
      <c r="H1" s="111"/>
      <c r="I1" s="111"/>
      <c r="J1" s="111"/>
      <c r="K1" s="111"/>
      <c r="L1" s="111"/>
      <c r="M1" s="111"/>
      <c r="N1" s="68"/>
      <c r="O1" s="68"/>
    </row>
    <row r="2" spans="1:15" ht="37.5" customHeight="1" thickTop="1" thickBot="1" x14ac:dyDescent="0.25">
      <c r="A2" s="74"/>
      <c r="B2" s="75"/>
      <c r="C2" s="112" t="str">
        <f>IF(E5=1, "Sollten sich technische Daten der Produkte ändern, können diese in der Tabelle 'Data_source' angepasst werden.
!!!! Die Konfiguration muss immer noch einmal durch den Bediener auf Richtigkeit geprüft werden !!!!", "Should specifications of the products change, they can be adjusted in the table 'Data_source'.
!!!! The configuration must be always checked for correctness by the operator !!!!")</f>
        <v>Should specifications of the products change, they can be adjusted in the table 'Data_source'.
!!!! The configuration must be always checked for correctness by the operator !!!!</v>
      </c>
      <c r="D2" s="112"/>
      <c r="E2" s="112"/>
      <c r="F2" s="112"/>
      <c r="G2" s="112"/>
      <c r="H2" s="112"/>
      <c r="I2" s="112"/>
      <c r="J2" s="112"/>
      <c r="K2" s="112"/>
      <c r="L2" s="112"/>
      <c r="M2" s="113"/>
    </row>
    <row r="3" spans="1:15" ht="13.5" customHeight="1" thickTop="1" thickBot="1" x14ac:dyDescent="0.25">
      <c r="A3" s="71"/>
      <c r="B3" s="71"/>
      <c r="C3" s="72"/>
      <c r="D3" s="72"/>
      <c r="E3" s="72"/>
      <c r="F3" s="72"/>
      <c r="G3" s="72"/>
      <c r="H3" s="72"/>
      <c r="I3" s="72"/>
      <c r="J3" s="72"/>
      <c r="K3" s="72"/>
      <c r="L3" s="72"/>
      <c r="M3" s="72"/>
    </row>
    <row r="4" spans="1:15" s="5" customFormat="1" ht="13.5" customHeight="1" thickBot="1" x14ac:dyDescent="0.25">
      <c r="A4" s="3"/>
      <c r="B4" s="3"/>
      <c r="C4" s="33"/>
      <c r="D4" s="3"/>
      <c r="E4" s="3"/>
      <c r="F4" s="69" t="s">
        <v>3563</v>
      </c>
      <c r="G4" s="3"/>
      <c r="H4" s="4"/>
      <c r="I4" s="4"/>
      <c r="J4" s="73" t="s">
        <v>3569</v>
      </c>
      <c r="K4" s="116" t="str">
        <f>IF(E5=1, "Busbeginn mit Potenzialeinspeisung", "Bus start with potential supply")</f>
        <v>Bus start with potential supply</v>
      </c>
      <c r="L4" s="116"/>
      <c r="M4" s="117"/>
    </row>
    <row r="5" spans="1:15" s="5" customFormat="1" ht="13.5" customHeight="1" thickBot="1" x14ac:dyDescent="0.25">
      <c r="A5" s="108" t="s">
        <v>1257</v>
      </c>
      <c r="B5" s="109"/>
      <c r="C5" s="62"/>
      <c r="D5" s="6"/>
      <c r="E5" s="32">
        <v>2</v>
      </c>
      <c r="F5" s="69" t="s">
        <v>1256</v>
      </c>
      <c r="H5" s="4"/>
      <c r="I5" s="4"/>
      <c r="J5" s="63" t="s">
        <v>3567</v>
      </c>
      <c r="K5" s="106" t="str">
        <f>IF(E5=1, "Potenzialeinspeisung", "Potential supply")</f>
        <v>Potential supply</v>
      </c>
      <c r="L5" s="106"/>
      <c r="M5" s="107"/>
    </row>
    <row r="6" spans="1:15" s="5" customFormat="1" ht="13.5" customHeight="1" thickBot="1" x14ac:dyDescent="0.25">
      <c r="A6" s="3"/>
      <c r="B6" s="3"/>
      <c r="C6" s="33"/>
      <c r="D6" s="6"/>
      <c r="E6" s="124" t="str">
        <f>IF(E5=1, "Farbe blau: Eingaben veränderbar", "Color blue: Inputs changeable")</f>
        <v>Color blue: Inputs changeable</v>
      </c>
      <c r="F6" s="125"/>
      <c r="G6" s="125"/>
      <c r="H6" s="126"/>
      <c r="I6" s="4"/>
      <c r="J6" s="63" t="s">
        <v>3568</v>
      </c>
      <c r="K6" s="106" t="str">
        <f>IF(E5=1, "Potenzialweiterleitung", "Potential forwarding")</f>
        <v>Potential forwarding</v>
      </c>
      <c r="L6" s="106"/>
      <c r="M6" s="107"/>
    </row>
    <row r="7" spans="1:15" s="5" customFormat="1" ht="13.5" customHeight="1" thickBot="1" x14ac:dyDescent="0.25">
      <c r="A7" s="114" t="str">
        <f>IF(E5=1, "Projekt:", "Project:")</f>
        <v>Project:</v>
      </c>
      <c r="B7" s="115"/>
      <c r="C7" s="78" t="s">
        <v>3593</v>
      </c>
      <c r="D7" s="79"/>
      <c r="E7" s="118" t="str">
        <f>IF(E5=1, "Farbe grau: Reststrom oder Gesamtbreite", "Color gray: Residual current or overall width")</f>
        <v>Color gray: Residual current or overall width</v>
      </c>
      <c r="F7" s="119"/>
      <c r="G7" s="119"/>
      <c r="H7" s="120"/>
      <c r="I7" s="80"/>
      <c r="J7" s="64"/>
      <c r="K7" s="106" t="str">
        <f>IF(E5=1, "Potenzialtrennung", "Potential separation")</f>
        <v>Potential separation</v>
      </c>
      <c r="L7" s="106"/>
      <c r="M7" s="107"/>
    </row>
    <row r="8" spans="1:15" s="5" customFormat="1" ht="13.5" customHeight="1" thickBot="1" x14ac:dyDescent="0.25">
      <c r="A8" s="3"/>
      <c r="B8" s="3"/>
      <c r="C8" s="33"/>
      <c r="D8" s="6"/>
      <c r="E8" s="121" t="str">
        <f>IF(E5=1, "Farbe rot: Fehler in der Konfiguration", "Color red: Configuration error")</f>
        <v>Color red: Configuration error</v>
      </c>
      <c r="F8" s="122"/>
      <c r="G8" s="122"/>
      <c r="H8" s="123"/>
      <c r="I8" s="4"/>
      <c r="J8" s="65" t="s">
        <v>3570</v>
      </c>
      <c r="K8" s="91" t="str">
        <f>IF(E5=1, "Potenzialtrennung und Klemmen mit Potenzialweiterleitung dürfen nachfolgend nicht verwendet werden!", "Potential separation and terminals with potential forwarding may not be used below!")</f>
        <v>Potential separation and terminals with potential forwarding may not be used below!</v>
      </c>
      <c r="L8" s="92"/>
      <c r="M8" s="93"/>
    </row>
    <row r="9" spans="1:15" s="5" customFormat="1" ht="13.5" customHeight="1" thickBot="1" x14ac:dyDescent="0.25">
      <c r="A9" s="3"/>
      <c r="B9" s="3"/>
      <c r="C9" s="33"/>
      <c r="D9" s="6"/>
      <c r="E9" s="101"/>
      <c r="F9" s="101"/>
      <c r="G9" s="101"/>
      <c r="H9" s="101"/>
      <c r="I9" s="4"/>
      <c r="J9" s="65" t="s">
        <v>1534</v>
      </c>
      <c r="K9" s="91" t="str">
        <f>IF(E6=1, "Busabschluss", "Bus termination")</f>
        <v>Bus termination</v>
      </c>
      <c r="L9" s="92"/>
      <c r="M9" s="93"/>
    </row>
    <row r="10" spans="1:15" s="5" customFormat="1" ht="13.5" customHeight="1" x14ac:dyDescent="0.2">
      <c r="A10" s="102" t="s">
        <v>1046</v>
      </c>
      <c r="B10" s="104" t="str">
        <f>IF(E5=1, "Produkt", "Product")</f>
        <v>Product</v>
      </c>
      <c r="C10" s="102" t="str">
        <f>IF(E5=1, "Produkt Beschreibung", "Product Description")</f>
        <v>Product Description</v>
      </c>
      <c r="D10" s="96" t="str">
        <f>IF(E5=1, "E-Bus 
Strom
(mA)", "E-Bus 
current
(mA)")</f>
        <v>E-Bus 
current
(mA)</v>
      </c>
      <c r="E10" s="96" t="str">
        <f>IF(E5=1, "E-Bus 
Reststrom
(mA)", "E-Bus 
residual
current
(mA)")</f>
        <v>E-Bus 
residual
current
(mA)</v>
      </c>
      <c r="F10" s="96" t="str">
        <f>IF(E5=1, "K-Bus 
Strom
(mA)", "K-Bus 
current
(mA)")</f>
        <v>K-Bus 
current
(mA)</v>
      </c>
      <c r="G10" s="96" t="str">
        <f>IF(E5=1, "K-Bus 
Reststrom
(mA)", "K-Bus 
residual 
current
(mA)")</f>
        <v>K-Bus 
residual 
current
(mA)</v>
      </c>
      <c r="H10" s="96" t="str">
        <f>IF(E5=1, "Produkt
Breite
(mm)", "Product 
width
(mm)")</f>
        <v>Product 
width
(mm)</v>
      </c>
      <c r="I10" s="96" t="str">
        <f>IF(E5=1, "Gesamtbreite
(mm)", "Overall
width
(mm)")</f>
        <v>Overall
width
(mm)</v>
      </c>
      <c r="J10" s="98" t="str">
        <f>IF(System_configuration!E5=1, "Power Kontakt","Power contact")</f>
        <v>Power contact</v>
      </c>
      <c r="K10" s="99"/>
      <c r="L10" s="100"/>
      <c r="M10" s="94" t="str">
        <f>IF(E5=1, "Kommentar", "Comment")</f>
        <v>Comment</v>
      </c>
    </row>
    <row r="11" spans="1:15" ht="43.5" customHeight="1" thickBot="1" x14ac:dyDescent="0.25">
      <c r="A11" s="103"/>
      <c r="B11" s="105"/>
      <c r="C11" s="103"/>
      <c r="D11" s="97"/>
      <c r="E11" s="97"/>
      <c r="F11" s="97"/>
      <c r="G11" s="97"/>
      <c r="H11" s="97"/>
      <c r="I11" s="97"/>
      <c r="J11" s="55" t="s">
        <v>3565</v>
      </c>
      <c r="K11" s="66" t="s">
        <v>3566</v>
      </c>
      <c r="L11" s="56" t="s">
        <v>3564</v>
      </c>
      <c r="M11" s="95"/>
      <c r="N11" s="34"/>
    </row>
    <row r="12" spans="1:15" ht="13.5" customHeight="1" x14ac:dyDescent="0.2">
      <c r="A12" s="7">
        <v>1</v>
      </c>
      <c r="B12" s="22" t="s">
        <v>15</v>
      </c>
      <c r="C12" s="7" t="str">
        <f>IF($E$5=1,IF(ISBLANK(B12)=FALSE,VLOOKUP(B12,Data_source!A:J,4,FALSE),""),IF(ISBLANK(B12)=FALSE,VLOOKUP(B12,Data_source!A:J,5,FALSE),""))</f>
        <v>EtherCAT Coupler for E-bus terminals (ELxxxx)</v>
      </c>
      <c r="D12" s="8">
        <f>IF(ISBLANK(B12)=FALSE,IF(VLOOKUP(B12,Data_source!A:J,2,FALSE)="---","",VLOOKUP(B12,Data_source!A:J,2,FALSE)),"")</f>
        <v>2000</v>
      </c>
      <c r="E12" s="8">
        <f>D12</f>
        <v>2000</v>
      </c>
      <c r="F12" s="8" t="str">
        <f>IF(ISBLANK(B12)=FALSE,IF(VLOOKUP(B12,Data_source!A:J,3,FALSE)="---","",VLOOKUP(B12,Data_source!A:J,3,FALSE)),"")</f>
        <v/>
      </c>
      <c r="G12" s="8" t="str">
        <f>F12</f>
        <v/>
      </c>
      <c r="H12" s="9">
        <f>IF(ISBLANK(B12)=FALSE,IF(VLOOKUP(B12,Data_source!A:J,6,FALSE)="---","",VLOOKUP(B12,Data_source!A:J,6,FALSE)),"")</f>
        <v>44</v>
      </c>
      <c r="I12" s="9">
        <f>H12</f>
        <v>44</v>
      </c>
      <c r="J12" s="57" t="str">
        <f>IF(ISBLANK(B12)=FALSE,IF(VLOOKUP(B12,Data_source!A:J,7,FALSE)=0,"",VLOOKUP(B12,Data_source!A:J,7,FALSE)),"")</f>
        <v>-T-</v>
      </c>
      <c r="K12" s="57" t="str">
        <f>IF(ISBLANK(B12)=FALSE,IF(VLOOKUP(B12,Data_source!A:J,8,FALSE)=0,"",VLOOKUP(B12,Data_source!A:J,8,FALSE)),"")</f>
        <v>-T-</v>
      </c>
      <c r="L12" s="57" t="str">
        <f>IF(ISBLANK(B12)=FALSE,IF(VLOOKUP(B12,Data_source!A:J,9,FALSE)=0,"",VLOOKUP(B12,Data_source!A:J,9,FALSE)),"")</f>
        <v>-T-</v>
      </c>
      <c r="M12" s="89"/>
    </row>
    <row r="13" spans="1:15" x14ac:dyDescent="0.2">
      <c r="A13" s="10">
        <v>2</v>
      </c>
      <c r="B13" s="24" t="s">
        <v>315</v>
      </c>
      <c r="C13" s="10" t="str">
        <f>IF($E$5=1,IF(ISBLANK(B13)=FALSE,VLOOKUP(B13,Data_source!A:J,4,FALSE),""),IF(ISBLANK(B13)=FALSE,VLOOKUP(B13,Data_source!A:J,5,FALSE),""))</f>
        <v>8-channel digital input terminal 24 V DC, filter 3.0 ms, type 3,
+ 8-channel digital output terminal 24 V DC, 0.5 A, 1-wire system</v>
      </c>
      <c r="D13" s="11">
        <f>IF(ISBLANK(B13)=FALSE,IF(VLOOKUP(B13,Data_source!A:J,2,FALSE)="---","",VLOOKUP(B13,Data_source!A:J,2,FALSE)),"")</f>
        <v>-130</v>
      </c>
      <c r="E13" s="11">
        <f>IF(F13&lt;&gt;"",D13,IF(D13&gt;0,D13,IF(E12="",D13,E12+D13)))</f>
        <v>1870</v>
      </c>
      <c r="F13" s="11" t="str">
        <f>IF(ISBLANK(B13)=FALSE,IF(VLOOKUP(B13,Data_source!A:J,3,FALSE)="---","",VLOOKUP(B13,Data_source!A:J,3,FALSE)),"")</f>
        <v/>
      </c>
      <c r="G13" s="11" t="str">
        <f>IF(F13&gt;0, F13, IF(F13="", "", IF(G12="", F13, G12+F13)))</f>
        <v/>
      </c>
      <c r="H13" s="12">
        <f>IF(ISBLANK(B13)=FALSE,IF(VLOOKUP(B13,Data_source!A:J,6,FALSE)="---","",VLOOKUP(B13,Data_source!A:J,6,FALSE)),"")</f>
        <v>12</v>
      </c>
      <c r="I13" s="12">
        <f>IF(H13="","",IF(H12="",H13,H13+I12))</f>
        <v>56</v>
      </c>
      <c r="J13" s="46" t="str">
        <f>IF(ISBLANK(B13)=FALSE,IF(VLOOKUP(B13,Data_source!A:J,7,FALSE)=0,"",VLOOKUP(B13,Data_source!A:J,7,FALSE)),"")</f>
        <v>|</v>
      </c>
      <c r="K13" s="46" t="str">
        <f>IF(ISBLANK(B13)=FALSE,IF(VLOOKUP(B13,Data_source!A:J,8,FALSE)=0,"",VLOOKUP(B13,Data_source!A:J,8,FALSE)),"")</f>
        <v>|</v>
      </c>
      <c r="L13" s="46" t="str">
        <f>IF(ISBLANK(B13)=FALSE,IF(VLOOKUP(B13,Data_source!A:J,9,FALSE)=0,"",VLOOKUP(B13,Data_source!A:J,9,FALSE)),"")</f>
        <v/>
      </c>
      <c r="M13" s="26"/>
    </row>
    <row r="14" spans="1:15" x14ac:dyDescent="0.2">
      <c r="A14" s="10">
        <v>3</v>
      </c>
      <c r="B14" s="24" t="s">
        <v>315</v>
      </c>
      <c r="C14" s="10" t="str">
        <f>IF($E$5=1,IF(ISBLANK(B14)=FALSE,VLOOKUP(B14,Data_source!A:J,4,FALSE),""),IF(ISBLANK(B14)=FALSE,VLOOKUP(B14,Data_source!A:J,5,FALSE),""))</f>
        <v>8-channel digital input terminal 24 V DC, filter 3.0 ms, type 3,
+ 8-channel digital output terminal 24 V DC, 0.5 A, 1-wire system</v>
      </c>
      <c r="D14" s="11">
        <f>IF(ISBLANK(B14)=FALSE,IF(VLOOKUP(B14,Data_source!A:J,2,FALSE)="---","",VLOOKUP(B14,Data_source!A:J,2,FALSE)),"")</f>
        <v>-130</v>
      </c>
      <c r="E14" s="11">
        <f t="shared" ref="E14:E77" si="0">IF(F14&lt;&gt;"",D14,IF(D14&gt;0,D14,IF(E13="",D14,E13+D14)))</f>
        <v>1740</v>
      </c>
      <c r="F14" s="11" t="str">
        <f>IF(ISBLANK(B14)=FALSE,IF(VLOOKUP(B14,Data_source!A:J,3,FALSE)="---","",VLOOKUP(B14,Data_source!A:J,3,FALSE)),"")</f>
        <v/>
      </c>
      <c r="G14" s="11" t="str">
        <f t="shared" ref="G14:G77" si="1">IF(F14&gt;0, F14, IF(F14="", "", IF(G13="", F14, G13+F14)))</f>
        <v/>
      </c>
      <c r="H14" s="12">
        <f>IF(ISBLANK(B14)=FALSE,IF(VLOOKUP(B14,Data_source!A:J,6,FALSE)="---","",VLOOKUP(B14,Data_source!A:J,6,FALSE)),"")</f>
        <v>12</v>
      </c>
      <c r="I14" s="12">
        <f t="shared" ref="I14:I77" si="2">IF(H14="","",IF(H13="",H14,H14+I13))</f>
        <v>68</v>
      </c>
      <c r="J14" s="46" t="str">
        <f>IF(ISBLANK(B14)=FALSE,IF(VLOOKUP(B14,Data_source!A:J,7,FALSE)=0,"",VLOOKUP(B14,Data_source!A:J,7,FALSE)),"")</f>
        <v>|</v>
      </c>
      <c r="K14" s="46" t="str">
        <f>IF(ISBLANK(B14)=FALSE,IF(VLOOKUP(B14,Data_source!A:J,8,FALSE)=0,"",VLOOKUP(B14,Data_source!A:J,8,FALSE)),"")</f>
        <v>|</v>
      </c>
      <c r="L14" s="46" t="str">
        <f>IF(ISBLANK(B14)=FALSE,IF(VLOOKUP(B14,Data_source!A:J,9,FALSE)=0,"",VLOOKUP(B14,Data_source!A:J,9,FALSE)),"")</f>
        <v/>
      </c>
      <c r="M14" s="26"/>
    </row>
    <row r="15" spans="1:15" x14ac:dyDescent="0.2">
      <c r="A15" s="10">
        <v>4</v>
      </c>
      <c r="B15" s="24" t="s">
        <v>24</v>
      </c>
      <c r="C15" s="10" t="str">
        <f>IF($E$5=1,IF(ISBLANK(B15)=FALSE,VLOOKUP(B15,Data_source!A:J,4,FALSE),""),IF(ISBLANK(B15)=FALSE,VLOOKUP(B15,Data_source!A:J,5,FALSE),""))</f>
        <v>4-channel digital input terminal 24 V DC, filter 3.0 ms, 2-wire system</v>
      </c>
      <c r="D15" s="11">
        <f>IF(ISBLANK(B15)=FALSE,IF(VLOOKUP(B15,Data_source!A:J,2,FALSE)="---","",VLOOKUP(B15,Data_source!A:J,2,FALSE)),"")</f>
        <v>-90</v>
      </c>
      <c r="E15" s="11">
        <f t="shared" si="0"/>
        <v>1650</v>
      </c>
      <c r="F15" s="11" t="str">
        <f>IF(ISBLANK(B15)=FALSE,IF(VLOOKUP(B15,Data_source!A:J,3,FALSE)="---","",VLOOKUP(B15,Data_source!A:J,3,FALSE)),"")</f>
        <v/>
      </c>
      <c r="G15" s="11" t="str">
        <f t="shared" si="1"/>
        <v/>
      </c>
      <c r="H15" s="12">
        <f>IF(ISBLANK(B15)=FALSE,IF(VLOOKUP(B15,Data_source!A:J,6,FALSE)="---","",VLOOKUP(B15,Data_source!A:J,6,FALSE)),"")</f>
        <v>12</v>
      </c>
      <c r="I15" s="12">
        <f t="shared" si="2"/>
        <v>80</v>
      </c>
      <c r="J15" s="46" t="str">
        <f>IF(ISBLANK(B15)=FALSE,IF(VLOOKUP(B15,Data_source!A:J,7,FALSE)=0,"",VLOOKUP(B15,Data_source!A:J,7,FALSE)),"")</f>
        <v>|</v>
      </c>
      <c r="K15" s="46" t="str">
        <f>IF(ISBLANK(B15)=FALSE,IF(VLOOKUP(B15,Data_source!A:J,8,FALSE)=0,"",VLOOKUP(B15,Data_source!A:J,8,FALSE)),"")</f>
        <v>|</v>
      </c>
      <c r="L15" s="46" t="str">
        <f>IF(ISBLANK(B15)=FALSE,IF(VLOOKUP(B15,Data_source!A:J,9,FALSE)=0,"",VLOOKUP(B15,Data_source!A:J,9,FALSE)),"")</f>
        <v/>
      </c>
      <c r="M15" s="26"/>
    </row>
    <row r="16" spans="1:15" x14ac:dyDescent="0.2">
      <c r="A16" s="10">
        <v>5</v>
      </c>
      <c r="B16" s="24" t="s">
        <v>51</v>
      </c>
      <c r="C16" s="10" t="str">
        <f>IF($E$5=1,IF(ISBLANK(B16)=FALSE,VLOOKUP(B16,Data_source!A:J,4,FALSE),""),IF(ISBLANK(B16)=FALSE,VLOOKUP(B16,Data_source!A:J,5,FALSE),""))</f>
        <v xml:space="preserve">4-channel digital output terminal 24 V DC, 2 A, with diagnostics, 2-wire system </v>
      </c>
      <c r="D16" s="11">
        <f>IF(ISBLANK(B16)=FALSE,IF(VLOOKUP(B16,Data_source!A:J,2,FALSE)="---","",VLOOKUP(B16,Data_source!A:J,2,FALSE)),"")</f>
        <v>-120</v>
      </c>
      <c r="E16" s="11">
        <f t="shared" si="0"/>
        <v>1530</v>
      </c>
      <c r="F16" s="11" t="str">
        <f>IF(ISBLANK(B16)=FALSE,IF(VLOOKUP(B16,Data_source!A:J,3,FALSE)="---","",VLOOKUP(B16,Data_source!A:J,3,FALSE)),"")</f>
        <v/>
      </c>
      <c r="G16" s="11" t="str">
        <f t="shared" si="1"/>
        <v/>
      </c>
      <c r="H16" s="12">
        <f>IF(ISBLANK(B16)=FALSE,IF(VLOOKUP(B16,Data_source!A:J,6,FALSE)="---","",VLOOKUP(B16,Data_source!A:J,6,FALSE)),"")</f>
        <v>12</v>
      </c>
      <c r="I16" s="12">
        <f t="shared" si="2"/>
        <v>92</v>
      </c>
      <c r="J16" s="46" t="str">
        <f>IF(ISBLANK(B16)=FALSE,IF(VLOOKUP(B16,Data_source!A:J,7,FALSE)=0,"",VLOOKUP(B16,Data_source!A:J,7,FALSE)),"")</f>
        <v>|</v>
      </c>
      <c r="K16" s="46" t="str">
        <f>IF(ISBLANK(B16)=FALSE,IF(VLOOKUP(B16,Data_source!A:J,8,FALSE)=0,"",VLOOKUP(B16,Data_source!A:J,8,FALSE)),"")</f>
        <v>|</v>
      </c>
      <c r="L16" s="46" t="str">
        <f>IF(ISBLANK(B16)=FALSE,IF(VLOOKUP(B16,Data_source!A:J,9,FALSE)=0,"",VLOOKUP(B16,Data_source!A:J,9,FALSE)),"")</f>
        <v/>
      </c>
      <c r="M16" s="26"/>
    </row>
    <row r="17" spans="1:13" x14ac:dyDescent="0.2">
      <c r="A17" s="10">
        <v>6</v>
      </c>
      <c r="B17" s="24" t="s">
        <v>471</v>
      </c>
      <c r="C17" s="10" t="str">
        <f>IF($E$5=1,IF(ISBLANK(B17)=FALSE,VLOOKUP(B17,Data_source!A:J,4,FALSE),""),IF(ISBLANK(B17)=FALSE,VLOOKUP(B17,Data_source!A:J,5,FALSE),""))</f>
        <v>5-channel analog input terminal, potentiometer measurement with 10 V sensor supply, 3-wire system</v>
      </c>
      <c r="D17" s="11">
        <f>IF(ISBLANK(B17)=FALSE,IF(VLOOKUP(B17,Data_source!A:J,2,FALSE)="---","",VLOOKUP(B17,Data_source!A:J,2,FALSE)),"")</f>
        <v>-80</v>
      </c>
      <c r="E17" s="11">
        <f t="shared" si="0"/>
        <v>1450</v>
      </c>
      <c r="F17" s="11" t="str">
        <f>IF(ISBLANK(B17)=FALSE,IF(VLOOKUP(B17,Data_source!A:J,3,FALSE)="---","",VLOOKUP(B17,Data_source!A:J,3,FALSE)),"")</f>
        <v/>
      </c>
      <c r="G17" s="11" t="str">
        <f t="shared" si="1"/>
        <v/>
      </c>
      <c r="H17" s="12">
        <f>IF(ISBLANK(B17)=FALSE,IF(VLOOKUP(B17,Data_source!A:J,6,FALSE)="---","",VLOOKUP(B17,Data_source!A:J,6,FALSE)),"")</f>
        <v>12</v>
      </c>
      <c r="I17" s="12">
        <f t="shared" si="2"/>
        <v>104</v>
      </c>
      <c r="J17" s="46" t="str">
        <f>IF(ISBLANK(B17)=FALSE,IF(VLOOKUP(B17,Data_source!A:J,7,FALSE)=0,"",VLOOKUP(B17,Data_source!A:J,7,FALSE)),"")</f>
        <v>|</v>
      </c>
      <c r="K17" s="46" t="str">
        <f>IF(ISBLANK(B17)=FALSE,IF(VLOOKUP(B17,Data_source!A:J,8,FALSE)=0,"",VLOOKUP(B17,Data_source!A:J,8,FALSE)),"")</f>
        <v>|</v>
      </c>
      <c r="L17" s="46" t="str">
        <f>IF(ISBLANK(B17)=FALSE,IF(VLOOKUP(B17,Data_source!A:J,9,FALSE)=0,"",VLOOKUP(B17,Data_source!A:J,9,FALSE)),"")</f>
        <v/>
      </c>
      <c r="M17" s="26"/>
    </row>
    <row r="18" spans="1:13" x14ac:dyDescent="0.2">
      <c r="A18" s="10">
        <v>7</v>
      </c>
      <c r="B18" s="23" t="s">
        <v>146</v>
      </c>
      <c r="C18" s="10" t="str">
        <f>IF($E$5=1,IF(ISBLANK(B18)=FALSE,VLOOKUP(B18,Data_source!A:J,4,FALSE),""),IF(ISBLANK(B18)=FALSE,VLOOKUP(B18,Data_source!A:J,5,FALSE),""))</f>
        <v>1-channel incremental encoder interface, 32 bit</v>
      </c>
      <c r="D18" s="11">
        <f>IF(ISBLANK(B18)=FALSE,IF(VLOOKUP(B18,Data_source!A:J,2,FALSE)="---","",VLOOKUP(B18,Data_source!A:J,2,FALSE)),"")</f>
        <v>-130</v>
      </c>
      <c r="E18" s="11">
        <f t="shared" si="0"/>
        <v>1320</v>
      </c>
      <c r="F18" s="11" t="str">
        <f>IF(ISBLANK(B18)=FALSE,IF(VLOOKUP(B18,Data_source!A:J,3,FALSE)="---","",VLOOKUP(B18,Data_source!A:J,3,FALSE)),"")</f>
        <v/>
      </c>
      <c r="G18" s="11" t="str">
        <f t="shared" si="1"/>
        <v/>
      </c>
      <c r="H18" s="12">
        <f>IF(ISBLANK(B18)=FALSE,IF(VLOOKUP(B18,Data_source!A:J,6,FALSE)="---","",VLOOKUP(B18,Data_source!A:J,6,FALSE)),"")</f>
        <v>12</v>
      </c>
      <c r="I18" s="12">
        <f t="shared" si="2"/>
        <v>116</v>
      </c>
      <c r="J18" s="46" t="str">
        <f>IF(ISBLANK(B18)=FALSE,IF(VLOOKUP(B18,Data_source!A:J,7,FALSE)=0,"",VLOOKUP(B18,Data_source!A:J,7,FALSE)),"")</f>
        <v>|</v>
      </c>
      <c r="K18" s="46" t="str">
        <f>IF(ISBLANK(B18)=FALSE,IF(VLOOKUP(B18,Data_source!A:J,8,FALSE)=0,"",VLOOKUP(B18,Data_source!A:J,8,FALSE)),"")</f>
        <v>|</v>
      </c>
      <c r="L18" s="46" t="str">
        <f>IF(ISBLANK(B18)=FALSE,IF(VLOOKUP(B18,Data_source!A:J,9,FALSE)=0,"",VLOOKUP(B18,Data_source!A:J,9,FALSE)),"")</f>
        <v/>
      </c>
      <c r="M18" s="26"/>
    </row>
    <row r="19" spans="1:13" x14ac:dyDescent="0.2">
      <c r="A19" s="10">
        <v>8</v>
      </c>
      <c r="B19" s="23" t="s">
        <v>475</v>
      </c>
      <c r="C19" s="10" t="str">
        <f>IF($E$5=1,IF(ISBLANK(B19)=FALSE,VLOOKUP(B19,Data_source!A:J,4,FALSE),""),IF(ISBLANK(B19)=FALSE,VLOOKUP(B19,Data_source!A:J,5,FALSE),""))</f>
        <v>8-channel thermocouple input terminal, preset to type K, with wire breakage detection, 16 bit</v>
      </c>
      <c r="D19" s="11">
        <f>IF(ISBLANK(B19)=FALSE,IF(VLOOKUP(B19,Data_source!A:J,2,FALSE)="---","",VLOOKUP(B19,Data_source!A:J,2,FALSE)),"")</f>
        <v>-210</v>
      </c>
      <c r="E19" s="11">
        <f t="shared" si="0"/>
        <v>1110</v>
      </c>
      <c r="F19" s="11" t="str">
        <f>IF(ISBLANK(B19)=FALSE,IF(VLOOKUP(B19,Data_source!A:J,3,FALSE)="---","",VLOOKUP(B19,Data_source!A:J,3,FALSE)),"")</f>
        <v/>
      </c>
      <c r="G19" s="11" t="str">
        <f t="shared" si="1"/>
        <v/>
      </c>
      <c r="H19" s="12">
        <f>IF(ISBLANK(B19)=FALSE,IF(VLOOKUP(B19,Data_source!A:J,6,FALSE)="---","",VLOOKUP(B19,Data_source!A:J,6,FALSE)),"")</f>
        <v>12</v>
      </c>
      <c r="I19" s="12">
        <f t="shared" si="2"/>
        <v>128</v>
      </c>
      <c r="J19" s="46" t="str">
        <f>IF(ISBLANK(B19)=FALSE,IF(VLOOKUP(B19,Data_source!A:J,7,FALSE)=0,"",VLOOKUP(B19,Data_source!A:J,7,FALSE)),"")</f>
        <v>|</v>
      </c>
      <c r="K19" s="46" t="str">
        <f>IF(ISBLANK(B19)=FALSE,IF(VLOOKUP(B19,Data_source!A:J,8,FALSE)=0,"",VLOOKUP(B19,Data_source!A:J,8,FALSE)),"")</f>
        <v>|</v>
      </c>
      <c r="L19" s="46" t="str">
        <f>IF(ISBLANK(B19)=FALSE,IF(VLOOKUP(B19,Data_source!A:J,9,FALSE)=0,"",VLOOKUP(B19,Data_source!A:J,9,FALSE)),"")</f>
        <v/>
      </c>
      <c r="M19" s="26"/>
    </row>
    <row r="20" spans="1:13" x14ac:dyDescent="0.2">
      <c r="A20" s="10">
        <v>9</v>
      </c>
      <c r="B20" s="24" t="s">
        <v>174</v>
      </c>
      <c r="C20" s="10" t="str">
        <f>IF($E$5=1,IF(ISBLANK(B20)=FALSE,VLOOKUP(B20,Data_source!A:J,4,FALSE),""),IF(ISBLANK(B20)=FALSE,VLOOKUP(B20,Data_source!A:J,5,FALSE),""))</f>
        <v>2-channel DC motor output stage 24 V DC, 1 A</v>
      </c>
      <c r="D20" s="11">
        <f>IF(ISBLANK(B20)=FALSE,IF(VLOOKUP(B20,Data_source!A:J,2,FALSE)="---","",VLOOKUP(B20,Data_source!A:J,2,FALSE)),"")</f>
        <v>-140</v>
      </c>
      <c r="E20" s="11">
        <f t="shared" si="0"/>
        <v>970</v>
      </c>
      <c r="F20" s="11" t="str">
        <f>IF(ISBLANK(B20)=FALSE,IF(VLOOKUP(B20,Data_source!A:J,3,FALSE)="---","",VLOOKUP(B20,Data_source!A:J,3,FALSE)),"")</f>
        <v/>
      </c>
      <c r="G20" s="11" t="str">
        <f t="shared" si="1"/>
        <v/>
      </c>
      <c r="H20" s="12">
        <f>IF(ISBLANK(B20)=FALSE,IF(VLOOKUP(B20,Data_source!A:J,6,FALSE)="---","",VLOOKUP(B20,Data_source!A:J,6,FALSE)),"")</f>
        <v>12</v>
      </c>
      <c r="I20" s="12">
        <f t="shared" si="2"/>
        <v>140</v>
      </c>
      <c r="J20" s="46" t="str">
        <f>IF(ISBLANK(B20)=FALSE,IF(VLOOKUP(B20,Data_source!A:J,7,FALSE)=0,"",VLOOKUP(B20,Data_source!A:J,7,FALSE)),"")</f>
        <v>|</v>
      </c>
      <c r="K20" s="46" t="str">
        <f>IF(ISBLANK(B20)=FALSE,IF(VLOOKUP(B20,Data_source!A:J,8,FALSE)=0,"",VLOOKUP(B20,Data_source!A:J,8,FALSE)),"")</f>
        <v>|</v>
      </c>
      <c r="L20" s="46" t="str">
        <f>IF(ISBLANK(B20)=FALSE,IF(VLOOKUP(B20,Data_source!A:J,9,FALSE)=0,"",VLOOKUP(B20,Data_source!A:J,9,FALSE)),"")</f>
        <v/>
      </c>
      <c r="M20" s="26"/>
    </row>
    <row r="21" spans="1:13" x14ac:dyDescent="0.2">
      <c r="A21" s="13">
        <v>10</v>
      </c>
      <c r="B21" s="24" t="s">
        <v>3592</v>
      </c>
      <c r="C21" s="10" t="str">
        <f>IF($E$5=1,IF(ISBLANK(B21)=FALSE,VLOOKUP(B21,Data_source!A:J,4,FALSE),""),IF(ISBLANK(B21)=FALSE,VLOOKUP(B21,Data_source!A:J,5,FALSE),""))</f>
        <v>3-phase power measurement terminal, max. 500 V AC 3~, max. 1 A, 
via measuring transformers x A/1A</v>
      </c>
      <c r="D21" s="11">
        <f>IF(ISBLANK(B21)=FALSE,IF(VLOOKUP(B21,Data_source!A:J,2,FALSE)="---","",VLOOKUP(B21,Data_source!A:J,2,FALSE)),"")</f>
        <v>-120</v>
      </c>
      <c r="E21" s="11">
        <f t="shared" si="0"/>
        <v>850</v>
      </c>
      <c r="F21" s="11" t="str">
        <f>IF(ISBLANK(B21)=FALSE,IF(VLOOKUP(B21,Data_source!A:J,3,FALSE)="---","",VLOOKUP(B21,Data_source!A:J,3,FALSE)),"")</f>
        <v/>
      </c>
      <c r="G21" s="11" t="str">
        <f t="shared" si="1"/>
        <v/>
      </c>
      <c r="H21" s="12">
        <f>IF(ISBLANK(B21)=FALSE,IF(VLOOKUP(B21,Data_source!A:J,6,FALSE)="---","",VLOOKUP(B21,Data_source!A:J,6,FALSE)),"")</f>
        <v>12</v>
      </c>
      <c r="I21" s="12">
        <f t="shared" si="2"/>
        <v>152</v>
      </c>
      <c r="J21" s="46" t="str">
        <f>IF(ISBLANK(B21)=FALSE,IF(VLOOKUP(B21,Data_source!A:J,7,FALSE)=0,"",VLOOKUP(B21,Data_source!A:J,7,FALSE)),"")</f>
        <v/>
      </c>
      <c r="K21" s="46" t="str">
        <f>IF(ISBLANK(B21)=FALSE,IF(VLOOKUP(B21,Data_source!A:J,8,FALSE)=0,"",VLOOKUP(B21,Data_source!A:J,8,FALSE)),"")</f>
        <v/>
      </c>
      <c r="L21" s="46" t="str">
        <f>IF(ISBLANK(B21)=FALSE,IF(VLOOKUP(B21,Data_source!A:J,9,FALSE)=0,"",VLOOKUP(B21,Data_source!A:J,9,FALSE)),"")</f>
        <v/>
      </c>
      <c r="M21" s="26"/>
    </row>
    <row r="22" spans="1:13" x14ac:dyDescent="0.2">
      <c r="A22" s="10">
        <v>11</v>
      </c>
      <c r="B22" s="24" t="s">
        <v>12</v>
      </c>
      <c r="C22" s="10" t="str">
        <f>IF($E$5=1,IF(ISBLANK(B22)=FALSE,VLOOKUP(B22,Data_source!A:J,4,FALSE),""),IF(ISBLANK(B22)=FALSE,VLOOKUP(B22,Data_source!A:J,5,FALSE),""))</f>
        <v>Bus end cap</v>
      </c>
      <c r="D22" s="11" t="str">
        <f>IF(ISBLANK(B22)=FALSE,IF(VLOOKUP(B22,Data_source!A:J,2,FALSE)="---","",VLOOKUP(B22,Data_source!A:J,2,FALSE)),"")</f>
        <v/>
      </c>
      <c r="E22" s="11" t="str">
        <f t="shared" si="0"/>
        <v/>
      </c>
      <c r="F22" s="11" t="str">
        <f>IF(ISBLANK(B22)=FALSE,IF(VLOOKUP(B22,Data_source!A:J,3,FALSE)="---","",VLOOKUP(B22,Data_source!A:J,3,FALSE)),"")</f>
        <v/>
      </c>
      <c r="G22" s="11" t="str">
        <f t="shared" si="1"/>
        <v/>
      </c>
      <c r="H22" s="12">
        <f>IF(ISBLANK(B22)=FALSE,IF(VLOOKUP(B22,Data_source!A:J,6,FALSE)="---","",VLOOKUP(B22,Data_source!A:J,6,FALSE)),"")</f>
        <v>5</v>
      </c>
      <c r="I22" s="12">
        <f t="shared" si="2"/>
        <v>157</v>
      </c>
      <c r="J22" s="46" t="str">
        <f>IF(ISBLANK(B22)=FALSE,IF(VLOOKUP(B22,Data_source!A:J,7,FALSE)=0,"",VLOOKUP(B22,Data_source!A:J,7,FALSE)),"")</f>
        <v>---</v>
      </c>
      <c r="K22" s="46" t="str">
        <f>IF(ISBLANK(B22)=FALSE,IF(VLOOKUP(B22,Data_source!A:J,8,FALSE)=0,"",VLOOKUP(B22,Data_source!A:J,8,FALSE)),"")</f>
        <v>---</v>
      </c>
      <c r="L22" s="46" t="str">
        <f>IF(ISBLANK(B22)=FALSE,IF(VLOOKUP(B22,Data_source!A:J,9,FALSE)=0,"",VLOOKUP(B22,Data_source!A:J,9,FALSE)),"")</f>
        <v>---</v>
      </c>
      <c r="M22" s="26"/>
    </row>
    <row r="23" spans="1:13" x14ac:dyDescent="0.2">
      <c r="A23" s="10">
        <v>12</v>
      </c>
      <c r="B23" s="24"/>
      <c r="C23" s="10" t="str">
        <f>IF($E$5=1,IF(ISBLANK(B23)=FALSE,VLOOKUP(B23,Data_source!A:J,4,FALSE),""),IF(ISBLANK(B23)=FALSE,VLOOKUP(B23,Data_source!A:J,5,FALSE),""))</f>
        <v/>
      </c>
      <c r="D23" s="11" t="str">
        <f>IF(ISBLANK(B23)=FALSE,IF(VLOOKUP(B23,Data_source!A:J,2,FALSE)="---","",VLOOKUP(B23,Data_source!A:J,2,FALSE)),"")</f>
        <v/>
      </c>
      <c r="E23" s="11" t="str">
        <f t="shared" si="0"/>
        <v/>
      </c>
      <c r="F23" s="11" t="str">
        <f>IF(ISBLANK(B23)=FALSE,IF(VLOOKUP(B23,Data_source!A:J,3,FALSE)="---","",VLOOKUP(B23,Data_source!A:J,3,FALSE)),"")</f>
        <v/>
      </c>
      <c r="G23" s="11" t="str">
        <f t="shared" si="1"/>
        <v/>
      </c>
      <c r="H23" s="12" t="str">
        <f>IF(ISBLANK(B23)=FALSE,IF(VLOOKUP(B23,Data_source!A:J,6,FALSE)="---","",VLOOKUP(B23,Data_source!A:J,6,FALSE)),"")</f>
        <v/>
      </c>
      <c r="I23" s="12" t="str">
        <f t="shared" si="2"/>
        <v/>
      </c>
      <c r="J23" s="46" t="str">
        <f>IF(ISBLANK(B23)=FALSE,IF(VLOOKUP(B23,Data_source!A:J,7,FALSE)=0,"",VLOOKUP(B23,Data_source!A:J,7,FALSE)),"")</f>
        <v/>
      </c>
      <c r="K23" s="46" t="str">
        <f>IF(ISBLANK(B23)=FALSE,IF(VLOOKUP(B23,Data_source!A:J,8,FALSE)=0,"",VLOOKUP(B23,Data_source!A:J,8,FALSE)),"")</f>
        <v/>
      </c>
      <c r="L23" s="46" t="str">
        <f>IF(ISBLANK(B23)=FALSE,IF(VLOOKUP(B23,Data_source!A:J,9,FALSE)=0,"",VLOOKUP(B23,Data_source!A:J,9,FALSE)),"")</f>
        <v/>
      </c>
      <c r="M23" s="26"/>
    </row>
    <row r="24" spans="1:13" x14ac:dyDescent="0.2">
      <c r="A24" s="10">
        <v>13</v>
      </c>
      <c r="B24" s="24"/>
      <c r="C24" s="10" t="str">
        <f>IF($E$5=1,IF(ISBLANK(B24)=FALSE,VLOOKUP(B24,Data_source!A:J,4,FALSE),""),IF(ISBLANK(B24)=FALSE,VLOOKUP(B24,Data_source!A:J,5,FALSE),""))</f>
        <v/>
      </c>
      <c r="D24" s="11" t="str">
        <f>IF(ISBLANK(B24)=FALSE,IF(VLOOKUP(B24,Data_source!A:J,2,FALSE)="---","",VLOOKUP(B24,Data_source!A:J,2,FALSE)),"")</f>
        <v/>
      </c>
      <c r="E24" s="11" t="str">
        <f t="shared" si="0"/>
        <v/>
      </c>
      <c r="F24" s="11" t="str">
        <f>IF(ISBLANK(B24)=FALSE,IF(VLOOKUP(B24,Data_source!A:J,3,FALSE)="---","",VLOOKUP(B24,Data_source!A:J,3,FALSE)),"")</f>
        <v/>
      </c>
      <c r="G24" s="11" t="str">
        <f t="shared" si="1"/>
        <v/>
      </c>
      <c r="H24" s="12" t="str">
        <f>IF(ISBLANK(B24)=FALSE,IF(VLOOKUP(B24,Data_source!A:J,6,FALSE)="---","",VLOOKUP(B24,Data_source!A:J,6,FALSE)),"")</f>
        <v/>
      </c>
      <c r="I24" s="12" t="str">
        <f t="shared" si="2"/>
        <v/>
      </c>
      <c r="J24" s="46" t="str">
        <f>IF(ISBLANK(B24)=FALSE,IF(VLOOKUP(B24,Data_source!A:J,7,FALSE)=0,"",VLOOKUP(B24,Data_source!A:J,7,FALSE)),"")</f>
        <v/>
      </c>
      <c r="K24" s="46" t="str">
        <f>IF(ISBLANK(B24)=FALSE,IF(VLOOKUP(B24,Data_source!A:J,8,FALSE)=0,"",VLOOKUP(B24,Data_source!A:J,8,FALSE)),"")</f>
        <v/>
      </c>
      <c r="L24" s="46" t="str">
        <f>IF(ISBLANK(B24)=FALSE,IF(VLOOKUP(B24,Data_source!A:J,9,FALSE)=0,"",VLOOKUP(B24,Data_source!A:J,9,FALSE)),"")</f>
        <v/>
      </c>
      <c r="M24" s="26"/>
    </row>
    <row r="25" spans="1:13" x14ac:dyDescent="0.2">
      <c r="A25" s="10">
        <v>14</v>
      </c>
      <c r="B25" s="24"/>
      <c r="C25" s="10" t="str">
        <f>IF($E$5=1,IF(ISBLANK(B25)=FALSE,VLOOKUP(B25,Data_source!A:J,4,FALSE),""),IF(ISBLANK(B25)=FALSE,VLOOKUP(B25,Data_source!A:J,5,FALSE),""))</f>
        <v/>
      </c>
      <c r="D25" s="11" t="str">
        <f>IF(ISBLANK(B25)=FALSE,IF(VLOOKUP(B25,Data_source!A:J,2,FALSE)="---","",VLOOKUP(B25,Data_source!A:J,2,FALSE)),"")</f>
        <v/>
      </c>
      <c r="E25" s="11" t="str">
        <f t="shared" si="0"/>
        <v/>
      </c>
      <c r="F25" s="11" t="str">
        <f>IF(ISBLANK(B25)=FALSE,IF(VLOOKUP(B25,Data_source!A:J,3,FALSE)="---","",VLOOKUP(B25,Data_source!A:J,3,FALSE)),"")</f>
        <v/>
      </c>
      <c r="G25" s="11" t="str">
        <f t="shared" si="1"/>
        <v/>
      </c>
      <c r="H25" s="12" t="str">
        <f>IF(ISBLANK(B25)=FALSE,IF(VLOOKUP(B25,Data_source!A:J,6,FALSE)="---","",VLOOKUP(B25,Data_source!A:J,6,FALSE)),"")</f>
        <v/>
      </c>
      <c r="I25" s="12" t="str">
        <f t="shared" si="2"/>
        <v/>
      </c>
      <c r="J25" s="46" t="str">
        <f>IF(ISBLANK(B25)=FALSE,IF(VLOOKUP(B25,Data_source!A:J,7,FALSE)=0,"",VLOOKUP(B25,Data_source!A:J,7,FALSE)),"")</f>
        <v/>
      </c>
      <c r="K25" s="46" t="str">
        <f>IF(ISBLANK(B25)=FALSE,IF(VLOOKUP(B25,Data_source!A:J,8,FALSE)=0,"",VLOOKUP(B25,Data_source!A:J,8,FALSE)),"")</f>
        <v/>
      </c>
      <c r="L25" s="46" t="str">
        <f>IF(ISBLANK(B25)=FALSE,IF(VLOOKUP(B25,Data_source!A:J,9,FALSE)=0,"",VLOOKUP(B25,Data_source!A:J,9,FALSE)),"")</f>
        <v/>
      </c>
      <c r="M25" s="26"/>
    </row>
    <row r="26" spans="1:13" x14ac:dyDescent="0.2">
      <c r="A26" s="10">
        <v>15</v>
      </c>
      <c r="B26" s="24"/>
      <c r="C26" s="10" t="str">
        <f>IF($E$5=1,IF(ISBLANK(B26)=FALSE,VLOOKUP(B26,Data_source!A:J,4,FALSE),""),IF(ISBLANK(B26)=FALSE,VLOOKUP(B26,Data_source!A:J,5,FALSE),""))</f>
        <v/>
      </c>
      <c r="D26" s="11" t="str">
        <f>IF(ISBLANK(B26)=FALSE,IF(VLOOKUP(B26,Data_source!A:J,2,FALSE)="---","",VLOOKUP(B26,Data_source!A:J,2,FALSE)),"")</f>
        <v/>
      </c>
      <c r="E26" s="11" t="str">
        <f t="shared" si="0"/>
        <v/>
      </c>
      <c r="F26" s="11" t="str">
        <f>IF(ISBLANK(B26)=FALSE,IF(VLOOKUP(B26,Data_source!A:J,3,FALSE)="---","",VLOOKUP(B26,Data_source!A:J,3,FALSE)),"")</f>
        <v/>
      </c>
      <c r="G26" s="11" t="str">
        <f t="shared" si="1"/>
        <v/>
      </c>
      <c r="H26" s="12" t="str">
        <f>IF(ISBLANK(B26)=FALSE,IF(VLOOKUP(B26,Data_source!A:J,6,FALSE)="---","",VLOOKUP(B26,Data_source!A:J,6,FALSE)),"")</f>
        <v/>
      </c>
      <c r="I26" s="12" t="str">
        <f t="shared" si="2"/>
        <v/>
      </c>
      <c r="J26" s="46" t="str">
        <f>IF(ISBLANK(B26)=FALSE,IF(VLOOKUP(B26,Data_source!A:J,7,FALSE)=0,"",VLOOKUP(B26,Data_source!A:J,7,FALSE)),"")</f>
        <v/>
      </c>
      <c r="K26" s="46" t="str">
        <f>IF(ISBLANK(B26)=FALSE,IF(VLOOKUP(B26,Data_source!A:J,8,FALSE)=0,"",VLOOKUP(B26,Data_source!A:J,8,FALSE)),"")</f>
        <v/>
      </c>
      <c r="L26" s="46" t="str">
        <f>IF(ISBLANK(B26)=FALSE,IF(VLOOKUP(B26,Data_source!A:J,9,FALSE)=0,"",VLOOKUP(B26,Data_source!A:J,9,FALSE)),"")</f>
        <v/>
      </c>
      <c r="M26" s="26"/>
    </row>
    <row r="27" spans="1:13" x14ac:dyDescent="0.2">
      <c r="A27" s="10">
        <v>16</v>
      </c>
      <c r="B27" s="24"/>
      <c r="C27" s="10" t="str">
        <f>IF($E$5=1,IF(ISBLANK(B27)=FALSE,VLOOKUP(B27,Data_source!A:J,4,FALSE),""),IF(ISBLANK(B27)=FALSE,VLOOKUP(B27,Data_source!A:J,5,FALSE),""))</f>
        <v/>
      </c>
      <c r="D27" s="11" t="str">
        <f>IF(ISBLANK(B27)=FALSE,IF(VLOOKUP(B27,Data_source!A:J,2,FALSE)="---","",VLOOKUP(B27,Data_source!A:J,2,FALSE)),"")</f>
        <v/>
      </c>
      <c r="E27" s="11" t="str">
        <f t="shared" si="0"/>
        <v/>
      </c>
      <c r="F27" s="11" t="str">
        <f>IF(ISBLANK(B27)=FALSE,IF(VLOOKUP(B27,Data_source!A:J,3,FALSE)="---","",VLOOKUP(B27,Data_source!A:J,3,FALSE)),"")</f>
        <v/>
      </c>
      <c r="G27" s="11" t="str">
        <f t="shared" si="1"/>
        <v/>
      </c>
      <c r="H27" s="12" t="str">
        <f>IF(ISBLANK(B27)=FALSE,IF(VLOOKUP(B27,Data_source!A:J,6,FALSE)="---","",VLOOKUP(B27,Data_source!A:J,6,FALSE)),"")</f>
        <v/>
      </c>
      <c r="I27" s="12" t="str">
        <f t="shared" si="2"/>
        <v/>
      </c>
      <c r="J27" s="46" t="str">
        <f>IF(ISBLANK(B27)=FALSE,IF(VLOOKUP(B27,Data_source!A:J,7,FALSE)=0,"",VLOOKUP(B27,Data_source!A:J,7,FALSE)),"")</f>
        <v/>
      </c>
      <c r="K27" s="46" t="str">
        <f>IF(ISBLANK(B27)=FALSE,IF(VLOOKUP(B27,Data_source!A:J,8,FALSE)=0,"",VLOOKUP(B27,Data_source!A:J,8,FALSE)),"")</f>
        <v/>
      </c>
      <c r="L27" s="46" t="str">
        <f>IF(ISBLANK(B27)=FALSE,IF(VLOOKUP(B27,Data_source!A:J,9,FALSE)=0,"",VLOOKUP(B27,Data_source!A:J,9,FALSE)),"")</f>
        <v/>
      </c>
      <c r="M27" s="26"/>
    </row>
    <row r="28" spans="1:13" x14ac:dyDescent="0.2">
      <c r="A28" s="10">
        <v>17</v>
      </c>
      <c r="B28" s="24"/>
      <c r="C28" s="10" t="str">
        <f>IF($E$5=1,IF(ISBLANK(B28)=FALSE,VLOOKUP(B28,Data_source!A:J,4,FALSE),""),IF(ISBLANK(B28)=FALSE,VLOOKUP(B28,Data_source!A:J,5,FALSE),""))</f>
        <v/>
      </c>
      <c r="D28" s="11" t="str">
        <f>IF(ISBLANK(B28)=FALSE,IF(VLOOKUP(B28,Data_source!A:J,2,FALSE)="---","",VLOOKUP(B28,Data_source!A:J,2,FALSE)),"")</f>
        <v/>
      </c>
      <c r="E28" s="11" t="str">
        <f t="shared" si="0"/>
        <v/>
      </c>
      <c r="F28" s="11" t="str">
        <f>IF(ISBLANK(B28)=FALSE,IF(VLOOKUP(B28,Data_source!A:J,3,FALSE)="---","",VLOOKUP(B28,Data_source!A:J,3,FALSE)),"")</f>
        <v/>
      </c>
      <c r="G28" s="11" t="str">
        <f t="shared" si="1"/>
        <v/>
      </c>
      <c r="H28" s="12" t="str">
        <f>IF(ISBLANK(B28)=FALSE,IF(VLOOKUP(B28,Data_source!A:J,6,FALSE)="---","",VLOOKUP(B28,Data_source!A:J,6,FALSE)),"")</f>
        <v/>
      </c>
      <c r="I28" s="12" t="str">
        <f t="shared" si="2"/>
        <v/>
      </c>
      <c r="J28" s="46" t="str">
        <f>IF(ISBLANK(B28)=FALSE,IF(VLOOKUP(B28,Data_source!A:J,7,FALSE)=0,"",VLOOKUP(B28,Data_source!A:J,7,FALSE)),"")</f>
        <v/>
      </c>
      <c r="K28" s="46" t="str">
        <f>IF(ISBLANK(B28)=FALSE,IF(VLOOKUP(B28,Data_source!A:J,8,FALSE)=0,"",VLOOKUP(B28,Data_source!A:J,8,FALSE)),"")</f>
        <v/>
      </c>
      <c r="L28" s="46" t="str">
        <f>IF(ISBLANK(B28)=FALSE,IF(VLOOKUP(B28,Data_source!A:J,9,FALSE)=0,"",VLOOKUP(B28,Data_source!A:J,9,FALSE)),"")</f>
        <v/>
      </c>
      <c r="M28" s="26"/>
    </row>
    <row r="29" spans="1:13" x14ac:dyDescent="0.2">
      <c r="A29" s="10">
        <v>18</v>
      </c>
      <c r="B29" s="24"/>
      <c r="C29" s="10" t="str">
        <f>IF($E$5=1,IF(ISBLANK(B29)=FALSE,VLOOKUP(B29,Data_source!A:J,4,FALSE),""),IF(ISBLANK(B29)=FALSE,VLOOKUP(B29,Data_source!A:J,5,FALSE),""))</f>
        <v/>
      </c>
      <c r="D29" s="11" t="str">
        <f>IF(ISBLANK(B29)=FALSE,IF(VLOOKUP(B29,Data_source!A:J,2,FALSE)="---","",VLOOKUP(B29,Data_source!A:J,2,FALSE)),"")</f>
        <v/>
      </c>
      <c r="E29" s="11" t="str">
        <f t="shared" si="0"/>
        <v/>
      </c>
      <c r="F29" s="11" t="str">
        <f>IF(ISBLANK(B29)=FALSE,IF(VLOOKUP(B29,Data_source!A:J,3,FALSE)="---","",VLOOKUP(B29,Data_source!A:J,3,FALSE)),"")</f>
        <v/>
      </c>
      <c r="G29" s="11" t="str">
        <f t="shared" si="1"/>
        <v/>
      </c>
      <c r="H29" s="12" t="str">
        <f>IF(ISBLANK(B29)=FALSE,IF(VLOOKUP(B29,Data_source!A:J,6,FALSE)="---","",VLOOKUP(B29,Data_source!A:J,6,FALSE)),"")</f>
        <v/>
      </c>
      <c r="I29" s="12" t="str">
        <f t="shared" si="2"/>
        <v/>
      </c>
      <c r="J29" s="46" t="str">
        <f>IF(ISBLANK(B29)=FALSE,IF(VLOOKUP(B29,Data_source!A:J,7,FALSE)=0,"",VLOOKUP(B29,Data_source!A:J,7,FALSE)),"")</f>
        <v/>
      </c>
      <c r="K29" s="46" t="str">
        <f>IF(ISBLANK(B29)=FALSE,IF(VLOOKUP(B29,Data_source!A:J,8,FALSE)=0,"",VLOOKUP(B29,Data_source!A:J,8,FALSE)),"")</f>
        <v/>
      </c>
      <c r="L29" s="46" t="str">
        <f>IF(ISBLANK(B29)=FALSE,IF(VLOOKUP(B29,Data_source!A:J,9,FALSE)=0,"",VLOOKUP(B29,Data_source!A:J,9,FALSE)),"")</f>
        <v/>
      </c>
      <c r="M29" s="26"/>
    </row>
    <row r="30" spans="1:13" x14ac:dyDescent="0.2">
      <c r="A30" s="10">
        <v>19</v>
      </c>
      <c r="B30" s="90"/>
      <c r="C30" s="10" t="str">
        <f>IF($E$5=1,IF(ISBLANK(B30)=FALSE,VLOOKUP(B30,Data_source!A:J,4,FALSE),""),IF(ISBLANK(B30)=FALSE,VLOOKUP(B30,Data_source!A:J,5,FALSE),""))</f>
        <v/>
      </c>
      <c r="D30" s="11" t="str">
        <f>IF(ISBLANK(B30)=FALSE,IF(VLOOKUP(B30,Data_source!A:J,2,FALSE)="---","",VLOOKUP(B30,Data_source!A:J,2,FALSE)),"")</f>
        <v/>
      </c>
      <c r="E30" s="11" t="str">
        <f t="shared" si="0"/>
        <v/>
      </c>
      <c r="F30" s="11" t="str">
        <f>IF(ISBLANK(B30)=FALSE,IF(VLOOKUP(B30,Data_source!A:J,3,FALSE)="---","",VLOOKUP(B30,Data_source!A:J,3,FALSE)),"")</f>
        <v/>
      </c>
      <c r="G30" s="11" t="str">
        <f t="shared" si="1"/>
        <v/>
      </c>
      <c r="H30" s="12" t="str">
        <f>IF(ISBLANK(B30)=FALSE,IF(VLOOKUP(B30,Data_source!A:J,6,FALSE)="---","",VLOOKUP(B30,Data_source!A:J,6,FALSE)),"")</f>
        <v/>
      </c>
      <c r="I30" s="12" t="str">
        <f t="shared" si="2"/>
        <v/>
      </c>
      <c r="J30" s="46" t="str">
        <f>IF(ISBLANK(B30)=FALSE,IF(VLOOKUP(B30,Data_source!A:J,7,FALSE)=0,"",VLOOKUP(B30,Data_source!A:J,7,FALSE)),"")</f>
        <v/>
      </c>
      <c r="K30" s="46" t="str">
        <f>IF(ISBLANK(B30)=FALSE,IF(VLOOKUP(B30,Data_source!A:J,8,FALSE)=0,"",VLOOKUP(B30,Data_source!A:J,8,FALSE)),"")</f>
        <v/>
      </c>
      <c r="L30" s="46" t="str">
        <f>IF(ISBLANK(B30)=FALSE,IF(VLOOKUP(B30,Data_source!A:J,9,FALSE)=0,"",VLOOKUP(B30,Data_source!A:J,9,FALSE)),"")</f>
        <v/>
      </c>
      <c r="M30" s="26"/>
    </row>
    <row r="31" spans="1:13" x14ac:dyDescent="0.2">
      <c r="A31" s="10">
        <v>20</v>
      </c>
      <c r="B31" s="24"/>
      <c r="C31" s="10" t="str">
        <f>IF($E$5=1,IF(ISBLANK(B31)=FALSE,VLOOKUP(B31,Data_source!A:J,4,FALSE),""),IF(ISBLANK(B31)=FALSE,VLOOKUP(B31,Data_source!A:J,5,FALSE),""))</f>
        <v/>
      </c>
      <c r="D31" s="11" t="str">
        <f>IF(ISBLANK(B31)=FALSE,IF(VLOOKUP(B31,Data_source!A:J,2,FALSE)="---","",VLOOKUP(B31,Data_source!A:J,2,FALSE)),"")</f>
        <v/>
      </c>
      <c r="E31" s="11" t="str">
        <f t="shared" si="0"/>
        <v/>
      </c>
      <c r="F31" s="11" t="str">
        <f>IF(ISBLANK(B31)=FALSE,IF(VLOOKUP(B31,Data_source!A:J,3,FALSE)="---","",VLOOKUP(B31,Data_source!A:J,3,FALSE)),"")</f>
        <v/>
      </c>
      <c r="G31" s="11" t="str">
        <f t="shared" si="1"/>
        <v/>
      </c>
      <c r="H31" s="12" t="str">
        <f>IF(ISBLANK(B31)=FALSE,IF(VLOOKUP(B31,Data_source!A:J,6,FALSE)="---","",VLOOKUP(B31,Data_source!A:J,6,FALSE)),"")</f>
        <v/>
      </c>
      <c r="I31" s="12" t="str">
        <f t="shared" si="2"/>
        <v/>
      </c>
      <c r="J31" s="46" t="str">
        <f>IF(ISBLANK(B31)=FALSE,IF(VLOOKUP(B31,Data_source!A:J,7,FALSE)=0,"",VLOOKUP(B31,Data_source!A:J,7,FALSE)),"")</f>
        <v/>
      </c>
      <c r="K31" s="46" t="str">
        <f>IF(ISBLANK(B31)=FALSE,IF(VLOOKUP(B31,Data_source!A:J,8,FALSE)=0,"",VLOOKUP(B31,Data_source!A:J,8,FALSE)),"")</f>
        <v/>
      </c>
      <c r="L31" s="46" t="str">
        <f>IF(ISBLANK(B31)=FALSE,IF(VLOOKUP(B31,Data_source!A:J,9,FALSE)=0,"",VLOOKUP(B31,Data_source!A:J,9,FALSE)),"")</f>
        <v/>
      </c>
      <c r="M31" s="26"/>
    </row>
    <row r="32" spans="1:13" x14ac:dyDescent="0.2">
      <c r="A32" s="10">
        <v>21</v>
      </c>
      <c r="B32" s="24"/>
      <c r="C32" s="10" t="str">
        <f>IF($E$5=1,IF(ISBLANK(B32)=FALSE,VLOOKUP(B32,Data_source!A:J,4,FALSE),""),IF(ISBLANK(B32)=FALSE,VLOOKUP(B32,Data_source!A:J,5,FALSE),""))</f>
        <v/>
      </c>
      <c r="D32" s="11" t="str">
        <f>IF(ISBLANK(B32)=FALSE,IF(VLOOKUP(B32,Data_source!A:J,2,FALSE)="---","",VLOOKUP(B32,Data_source!A:J,2,FALSE)),"")</f>
        <v/>
      </c>
      <c r="E32" s="11" t="str">
        <f t="shared" si="0"/>
        <v/>
      </c>
      <c r="F32" s="11" t="str">
        <f>IF(ISBLANK(B32)=FALSE,IF(VLOOKUP(B32,Data_source!A:J,3,FALSE)="---","",VLOOKUP(B32,Data_source!A:J,3,FALSE)),"")</f>
        <v/>
      </c>
      <c r="G32" s="11" t="str">
        <f t="shared" si="1"/>
        <v/>
      </c>
      <c r="H32" s="12" t="str">
        <f>IF(ISBLANK(B32)=FALSE,IF(VLOOKUP(B32,Data_source!A:J,6,FALSE)="---","",VLOOKUP(B32,Data_source!A:J,6,FALSE)),"")</f>
        <v/>
      </c>
      <c r="I32" s="12" t="str">
        <f t="shared" si="2"/>
        <v/>
      </c>
      <c r="J32" s="46" t="str">
        <f>IF(ISBLANK(B32)=FALSE,IF(VLOOKUP(B32,Data_source!A:J,7,FALSE)=0,"",VLOOKUP(B32,Data_source!A:J,7,FALSE)),"")</f>
        <v/>
      </c>
      <c r="K32" s="46" t="str">
        <f>IF(ISBLANK(B32)=FALSE,IF(VLOOKUP(B32,Data_source!A:J,8,FALSE)=0,"",VLOOKUP(B32,Data_source!A:J,8,FALSE)),"")</f>
        <v/>
      </c>
      <c r="L32" s="46" t="str">
        <f>IF(ISBLANK(B32)=FALSE,IF(VLOOKUP(B32,Data_source!A:J,9,FALSE)=0,"",VLOOKUP(B32,Data_source!A:J,9,FALSE)),"")</f>
        <v/>
      </c>
      <c r="M32" s="26"/>
    </row>
    <row r="33" spans="1:13" x14ac:dyDescent="0.2">
      <c r="A33" s="10">
        <v>22</v>
      </c>
      <c r="B33" s="24"/>
      <c r="C33" s="10" t="str">
        <f>IF($E$5=1,IF(ISBLANK(B33)=FALSE,VLOOKUP(B33,Data_source!A:J,4,FALSE),""),IF(ISBLANK(B33)=FALSE,VLOOKUP(B33,Data_source!A:J,5,FALSE),""))</f>
        <v/>
      </c>
      <c r="D33" s="11" t="str">
        <f>IF(ISBLANK(B33)=FALSE,IF(VLOOKUP(B33,Data_source!A:J,2,FALSE)="---","",VLOOKUP(B33,Data_source!A:J,2,FALSE)),"")</f>
        <v/>
      </c>
      <c r="E33" s="11" t="str">
        <f t="shared" si="0"/>
        <v/>
      </c>
      <c r="F33" s="11" t="str">
        <f>IF(ISBLANK(B33)=FALSE,IF(VLOOKUP(B33,Data_source!A:J,3,FALSE)="---","",VLOOKUP(B33,Data_source!A:J,3,FALSE)),"")</f>
        <v/>
      </c>
      <c r="G33" s="11" t="str">
        <f t="shared" si="1"/>
        <v/>
      </c>
      <c r="H33" s="12" t="str">
        <f>IF(ISBLANK(B33)=FALSE,IF(VLOOKUP(B33,Data_source!A:J,6,FALSE)="---","",VLOOKUP(B33,Data_source!A:J,6,FALSE)),"")</f>
        <v/>
      </c>
      <c r="I33" s="12" t="str">
        <f t="shared" si="2"/>
        <v/>
      </c>
      <c r="J33" s="46" t="str">
        <f>IF(ISBLANK(B33)=FALSE,IF(VLOOKUP(B33,Data_source!A:J,7,FALSE)=0,"",VLOOKUP(B33,Data_source!A:J,7,FALSE)),"")</f>
        <v/>
      </c>
      <c r="K33" s="46" t="str">
        <f>IF(ISBLANK(B33)=FALSE,IF(VLOOKUP(B33,Data_source!A:J,8,FALSE)=0,"",VLOOKUP(B33,Data_source!A:J,8,FALSE)),"")</f>
        <v/>
      </c>
      <c r="L33" s="46" t="str">
        <f>IF(ISBLANK(B33)=FALSE,IF(VLOOKUP(B33,Data_source!A:J,9,FALSE)=0,"",VLOOKUP(B33,Data_source!A:J,9,FALSE)),"")</f>
        <v/>
      </c>
      <c r="M33" s="26"/>
    </row>
    <row r="34" spans="1:13" x14ac:dyDescent="0.2">
      <c r="A34" s="10">
        <v>23</v>
      </c>
      <c r="B34" s="24"/>
      <c r="C34" s="10" t="str">
        <f>IF($E$5=1,IF(ISBLANK(B34)=FALSE,VLOOKUP(B34,Data_source!A:J,4,FALSE),""),IF(ISBLANK(B34)=FALSE,VLOOKUP(B34,Data_source!A:J,5,FALSE),""))</f>
        <v/>
      </c>
      <c r="D34" s="11" t="str">
        <f>IF(ISBLANK(B34)=FALSE,IF(VLOOKUP(B34,Data_source!A:J,2,FALSE)="---","",VLOOKUP(B34,Data_source!A:J,2,FALSE)),"")</f>
        <v/>
      </c>
      <c r="E34" s="11" t="str">
        <f t="shared" si="0"/>
        <v/>
      </c>
      <c r="F34" s="11" t="str">
        <f>IF(ISBLANK(B34)=FALSE,IF(VLOOKUP(B34,Data_source!A:J,3,FALSE)="---","",VLOOKUP(B34,Data_source!A:J,3,FALSE)),"")</f>
        <v/>
      </c>
      <c r="G34" s="11" t="str">
        <f t="shared" si="1"/>
        <v/>
      </c>
      <c r="H34" s="12" t="str">
        <f>IF(ISBLANK(B34)=FALSE,IF(VLOOKUP(B34,Data_source!A:J,6,FALSE)="---","",VLOOKUP(B34,Data_source!A:J,6,FALSE)),"")</f>
        <v/>
      </c>
      <c r="I34" s="12" t="str">
        <f t="shared" si="2"/>
        <v/>
      </c>
      <c r="J34" s="46" t="str">
        <f>IF(ISBLANK(B34)=FALSE,IF(VLOOKUP(B34,Data_source!A:J,7,FALSE)=0,"",VLOOKUP(B34,Data_source!A:J,7,FALSE)),"")</f>
        <v/>
      </c>
      <c r="K34" s="46" t="str">
        <f>IF(ISBLANK(B34)=FALSE,IF(VLOOKUP(B34,Data_source!A:J,8,FALSE)=0,"",VLOOKUP(B34,Data_source!A:J,8,FALSE)),"")</f>
        <v/>
      </c>
      <c r="L34" s="46" t="str">
        <f>IF(ISBLANK(B34)=FALSE,IF(VLOOKUP(B34,Data_source!A:J,9,FALSE)=0,"",VLOOKUP(B34,Data_source!A:J,9,FALSE)),"")</f>
        <v/>
      </c>
      <c r="M34" s="26"/>
    </row>
    <row r="35" spans="1:13" x14ac:dyDescent="0.2">
      <c r="A35" s="10">
        <v>24</v>
      </c>
      <c r="B35" s="24"/>
      <c r="C35" s="10" t="str">
        <f>IF($E$5=1,IF(ISBLANK(B35)=FALSE,VLOOKUP(B35,Data_source!A:J,4,FALSE),""),IF(ISBLANK(B35)=FALSE,VLOOKUP(B35,Data_source!A:J,5,FALSE),""))</f>
        <v/>
      </c>
      <c r="D35" s="11" t="str">
        <f>IF(ISBLANK(B35)=FALSE,IF(VLOOKUP(B35,Data_source!A:J,2,FALSE)="---","",VLOOKUP(B35,Data_source!A:J,2,FALSE)),"")</f>
        <v/>
      </c>
      <c r="E35" s="11" t="str">
        <f t="shared" si="0"/>
        <v/>
      </c>
      <c r="F35" s="11" t="str">
        <f>IF(ISBLANK(B35)=FALSE,IF(VLOOKUP(B35,Data_source!A:J,3,FALSE)="---","",VLOOKUP(B35,Data_source!A:J,3,FALSE)),"")</f>
        <v/>
      </c>
      <c r="G35" s="11" t="str">
        <f t="shared" si="1"/>
        <v/>
      </c>
      <c r="H35" s="12" t="str">
        <f>IF(ISBLANK(B35)=FALSE,IF(VLOOKUP(B35,Data_source!A:J,6,FALSE)="---","",VLOOKUP(B35,Data_source!A:J,6,FALSE)),"")</f>
        <v/>
      </c>
      <c r="I35" s="12" t="str">
        <f t="shared" si="2"/>
        <v/>
      </c>
      <c r="J35" s="46" t="str">
        <f>IF(ISBLANK(B35)=FALSE,IF(VLOOKUP(B35,Data_source!A:J,7,FALSE)=0,"",VLOOKUP(B35,Data_source!A:J,7,FALSE)),"")</f>
        <v/>
      </c>
      <c r="K35" s="46" t="str">
        <f>IF(ISBLANK(B35)=FALSE,IF(VLOOKUP(B35,Data_source!A:J,8,FALSE)=0,"",VLOOKUP(B35,Data_source!A:J,8,FALSE)),"")</f>
        <v/>
      </c>
      <c r="L35" s="46" t="str">
        <f>IF(ISBLANK(B35)=FALSE,IF(VLOOKUP(B35,Data_source!A:J,9,FALSE)=0,"",VLOOKUP(B35,Data_source!A:J,9,FALSE)),"")</f>
        <v/>
      </c>
      <c r="M35" s="25"/>
    </row>
    <row r="36" spans="1:13" x14ac:dyDescent="0.2">
      <c r="A36" s="10">
        <v>25</v>
      </c>
      <c r="B36" s="23"/>
      <c r="C36" s="10" t="str">
        <f>IF($E$5=1,IF(ISBLANK(B36)=FALSE,VLOOKUP(B36,Data_source!A:J,4,FALSE),""),IF(ISBLANK(B36)=FALSE,VLOOKUP(B36,Data_source!A:J,5,FALSE),""))</f>
        <v/>
      </c>
      <c r="D36" s="11" t="str">
        <f>IF(ISBLANK(B36)=FALSE,IF(VLOOKUP(B36,Data_source!A:J,2,FALSE)="---","",VLOOKUP(B36,Data_source!A:J,2,FALSE)),"")</f>
        <v/>
      </c>
      <c r="E36" s="11" t="str">
        <f t="shared" si="0"/>
        <v/>
      </c>
      <c r="F36" s="11" t="str">
        <f>IF(ISBLANK(B36)=FALSE,IF(VLOOKUP(B36,Data_source!A:J,3,FALSE)="---","",VLOOKUP(B36,Data_source!A:J,3,FALSE)),"")</f>
        <v/>
      </c>
      <c r="G36" s="11" t="str">
        <f t="shared" si="1"/>
        <v/>
      </c>
      <c r="H36" s="12" t="str">
        <f>IF(ISBLANK(B36)=FALSE,IF(VLOOKUP(B36,Data_source!A:J,6,FALSE)="---","",VLOOKUP(B36,Data_source!A:J,6,FALSE)),"")</f>
        <v/>
      </c>
      <c r="I36" s="12" t="str">
        <f t="shared" si="2"/>
        <v/>
      </c>
      <c r="J36" s="46" t="str">
        <f>IF(ISBLANK(B36)=FALSE,IF(VLOOKUP(B36,Data_source!A:J,7,FALSE)=0,"",VLOOKUP(B36,Data_source!A:J,7,FALSE)),"")</f>
        <v/>
      </c>
      <c r="K36" s="46" t="str">
        <f>IF(ISBLANK(B36)=FALSE,IF(VLOOKUP(B36,Data_source!A:J,8,FALSE)=0,"",VLOOKUP(B36,Data_source!A:J,8,FALSE)),"")</f>
        <v/>
      </c>
      <c r="L36" s="46" t="str">
        <f>IF(ISBLANK(B36)=FALSE,IF(VLOOKUP(B36,Data_source!A:J,9,FALSE)=0,"",VLOOKUP(B36,Data_source!A:J,9,FALSE)),"")</f>
        <v/>
      </c>
      <c r="M36" s="26"/>
    </row>
    <row r="37" spans="1:13" x14ac:dyDescent="0.2">
      <c r="A37" s="10">
        <v>26</v>
      </c>
      <c r="B37" s="23"/>
      <c r="C37" s="10" t="str">
        <f>IF($E$5=1,IF(ISBLANK(B37)=FALSE,VLOOKUP(B37,Data_source!A:J,4,FALSE),""),IF(ISBLANK(B37)=FALSE,VLOOKUP(B37,Data_source!A:J,5,FALSE),""))</f>
        <v/>
      </c>
      <c r="D37" s="11" t="str">
        <f>IF(ISBLANK(B37)=FALSE,IF(VLOOKUP(B37,Data_source!A:J,2,FALSE)="---","",VLOOKUP(B37,Data_source!A:J,2,FALSE)),"")</f>
        <v/>
      </c>
      <c r="E37" s="11" t="str">
        <f t="shared" si="0"/>
        <v/>
      </c>
      <c r="F37" s="11" t="str">
        <f>IF(ISBLANK(B37)=FALSE,IF(VLOOKUP(B37,Data_source!A:J,3,FALSE)="---","",VLOOKUP(B37,Data_source!A:J,3,FALSE)),"")</f>
        <v/>
      </c>
      <c r="G37" s="11" t="str">
        <f t="shared" si="1"/>
        <v/>
      </c>
      <c r="H37" s="12" t="str">
        <f>IF(ISBLANK(B37)=FALSE,IF(VLOOKUP(B37,Data_source!A:J,6,FALSE)="---","",VLOOKUP(B37,Data_source!A:J,6,FALSE)),"")</f>
        <v/>
      </c>
      <c r="I37" s="12" t="str">
        <f t="shared" si="2"/>
        <v/>
      </c>
      <c r="J37" s="46" t="str">
        <f>IF(ISBLANK(B37)=FALSE,IF(VLOOKUP(B37,Data_source!A:J,7,FALSE)=0,"",VLOOKUP(B37,Data_source!A:J,7,FALSE)),"")</f>
        <v/>
      </c>
      <c r="K37" s="46" t="str">
        <f>IF(ISBLANK(B37)=FALSE,IF(VLOOKUP(B37,Data_source!A:J,8,FALSE)=0,"",VLOOKUP(B37,Data_source!A:J,8,FALSE)),"")</f>
        <v/>
      </c>
      <c r="L37" s="46" t="str">
        <f>IF(ISBLANK(B37)=FALSE,IF(VLOOKUP(B37,Data_source!A:J,9,FALSE)=0,"",VLOOKUP(B37,Data_source!A:J,9,FALSE)),"")</f>
        <v/>
      </c>
      <c r="M37" s="26"/>
    </row>
    <row r="38" spans="1:13" x14ac:dyDescent="0.2">
      <c r="A38" s="13">
        <v>27</v>
      </c>
      <c r="B38" s="24"/>
      <c r="C38" s="10" t="str">
        <f>IF($E$5=1,IF(ISBLANK(B38)=FALSE,VLOOKUP(B38,Data_source!A:J,4,FALSE),""),IF(ISBLANK(B38)=FALSE,VLOOKUP(B38,Data_source!A:J,5,FALSE),""))</f>
        <v/>
      </c>
      <c r="D38" s="11" t="str">
        <f>IF(ISBLANK(B38)=FALSE,IF(VLOOKUP(B38,Data_source!A:J,2,FALSE)="---","",VLOOKUP(B38,Data_source!A:J,2,FALSE)),"")</f>
        <v/>
      </c>
      <c r="E38" s="11" t="str">
        <f t="shared" si="0"/>
        <v/>
      </c>
      <c r="F38" s="11" t="str">
        <f>IF(ISBLANK(B38)=FALSE,IF(VLOOKUP(B38,Data_source!A:J,3,FALSE)="---","",VLOOKUP(B38,Data_source!A:J,3,FALSE)),"")</f>
        <v/>
      </c>
      <c r="G38" s="11" t="str">
        <f t="shared" si="1"/>
        <v/>
      </c>
      <c r="H38" s="12" t="str">
        <f>IF(ISBLANK(B38)=FALSE,IF(VLOOKUP(B38,Data_source!A:J,6,FALSE)="---","",VLOOKUP(B38,Data_source!A:J,6,FALSE)),"")</f>
        <v/>
      </c>
      <c r="I38" s="12" t="str">
        <f t="shared" si="2"/>
        <v/>
      </c>
      <c r="J38" s="46" t="str">
        <f>IF(ISBLANK(B38)=FALSE,IF(VLOOKUP(B38,Data_source!A:J,7,FALSE)=0,"",VLOOKUP(B38,Data_source!A:J,7,FALSE)),"")</f>
        <v/>
      </c>
      <c r="K38" s="46" t="str">
        <f>IF(ISBLANK(B38)=FALSE,IF(VLOOKUP(B38,Data_source!A:J,8,FALSE)=0,"",VLOOKUP(B38,Data_source!A:J,8,FALSE)),"")</f>
        <v/>
      </c>
      <c r="L38" s="46" t="str">
        <f>IF(ISBLANK(B38)=FALSE,IF(VLOOKUP(B38,Data_source!A:J,9,FALSE)=0,"",VLOOKUP(B38,Data_source!A:J,9,FALSE)),"")</f>
        <v/>
      </c>
      <c r="M38" s="26"/>
    </row>
    <row r="39" spans="1:13" x14ac:dyDescent="0.2">
      <c r="A39" s="13">
        <v>28</v>
      </c>
      <c r="B39" s="24"/>
      <c r="C39" s="10" t="str">
        <f>IF($E$5=1,IF(ISBLANK(B39)=FALSE,VLOOKUP(B39,Data_source!A:J,4,FALSE),""),IF(ISBLANK(B39)=FALSE,VLOOKUP(B39,Data_source!A:J,5,FALSE),""))</f>
        <v/>
      </c>
      <c r="D39" s="11" t="str">
        <f>IF(ISBLANK(B39)=FALSE,IF(VLOOKUP(B39,Data_source!A:J,2,FALSE)="---","",VLOOKUP(B39,Data_source!A:J,2,FALSE)),"")</f>
        <v/>
      </c>
      <c r="E39" s="11" t="str">
        <f t="shared" si="0"/>
        <v/>
      </c>
      <c r="F39" s="11" t="str">
        <f>IF(ISBLANK(B39)=FALSE,IF(VLOOKUP(B39,Data_source!A:J,3,FALSE)="---","",VLOOKUP(B39,Data_source!A:J,3,FALSE)),"")</f>
        <v/>
      </c>
      <c r="G39" s="11" t="str">
        <f t="shared" si="1"/>
        <v/>
      </c>
      <c r="H39" s="12" t="str">
        <f>IF(ISBLANK(B39)=FALSE,IF(VLOOKUP(B39,Data_source!A:J,6,FALSE)="---","",VLOOKUP(B39,Data_source!A:J,6,FALSE)),"")</f>
        <v/>
      </c>
      <c r="I39" s="12" t="str">
        <f t="shared" si="2"/>
        <v/>
      </c>
      <c r="J39" s="46" t="str">
        <f>IF(ISBLANK(B39)=FALSE,IF(VLOOKUP(B39,Data_source!A:J,7,FALSE)=0,"",VLOOKUP(B39,Data_source!A:J,7,FALSE)),"")</f>
        <v/>
      </c>
      <c r="K39" s="46" t="str">
        <f>IF(ISBLANK(B39)=FALSE,IF(VLOOKUP(B39,Data_source!A:J,8,FALSE)=0,"",VLOOKUP(B39,Data_source!A:J,8,FALSE)),"")</f>
        <v/>
      </c>
      <c r="L39" s="46" t="str">
        <f>IF(ISBLANK(B39)=FALSE,IF(VLOOKUP(B39,Data_source!A:J,9,FALSE)=0,"",VLOOKUP(B39,Data_source!A:J,9,FALSE)),"")</f>
        <v/>
      </c>
      <c r="M39" s="26"/>
    </row>
    <row r="40" spans="1:13" x14ac:dyDescent="0.2">
      <c r="A40" s="13">
        <v>29</v>
      </c>
      <c r="B40" s="23"/>
      <c r="C40" s="10" t="str">
        <f>IF($E$5=1,IF(ISBLANK(B40)=FALSE,VLOOKUP(B40,Data_source!A:J,4,FALSE),""),IF(ISBLANK(B40)=FALSE,VLOOKUP(B40,Data_source!A:J,5,FALSE),""))</f>
        <v/>
      </c>
      <c r="D40" s="11" t="str">
        <f>IF(ISBLANK(B40)=FALSE,IF(VLOOKUP(B40,Data_source!A:J,2,FALSE)="---","",VLOOKUP(B40,Data_source!A:J,2,FALSE)),"")</f>
        <v/>
      </c>
      <c r="E40" s="11" t="str">
        <f t="shared" si="0"/>
        <v/>
      </c>
      <c r="F40" s="11" t="str">
        <f>IF(ISBLANK(B40)=FALSE,IF(VLOOKUP(B40,Data_source!A:J,3,FALSE)="---","",VLOOKUP(B40,Data_source!A:J,3,FALSE)),"")</f>
        <v/>
      </c>
      <c r="G40" s="11" t="str">
        <f t="shared" si="1"/>
        <v/>
      </c>
      <c r="H40" s="12" t="str">
        <f>IF(ISBLANK(B40)=FALSE,IF(VLOOKUP(B40,Data_source!A:J,6,FALSE)="---","",VLOOKUP(B40,Data_source!A:J,6,FALSE)),"")</f>
        <v/>
      </c>
      <c r="I40" s="12" t="str">
        <f t="shared" si="2"/>
        <v/>
      </c>
      <c r="J40" s="46" t="str">
        <f>IF(ISBLANK(B40)=FALSE,IF(VLOOKUP(B40,Data_source!A:J,7,FALSE)=0,"",VLOOKUP(B40,Data_source!A:J,7,FALSE)),"")</f>
        <v/>
      </c>
      <c r="K40" s="46" t="str">
        <f>IF(ISBLANK(B40)=FALSE,IF(VLOOKUP(B40,Data_source!A:J,8,FALSE)=0,"",VLOOKUP(B40,Data_source!A:J,8,FALSE)),"")</f>
        <v/>
      </c>
      <c r="L40" s="46" t="str">
        <f>IF(ISBLANK(B40)=FALSE,IF(VLOOKUP(B40,Data_source!A:J,9,FALSE)=0,"",VLOOKUP(B40,Data_source!A:J,9,FALSE)),"")</f>
        <v/>
      </c>
      <c r="M40" s="26"/>
    </row>
    <row r="41" spans="1:13" x14ac:dyDescent="0.2">
      <c r="A41" s="13">
        <v>30</v>
      </c>
      <c r="B41" s="23"/>
      <c r="C41" s="10" t="str">
        <f>IF($E$5=1,IF(ISBLANK(B41)=FALSE,VLOOKUP(B41,Data_source!A:J,4,FALSE),""),IF(ISBLANK(B41)=FALSE,VLOOKUP(B41,Data_source!A:J,5,FALSE),""))</f>
        <v/>
      </c>
      <c r="D41" s="11" t="str">
        <f>IF(ISBLANK(B41)=FALSE,IF(VLOOKUP(B41,Data_source!A:J,2,FALSE)="---","",VLOOKUP(B41,Data_source!A:J,2,FALSE)),"")</f>
        <v/>
      </c>
      <c r="E41" s="11" t="str">
        <f t="shared" si="0"/>
        <v/>
      </c>
      <c r="F41" s="11" t="str">
        <f>IF(ISBLANK(B41)=FALSE,IF(VLOOKUP(B41,Data_source!A:J,3,FALSE)="---","",VLOOKUP(B41,Data_source!A:J,3,FALSE)),"")</f>
        <v/>
      </c>
      <c r="G41" s="11" t="str">
        <f t="shared" si="1"/>
        <v/>
      </c>
      <c r="H41" s="12" t="str">
        <f>IF(ISBLANK(B41)=FALSE,IF(VLOOKUP(B41,Data_source!A:J,6,FALSE)="---","",VLOOKUP(B41,Data_source!A:J,6,FALSE)),"")</f>
        <v/>
      </c>
      <c r="I41" s="12" t="str">
        <f t="shared" si="2"/>
        <v/>
      </c>
      <c r="J41" s="46" t="str">
        <f>IF(ISBLANK(B41)=FALSE,IF(VLOOKUP(B41,Data_source!A:J,7,FALSE)=0,"",VLOOKUP(B41,Data_source!A:J,7,FALSE)),"")</f>
        <v/>
      </c>
      <c r="K41" s="46" t="str">
        <f>IF(ISBLANK(B41)=FALSE,IF(VLOOKUP(B41,Data_source!A:J,8,FALSE)=0,"",VLOOKUP(B41,Data_source!A:J,8,FALSE)),"")</f>
        <v/>
      </c>
      <c r="L41" s="46" t="str">
        <f>IF(ISBLANK(B41)=FALSE,IF(VLOOKUP(B41,Data_source!A:J,9,FALSE)=0,"",VLOOKUP(B41,Data_source!A:J,9,FALSE)),"")</f>
        <v/>
      </c>
      <c r="M41" s="25"/>
    </row>
    <row r="42" spans="1:13" x14ac:dyDescent="0.2">
      <c r="A42" s="13">
        <v>31</v>
      </c>
      <c r="B42" s="24"/>
      <c r="C42" s="10" t="str">
        <f>IF($E$5=1,IF(ISBLANK(B42)=FALSE,VLOOKUP(B42,Data_source!A:J,4,FALSE),""),IF(ISBLANK(B42)=FALSE,VLOOKUP(B42,Data_source!A:J,5,FALSE),""))</f>
        <v/>
      </c>
      <c r="D42" s="11" t="str">
        <f>IF(ISBLANK(B42)=FALSE,IF(VLOOKUP(B42,Data_source!A:J,2,FALSE)="---","",VLOOKUP(B42,Data_source!A:J,2,FALSE)),"")</f>
        <v/>
      </c>
      <c r="E42" s="11" t="str">
        <f t="shared" si="0"/>
        <v/>
      </c>
      <c r="F42" s="11" t="str">
        <f>IF(ISBLANK(B42)=FALSE,IF(VLOOKUP(B42,Data_source!A:J,3,FALSE)="---","",VLOOKUP(B42,Data_source!A:J,3,FALSE)),"")</f>
        <v/>
      </c>
      <c r="G42" s="11" t="str">
        <f t="shared" si="1"/>
        <v/>
      </c>
      <c r="H42" s="12" t="str">
        <f>IF(ISBLANK(B42)=FALSE,IF(VLOOKUP(B42,Data_source!A:J,6,FALSE)="---","",VLOOKUP(B42,Data_source!A:J,6,FALSE)),"")</f>
        <v/>
      </c>
      <c r="I42" s="12" t="str">
        <f t="shared" si="2"/>
        <v/>
      </c>
      <c r="J42" s="46" t="str">
        <f>IF(ISBLANK(B42)=FALSE,IF(VLOOKUP(B42,Data_source!A:J,7,FALSE)=0,"",VLOOKUP(B42,Data_source!A:J,7,FALSE)),"")</f>
        <v/>
      </c>
      <c r="K42" s="46" t="str">
        <f>IF(ISBLANK(B42)=FALSE,IF(VLOOKUP(B42,Data_source!A:J,8,FALSE)=0,"",VLOOKUP(B42,Data_source!A:J,8,FALSE)),"")</f>
        <v/>
      </c>
      <c r="L42" s="46" t="str">
        <f>IF(ISBLANK(B42)=FALSE,IF(VLOOKUP(B42,Data_source!A:J,9,FALSE)=0,"",VLOOKUP(B42,Data_source!A:J,9,FALSE)),"")</f>
        <v/>
      </c>
      <c r="M42" s="26"/>
    </row>
    <row r="43" spans="1:13" x14ac:dyDescent="0.2">
      <c r="A43" s="13">
        <v>32</v>
      </c>
      <c r="B43" s="24"/>
      <c r="C43" s="10" t="str">
        <f>IF($E$5=1,IF(ISBLANK(B43)=FALSE,VLOOKUP(B43,Data_source!A:J,4,FALSE),""),IF(ISBLANK(B43)=FALSE,VLOOKUP(B43,Data_source!A:J,5,FALSE),""))</f>
        <v/>
      </c>
      <c r="D43" s="11" t="str">
        <f>IF(ISBLANK(B43)=FALSE,IF(VLOOKUP(B43,Data_source!A:J,2,FALSE)="---","",VLOOKUP(B43,Data_source!A:J,2,FALSE)),"")</f>
        <v/>
      </c>
      <c r="E43" s="11" t="str">
        <f t="shared" si="0"/>
        <v/>
      </c>
      <c r="F43" s="11" t="str">
        <f>IF(ISBLANK(B43)=FALSE,IF(VLOOKUP(B43,Data_source!A:J,3,FALSE)="---","",VLOOKUP(B43,Data_source!A:J,3,FALSE)),"")</f>
        <v/>
      </c>
      <c r="G43" s="11" t="str">
        <f t="shared" si="1"/>
        <v/>
      </c>
      <c r="H43" s="12" t="str">
        <f>IF(ISBLANK(B43)=FALSE,IF(VLOOKUP(B43,Data_source!A:J,6,FALSE)="---","",VLOOKUP(B43,Data_source!A:J,6,FALSE)),"")</f>
        <v/>
      </c>
      <c r="I43" s="12" t="str">
        <f t="shared" si="2"/>
        <v/>
      </c>
      <c r="J43" s="46" t="str">
        <f>IF(ISBLANK(B43)=FALSE,IF(VLOOKUP(B43,Data_source!A:J,7,FALSE)=0,"",VLOOKUP(B43,Data_source!A:J,7,FALSE)),"")</f>
        <v/>
      </c>
      <c r="K43" s="46" t="str">
        <f>IF(ISBLANK(B43)=FALSE,IF(VLOOKUP(B43,Data_source!A:J,8,FALSE)=0,"",VLOOKUP(B43,Data_source!A:J,8,FALSE)),"")</f>
        <v/>
      </c>
      <c r="L43" s="46" t="str">
        <f>IF(ISBLANK(B43)=FALSE,IF(VLOOKUP(B43,Data_source!A:J,9,FALSE)=0,"",VLOOKUP(B43,Data_source!A:J,9,FALSE)),"")</f>
        <v/>
      </c>
      <c r="M43" s="26"/>
    </row>
    <row r="44" spans="1:13" x14ac:dyDescent="0.2">
      <c r="A44" s="13">
        <v>33</v>
      </c>
      <c r="B44" s="23"/>
      <c r="C44" s="10" t="str">
        <f>IF($E$5=1,IF(ISBLANK(B44)=FALSE,VLOOKUP(B44,Data_source!A:J,4,FALSE),""),IF(ISBLANK(B44)=FALSE,VLOOKUP(B44,Data_source!A:J,5,FALSE),""))</f>
        <v/>
      </c>
      <c r="D44" s="11" t="str">
        <f>IF(ISBLANK(B44)=FALSE,IF(VLOOKUP(B44,Data_source!A:J,2,FALSE)="---","",VLOOKUP(B44,Data_source!A:J,2,FALSE)),"")</f>
        <v/>
      </c>
      <c r="E44" s="11" t="str">
        <f t="shared" si="0"/>
        <v/>
      </c>
      <c r="F44" s="11" t="str">
        <f>IF(ISBLANK(B44)=FALSE,IF(VLOOKUP(B44,Data_source!A:J,3,FALSE)="---","",VLOOKUP(B44,Data_source!A:J,3,FALSE)),"")</f>
        <v/>
      </c>
      <c r="G44" s="11" t="str">
        <f t="shared" si="1"/>
        <v/>
      </c>
      <c r="H44" s="12" t="str">
        <f>IF(ISBLANK(B44)=FALSE,IF(VLOOKUP(B44,Data_source!A:J,6,FALSE)="---","",VLOOKUP(B44,Data_source!A:J,6,FALSE)),"")</f>
        <v/>
      </c>
      <c r="I44" s="12" t="str">
        <f t="shared" si="2"/>
        <v/>
      </c>
      <c r="J44" s="46" t="str">
        <f>IF(ISBLANK(B44)=FALSE,IF(VLOOKUP(B44,Data_source!A:J,7,FALSE)=0,"",VLOOKUP(B44,Data_source!A:J,7,FALSE)),"")</f>
        <v/>
      </c>
      <c r="K44" s="46" t="str">
        <f>IF(ISBLANK(B44)=FALSE,IF(VLOOKUP(B44,Data_source!A:J,8,FALSE)=0,"",VLOOKUP(B44,Data_source!A:J,8,FALSE)),"")</f>
        <v/>
      </c>
      <c r="L44" s="46" t="str">
        <f>IF(ISBLANK(B44)=FALSE,IF(VLOOKUP(B44,Data_source!A:J,9,FALSE)=0,"",VLOOKUP(B44,Data_source!A:J,9,FALSE)),"")</f>
        <v/>
      </c>
      <c r="M44" s="26"/>
    </row>
    <row r="45" spans="1:13" x14ac:dyDescent="0.2">
      <c r="A45" s="13">
        <v>34</v>
      </c>
      <c r="B45" s="23"/>
      <c r="C45" s="10" t="str">
        <f>IF($E$5=1,IF(ISBLANK(B45)=FALSE,VLOOKUP(B45,Data_source!A:J,4,FALSE),""),IF(ISBLANK(B45)=FALSE,VLOOKUP(B45,Data_source!A:J,5,FALSE),""))</f>
        <v/>
      </c>
      <c r="D45" s="11" t="str">
        <f>IF(ISBLANK(B45)=FALSE,IF(VLOOKUP(B45,Data_source!A:J,2,FALSE)="---","",VLOOKUP(B45,Data_source!A:J,2,FALSE)),"")</f>
        <v/>
      </c>
      <c r="E45" s="11" t="str">
        <f t="shared" si="0"/>
        <v/>
      </c>
      <c r="F45" s="11" t="str">
        <f>IF(ISBLANK(B45)=FALSE,IF(VLOOKUP(B45,Data_source!A:J,3,FALSE)="---","",VLOOKUP(B45,Data_source!A:J,3,FALSE)),"")</f>
        <v/>
      </c>
      <c r="G45" s="11" t="str">
        <f t="shared" si="1"/>
        <v/>
      </c>
      <c r="H45" s="12" t="str">
        <f>IF(ISBLANK(B45)=FALSE,IF(VLOOKUP(B45,Data_source!A:J,6,FALSE)="---","",VLOOKUP(B45,Data_source!A:J,6,FALSE)),"")</f>
        <v/>
      </c>
      <c r="I45" s="12" t="str">
        <f t="shared" si="2"/>
        <v/>
      </c>
      <c r="J45" s="46" t="str">
        <f>IF(ISBLANK(B45)=FALSE,IF(VLOOKUP(B45,Data_source!A:J,7,FALSE)=0,"",VLOOKUP(B45,Data_source!A:J,7,FALSE)),"")</f>
        <v/>
      </c>
      <c r="K45" s="46" t="str">
        <f>IF(ISBLANK(B45)=FALSE,IF(VLOOKUP(B45,Data_source!A:J,8,FALSE)=0,"",VLOOKUP(B45,Data_source!A:J,8,FALSE)),"")</f>
        <v/>
      </c>
      <c r="L45" s="46" t="str">
        <f>IF(ISBLANK(B45)=FALSE,IF(VLOOKUP(B45,Data_source!A:J,9,FALSE)=0,"",VLOOKUP(B45,Data_source!A:J,9,FALSE)),"")</f>
        <v/>
      </c>
      <c r="M45" s="26"/>
    </row>
    <row r="46" spans="1:13" x14ac:dyDescent="0.2">
      <c r="A46" s="13">
        <v>35</v>
      </c>
      <c r="B46" s="24"/>
      <c r="C46" s="10" t="str">
        <f>IF($E$5=1,IF(ISBLANK(B46)=FALSE,VLOOKUP(B46,Data_source!A:J,4,FALSE),""),IF(ISBLANK(B46)=FALSE,VLOOKUP(B46,Data_source!A:J,5,FALSE),""))</f>
        <v/>
      </c>
      <c r="D46" s="11" t="str">
        <f>IF(ISBLANK(B46)=FALSE,IF(VLOOKUP(B46,Data_source!A:J,2,FALSE)="---","",VLOOKUP(B46,Data_source!A:J,2,FALSE)),"")</f>
        <v/>
      </c>
      <c r="E46" s="11" t="str">
        <f t="shared" si="0"/>
        <v/>
      </c>
      <c r="F46" s="11" t="str">
        <f>IF(ISBLANK(B46)=FALSE,IF(VLOOKUP(B46,Data_source!A:J,3,FALSE)="---","",VLOOKUP(B46,Data_source!A:J,3,FALSE)),"")</f>
        <v/>
      </c>
      <c r="G46" s="11" t="str">
        <f t="shared" si="1"/>
        <v/>
      </c>
      <c r="H46" s="12" t="str">
        <f>IF(ISBLANK(B46)=FALSE,IF(VLOOKUP(B46,Data_source!A:J,6,FALSE)="---","",VLOOKUP(B46,Data_source!A:J,6,FALSE)),"")</f>
        <v/>
      </c>
      <c r="I46" s="12" t="str">
        <f t="shared" si="2"/>
        <v/>
      </c>
      <c r="J46" s="46" t="str">
        <f>IF(ISBLANK(B46)=FALSE,IF(VLOOKUP(B46,Data_source!A:J,7,FALSE)=0,"",VLOOKUP(B46,Data_source!A:J,7,FALSE)),"")</f>
        <v/>
      </c>
      <c r="K46" s="46" t="str">
        <f>IF(ISBLANK(B46)=FALSE,IF(VLOOKUP(B46,Data_source!A:J,8,FALSE)=0,"",VLOOKUP(B46,Data_source!A:J,8,FALSE)),"")</f>
        <v/>
      </c>
      <c r="L46" s="46" t="str">
        <f>IF(ISBLANK(B46)=FALSE,IF(VLOOKUP(B46,Data_source!A:J,9,FALSE)=0,"",VLOOKUP(B46,Data_source!A:J,9,FALSE)),"")</f>
        <v/>
      </c>
      <c r="M46" s="26"/>
    </row>
    <row r="47" spans="1:13" x14ac:dyDescent="0.2">
      <c r="A47" s="13">
        <v>36</v>
      </c>
      <c r="B47" s="24"/>
      <c r="C47" s="10" t="str">
        <f>IF($E$5=1,IF(ISBLANK(B47)=FALSE,VLOOKUP(B47,Data_source!A:J,4,FALSE),""),IF(ISBLANK(B47)=FALSE,VLOOKUP(B47,Data_source!A:J,5,FALSE),""))</f>
        <v/>
      </c>
      <c r="D47" s="11" t="str">
        <f>IF(ISBLANK(B47)=FALSE,IF(VLOOKUP(B47,Data_source!A:J,2,FALSE)="---","",VLOOKUP(B47,Data_source!A:J,2,FALSE)),"")</f>
        <v/>
      </c>
      <c r="E47" s="11" t="str">
        <f t="shared" si="0"/>
        <v/>
      </c>
      <c r="F47" s="11" t="str">
        <f>IF(ISBLANK(B47)=FALSE,IF(VLOOKUP(B47,Data_source!A:J,3,FALSE)="---","",VLOOKUP(B47,Data_source!A:J,3,FALSE)),"")</f>
        <v/>
      </c>
      <c r="G47" s="11" t="str">
        <f t="shared" si="1"/>
        <v/>
      </c>
      <c r="H47" s="12" t="str">
        <f>IF(ISBLANK(B47)=FALSE,IF(VLOOKUP(B47,Data_source!A:J,6,FALSE)="---","",VLOOKUP(B47,Data_source!A:J,6,FALSE)),"")</f>
        <v/>
      </c>
      <c r="I47" s="12" t="str">
        <f t="shared" si="2"/>
        <v/>
      </c>
      <c r="J47" s="46" t="str">
        <f>IF(ISBLANK(B47)=FALSE,IF(VLOOKUP(B47,Data_source!A:J,7,FALSE)=0,"",VLOOKUP(B47,Data_source!A:J,7,FALSE)),"")</f>
        <v/>
      </c>
      <c r="K47" s="46" t="str">
        <f>IF(ISBLANK(B47)=FALSE,IF(VLOOKUP(B47,Data_source!A:J,8,FALSE)=0,"",VLOOKUP(B47,Data_source!A:J,8,FALSE)),"")</f>
        <v/>
      </c>
      <c r="L47" s="46" t="str">
        <f>IF(ISBLANK(B47)=FALSE,IF(VLOOKUP(B47,Data_source!A:J,9,FALSE)=0,"",VLOOKUP(B47,Data_source!A:J,9,FALSE)),"")</f>
        <v/>
      </c>
      <c r="M47" s="26"/>
    </row>
    <row r="48" spans="1:13" x14ac:dyDescent="0.2">
      <c r="A48" s="13">
        <v>37</v>
      </c>
      <c r="B48" s="23"/>
      <c r="C48" s="10" t="str">
        <f>IF($E$5=1,IF(ISBLANK(B48)=FALSE,VLOOKUP(B48,Data_source!A:J,4,FALSE),""),IF(ISBLANK(B48)=FALSE,VLOOKUP(B48,Data_source!A:J,5,FALSE),""))</f>
        <v/>
      </c>
      <c r="D48" s="11" t="str">
        <f>IF(ISBLANK(B48)=FALSE,IF(VLOOKUP(B48,Data_source!A:J,2,FALSE)="---","",VLOOKUP(B48,Data_source!A:J,2,FALSE)),"")</f>
        <v/>
      </c>
      <c r="E48" s="11" t="str">
        <f t="shared" si="0"/>
        <v/>
      </c>
      <c r="F48" s="11" t="str">
        <f>IF(ISBLANK(B48)=FALSE,IF(VLOOKUP(B48,Data_source!A:J,3,FALSE)="---","",VLOOKUP(B48,Data_source!A:J,3,FALSE)),"")</f>
        <v/>
      </c>
      <c r="G48" s="11" t="str">
        <f t="shared" si="1"/>
        <v/>
      </c>
      <c r="H48" s="12" t="str">
        <f>IF(ISBLANK(B48)=FALSE,IF(VLOOKUP(B48,Data_source!A:J,6,FALSE)="---","",VLOOKUP(B48,Data_source!A:J,6,FALSE)),"")</f>
        <v/>
      </c>
      <c r="I48" s="12" t="str">
        <f t="shared" si="2"/>
        <v/>
      </c>
      <c r="J48" s="46" t="str">
        <f>IF(ISBLANK(B48)=FALSE,IF(VLOOKUP(B48,Data_source!A:J,7,FALSE)=0,"",VLOOKUP(B48,Data_source!A:J,7,FALSE)),"")</f>
        <v/>
      </c>
      <c r="K48" s="46" t="str">
        <f>IF(ISBLANK(B48)=FALSE,IF(VLOOKUP(B48,Data_source!A:J,8,FALSE)=0,"",VLOOKUP(B48,Data_source!A:J,8,FALSE)),"")</f>
        <v/>
      </c>
      <c r="L48" s="46" t="str">
        <f>IF(ISBLANK(B48)=FALSE,IF(VLOOKUP(B48,Data_source!A:J,9,FALSE)=0,"",VLOOKUP(B48,Data_source!A:J,9,FALSE)),"")</f>
        <v/>
      </c>
      <c r="M48" s="26"/>
    </row>
    <row r="49" spans="1:13" x14ac:dyDescent="0.2">
      <c r="A49" s="13">
        <v>38</v>
      </c>
      <c r="B49" s="23"/>
      <c r="C49" s="10" t="str">
        <f>IF($E$5=1,IF(ISBLANK(B49)=FALSE,VLOOKUP(B49,Data_source!A:J,4,FALSE),""),IF(ISBLANK(B49)=FALSE,VLOOKUP(B49,Data_source!A:J,5,FALSE),""))</f>
        <v/>
      </c>
      <c r="D49" s="11" t="str">
        <f>IF(ISBLANK(B49)=FALSE,IF(VLOOKUP(B49,Data_source!A:J,2,FALSE)="---","",VLOOKUP(B49,Data_source!A:J,2,FALSE)),"")</f>
        <v/>
      </c>
      <c r="E49" s="11" t="str">
        <f t="shared" si="0"/>
        <v/>
      </c>
      <c r="F49" s="11" t="str">
        <f>IF(ISBLANK(B49)=FALSE,IF(VLOOKUP(B49,Data_source!A:J,3,FALSE)="---","",VLOOKUP(B49,Data_source!A:J,3,FALSE)),"")</f>
        <v/>
      </c>
      <c r="G49" s="11" t="str">
        <f t="shared" si="1"/>
        <v/>
      </c>
      <c r="H49" s="12" t="str">
        <f>IF(ISBLANK(B49)=FALSE,IF(VLOOKUP(B49,Data_source!A:J,6,FALSE)="---","",VLOOKUP(B49,Data_source!A:J,6,FALSE)),"")</f>
        <v/>
      </c>
      <c r="I49" s="12" t="str">
        <f t="shared" si="2"/>
        <v/>
      </c>
      <c r="J49" s="46" t="str">
        <f>IF(ISBLANK(B49)=FALSE,IF(VLOOKUP(B49,Data_source!A:J,7,FALSE)=0,"",VLOOKUP(B49,Data_source!A:J,7,FALSE)),"")</f>
        <v/>
      </c>
      <c r="K49" s="46" t="str">
        <f>IF(ISBLANK(B49)=FALSE,IF(VLOOKUP(B49,Data_source!A:J,8,FALSE)=0,"",VLOOKUP(B49,Data_source!A:J,8,FALSE)),"")</f>
        <v/>
      </c>
      <c r="L49" s="46" t="str">
        <f>IF(ISBLANK(B49)=FALSE,IF(VLOOKUP(B49,Data_source!A:J,9,FALSE)=0,"",VLOOKUP(B49,Data_source!A:J,9,FALSE)),"")</f>
        <v/>
      </c>
      <c r="M49" s="26"/>
    </row>
    <row r="50" spans="1:13" x14ac:dyDescent="0.2">
      <c r="A50" s="13">
        <v>39</v>
      </c>
      <c r="B50" s="25"/>
      <c r="C50" s="10" t="str">
        <f>IF($E$5=1,IF(ISBLANK(B50)=FALSE,VLOOKUP(B50,Data_source!A:J,4,FALSE),""),IF(ISBLANK(B50)=FALSE,VLOOKUP(B50,Data_source!A:J,5,FALSE),""))</f>
        <v/>
      </c>
      <c r="D50" s="11" t="str">
        <f>IF(ISBLANK(B50)=FALSE,IF(VLOOKUP(B50,Data_source!A:J,2,FALSE)="---","",VLOOKUP(B50,Data_source!A:J,2,FALSE)),"")</f>
        <v/>
      </c>
      <c r="E50" s="11" t="str">
        <f t="shared" si="0"/>
        <v/>
      </c>
      <c r="F50" s="11" t="str">
        <f>IF(ISBLANK(B50)=FALSE,IF(VLOOKUP(B50,Data_source!A:J,3,FALSE)="---","",VLOOKUP(B50,Data_source!A:J,3,FALSE)),"")</f>
        <v/>
      </c>
      <c r="G50" s="11" t="str">
        <f t="shared" si="1"/>
        <v/>
      </c>
      <c r="H50" s="12" t="str">
        <f>IF(ISBLANK(B50)=FALSE,IF(VLOOKUP(B50,Data_source!A:J,6,FALSE)="---","",VLOOKUP(B50,Data_source!A:J,6,FALSE)),"")</f>
        <v/>
      </c>
      <c r="I50" s="12" t="str">
        <f t="shared" si="2"/>
        <v/>
      </c>
      <c r="J50" s="46" t="str">
        <f>IF(ISBLANK(B50)=FALSE,IF(VLOOKUP(B50,Data_source!A:J,7,FALSE)=0,"",VLOOKUP(B50,Data_source!A:J,7,FALSE)),"")</f>
        <v/>
      </c>
      <c r="K50" s="46" t="str">
        <f>IF(ISBLANK(B50)=FALSE,IF(VLOOKUP(B50,Data_source!A:J,8,FALSE)=0,"",VLOOKUP(B50,Data_source!A:J,8,FALSE)),"")</f>
        <v/>
      </c>
      <c r="L50" s="46" t="str">
        <f>IF(ISBLANK(B50)=FALSE,IF(VLOOKUP(B50,Data_source!A:J,9,FALSE)=0,"",VLOOKUP(B50,Data_source!A:J,9,FALSE)),"")</f>
        <v/>
      </c>
      <c r="M50" s="26"/>
    </row>
    <row r="51" spans="1:13" x14ac:dyDescent="0.2">
      <c r="A51" s="13">
        <v>40</v>
      </c>
      <c r="B51" s="24"/>
      <c r="C51" s="10" t="str">
        <f>IF($E$5=1,IF(ISBLANK(B51)=FALSE,VLOOKUP(B51,Data_source!A:J,4,FALSE),""),IF(ISBLANK(B51)=FALSE,VLOOKUP(B51,Data_source!A:J,5,FALSE),""))</f>
        <v/>
      </c>
      <c r="D51" s="11" t="str">
        <f>IF(ISBLANK(B51)=FALSE,IF(VLOOKUP(B51,Data_source!A:J,2,FALSE)="---","",VLOOKUP(B51,Data_source!A:J,2,FALSE)),"")</f>
        <v/>
      </c>
      <c r="E51" s="11" t="str">
        <f t="shared" si="0"/>
        <v/>
      </c>
      <c r="F51" s="11" t="str">
        <f>IF(ISBLANK(B51)=FALSE,IF(VLOOKUP(B51,Data_source!A:J,3,FALSE)="---","",VLOOKUP(B51,Data_source!A:J,3,FALSE)),"")</f>
        <v/>
      </c>
      <c r="G51" s="11" t="str">
        <f t="shared" si="1"/>
        <v/>
      </c>
      <c r="H51" s="12" t="str">
        <f>IF(ISBLANK(B51)=FALSE,IF(VLOOKUP(B51,Data_source!A:J,6,FALSE)="---","",VLOOKUP(B51,Data_source!A:J,6,FALSE)),"")</f>
        <v/>
      </c>
      <c r="I51" s="12" t="str">
        <f t="shared" si="2"/>
        <v/>
      </c>
      <c r="J51" s="46" t="str">
        <f>IF(ISBLANK(B51)=FALSE,IF(VLOOKUP(B51,Data_source!A:J,7,FALSE)=0,"",VLOOKUP(B51,Data_source!A:J,7,FALSE)),"")</f>
        <v/>
      </c>
      <c r="K51" s="46" t="str">
        <f>IF(ISBLANK(B51)=FALSE,IF(VLOOKUP(B51,Data_source!A:J,8,FALSE)=0,"",VLOOKUP(B51,Data_source!A:J,8,FALSE)),"")</f>
        <v/>
      </c>
      <c r="L51" s="46" t="str">
        <f>IF(ISBLANK(B51)=FALSE,IF(VLOOKUP(B51,Data_source!A:J,9,FALSE)=0,"",VLOOKUP(B51,Data_source!A:J,9,FALSE)),"")</f>
        <v/>
      </c>
      <c r="M51" s="25"/>
    </row>
    <row r="52" spans="1:13" x14ac:dyDescent="0.2">
      <c r="A52" s="13">
        <v>41</v>
      </c>
      <c r="B52" s="24"/>
      <c r="C52" s="10" t="str">
        <f>IF($E$5=1,IF(ISBLANK(B52)=FALSE,VLOOKUP(B52,Data_source!A:J,4,FALSE),""),IF(ISBLANK(B52)=FALSE,VLOOKUP(B52,Data_source!A:J,5,FALSE),""))</f>
        <v/>
      </c>
      <c r="D52" s="11" t="str">
        <f>IF(ISBLANK(B52)=FALSE,IF(VLOOKUP(B52,Data_source!A:J,2,FALSE)="---","",VLOOKUP(B52,Data_source!A:J,2,FALSE)),"")</f>
        <v/>
      </c>
      <c r="E52" s="11" t="str">
        <f t="shared" si="0"/>
        <v/>
      </c>
      <c r="F52" s="11" t="str">
        <f>IF(ISBLANK(B52)=FALSE,IF(VLOOKUP(B52,Data_source!A:J,3,FALSE)="---","",VLOOKUP(B52,Data_source!A:J,3,FALSE)),"")</f>
        <v/>
      </c>
      <c r="G52" s="11" t="str">
        <f t="shared" si="1"/>
        <v/>
      </c>
      <c r="H52" s="12" t="str">
        <f>IF(ISBLANK(B52)=FALSE,IF(VLOOKUP(B52,Data_source!A:J,6,FALSE)="---","",VLOOKUP(B52,Data_source!A:J,6,FALSE)),"")</f>
        <v/>
      </c>
      <c r="I52" s="12" t="str">
        <f t="shared" si="2"/>
        <v/>
      </c>
      <c r="J52" s="46" t="str">
        <f>IF(ISBLANK(B52)=FALSE,IF(VLOOKUP(B52,Data_source!A:J,7,FALSE)=0,"",VLOOKUP(B52,Data_source!A:J,7,FALSE)),"")</f>
        <v/>
      </c>
      <c r="K52" s="46" t="str">
        <f>IF(ISBLANK(B52)=FALSE,IF(VLOOKUP(B52,Data_source!A:J,8,FALSE)=0,"",VLOOKUP(B52,Data_source!A:J,8,FALSE)),"")</f>
        <v/>
      </c>
      <c r="L52" s="46" t="str">
        <f>IF(ISBLANK(B52)=FALSE,IF(VLOOKUP(B52,Data_source!A:J,9,FALSE)=0,"",VLOOKUP(B52,Data_source!A:J,9,FALSE)),"")</f>
        <v/>
      </c>
      <c r="M52" s="26"/>
    </row>
    <row r="53" spans="1:13" x14ac:dyDescent="0.2">
      <c r="A53" s="13">
        <v>42</v>
      </c>
      <c r="B53" s="24"/>
      <c r="C53" s="10" t="str">
        <f>IF($E$5=1,IF(ISBLANK(B53)=FALSE,VLOOKUP(B53,Data_source!A:J,4,FALSE),""),IF(ISBLANK(B53)=FALSE,VLOOKUP(B53,Data_source!A:J,5,FALSE),""))</f>
        <v/>
      </c>
      <c r="D53" s="11" t="str">
        <f>IF(ISBLANK(B53)=FALSE,IF(VLOOKUP(B53,Data_source!A:J,2,FALSE)="---","",VLOOKUP(B53,Data_source!A:J,2,FALSE)),"")</f>
        <v/>
      </c>
      <c r="E53" s="11" t="str">
        <f t="shared" si="0"/>
        <v/>
      </c>
      <c r="F53" s="11" t="str">
        <f>IF(ISBLANK(B53)=FALSE,IF(VLOOKUP(B53,Data_source!A:J,3,FALSE)="---","",VLOOKUP(B53,Data_source!A:J,3,FALSE)),"")</f>
        <v/>
      </c>
      <c r="G53" s="11" t="str">
        <f t="shared" si="1"/>
        <v/>
      </c>
      <c r="H53" s="12" t="str">
        <f>IF(ISBLANK(B53)=FALSE,IF(VLOOKUP(B53,Data_source!A:J,6,FALSE)="---","",VLOOKUP(B53,Data_source!A:J,6,FALSE)),"")</f>
        <v/>
      </c>
      <c r="I53" s="12" t="str">
        <f t="shared" si="2"/>
        <v/>
      </c>
      <c r="J53" s="46" t="str">
        <f>IF(ISBLANK(B53)=FALSE,IF(VLOOKUP(B53,Data_source!A:J,7,FALSE)=0,"",VLOOKUP(B53,Data_source!A:J,7,FALSE)),"")</f>
        <v/>
      </c>
      <c r="K53" s="46" t="str">
        <f>IF(ISBLANK(B53)=FALSE,IF(VLOOKUP(B53,Data_source!A:J,8,FALSE)=0,"",VLOOKUP(B53,Data_source!A:J,8,FALSE)),"")</f>
        <v/>
      </c>
      <c r="L53" s="46" t="str">
        <f>IF(ISBLANK(B53)=FALSE,IF(VLOOKUP(B53,Data_source!A:J,9,FALSE)=0,"",VLOOKUP(B53,Data_source!A:J,9,FALSE)),"")</f>
        <v/>
      </c>
      <c r="M53" s="26"/>
    </row>
    <row r="54" spans="1:13" x14ac:dyDescent="0.2">
      <c r="A54" s="13">
        <v>43</v>
      </c>
      <c r="B54" s="24"/>
      <c r="C54" s="10" t="str">
        <f>IF($E$5=1,IF(ISBLANK(B54)=FALSE,VLOOKUP(B54,Data_source!A:J,4,FALSE),""),IF(ISBLANK(B54)=FALSE,VLOOKUP(B54,Data_source!A:J,5,FALSE),""))</f>
        <v/>
      </c>
      <c r="D54" s="11" t="str">
        <f>IF(ISBLANK(B54)=FALSE,IF(VLOOKUP(B54,Data_source!A:J,2,FALSE)="---","",VLOOKUP(B54,Data_source!A:J,2,FALSE)),"")</f>
        <v/>
      </c>
      <c r="E54" s="11" t="str">
        <f t="shared" si="0"/>
        <v/>
      </c>
      <c r="F54" s="11" t="str">
        <f>IF(ISBLANK(B54)=FALSE,IF(VLOOKUP(B54,Data_source!A:J,3,FALSE)="---","",VLOOKUP(B54,Data_source!A:J,3,FALSE)),"")</f>
        <v/>
      </c>
      <c r="G54" s="11" t="str">
        <f t="shared" si="1"/>
        <v/>
      </c>
      <c r="H54" s="12" t="str">
        <f>IF(ISBLANK(B54)=FALSE,IF(VLOOKUP(B54,Data_source!A:J,6,FALSE)="---","",VLOOKUP(B54,Data_source!A:J,6,FALSE)),"")</f>
        <v/>
      </c>
      <c r="I54" s="12" t="str">
        <f t="shared" si="2"/>
        <v/>
      </c>
      <c r="J54" s="46" t="str">
        <f>IF(ISBLANK(B54)=FALSE,IF(VLOOKUP(B54,Data_source!A:J,7,FALSE)=0,"",VLOOKUP(B54,Data_source!A:J,7,FALSE)),"")</f>
        <v/>
      </c>
      <c r="K54" s="46" t="str">
        <f>IF(ISBLANK(B54)=FALSE,IF(VLOOKUP(B54,Data_source!A:J,8,FALSE)=0,"",VLOOKUP(B54,Data_source!A:J,8,FALSE)),"")</f>
        <v/>
      </c>
      <c r="L54" s="46" t="str">
        <f>IF(ISBLANK(B54)=FALSE,IF(VLOOKUP(B54,Data_source!A:J,9,FALSE)=0,"",VLOOKUP(B54,Data_source!A:J,9,FALSE)),"")</f>
        <v/>
      </c>
      <c r="M54" s="26"/>
    </row>
    <row r="55" spans="1:13" x14ac:dyDescent="0.2">
      <c r="A55" s="13">
        <v>44</v>
      </c>
      <c r="B55" s="24"/>
      <c r="C55" s="10" t="str">
        <f>IF($E$5=1,IF(ISBLANK(B55)=FALSE,VLOOKUP(B55,Data_source!A:J,4,FALSE),""),IF(ISBLANK(B55)=FALSE,VLOOKUP(B55,Data_source!A:J,5,FALSE),""))</f>
        <v/>
      </c>
      <c r="D55" s="11" t="str">
        <f>IF(ISBLANK(B55)=FALSE,IF(VLOOKUP(B55,Data_source!A:J,2,FALSE)="---","",VLOOKUP(B55,Data_source!A:J,2,FALSE)),"")</f>
        <v/>
      </c>
      <c r="E55" s="11" t="str">
        <f t="shared" si="0"/>
        <v/>
      </c>
      <c r="F55" s="11" t="str">
        <f>IF(ISBLANK(B55)=FALSE,IF(VLOOKUP(B55,Data_source!A:J,3,FALSE)="---","",VLOOKUP(B55,Data_source!A:J,3,FALSE)),"")</f>
        <v/>
      </c>
      <c r="G55" s="11" t="str">
        <f t="shared" si="1"/>
        <v/>
      </c>
      <c r="H55" s="12" t="str">
        <f>IF(ISBLANK(B55)=FALSE,IF(VLOOKUP(B55,Data_source!A:J,6,FALSE)="---","",VLOOKUP(B55,Data_source!A:J,6,FALSE)),"")</f>
        <v/>
      </c>
      <c r="I55" s="12" t="str">
        <f t="shared" si="2"/>
        <v/>
      </c>
      <c r="J55" s="46" t="str">
        <f>IF(ISBLANK(B55)=FALSE,IF(VLOOKUP(B55,Data_source!A:J,7,FALSE)=0,"",VLOOKUP(B55,Data_source!A:J,7,FALSE)),"")</f>
        <v/>
      </c>
      <c r="K55" s="46" t="str">
        <f>IF(ISBLANK(B55)=FALSE,IF(VLOOKUP(B55,Data_source!A:J,8,FALSE)=0,"",VLOOKUP(B55,Data_source!A:J,8,FALSE)),"")</f>
        <v/>
      </c>
      <c r="L55" s="46" t="str">
        <f>IF(ISBLANK(B55)=FALSE,IF(VLOOKUP(B55,Data_source!A:J,9,FALSE)=0,"",VLOOKUP(B55,Data_source!A:J,9,FALSE)),"")</f>
        <v/>
      </c>
      <c r="M55" s="26"/>
    </row>
    <row r="56" spans="1:13" x14ac:dyDescent="0.2">
      <c r="A56" s="13">
        <v>45</v>
      </c>
      <c r="B56" s="23"/>
      <c r="C56" s="10" t="str">
        <f>IF($E$5=1,IF(ISBLANK(B56)=FALSE,VLOOKUP(B56,Data_source!A:J,4,FALSE),""),IF(ISBLANK(B56)=FALSE,VLOOKUP(B56,Data_source!A:J,5,FALSE),""))</f>
        <v/>
      </c>
      <c r="D56" s="11" t="str">
        <f>IF(ISBLANK(B56)=FALSE,IF(VLOOKUP(B56,Data_source!A:J,2,FALSE)="---","",VLOOKUP(B56,Data_source!A:J,2,FALSE)),"")</f>
        <v/>
      </c>
      <c r="E56" s="11" t="str">
        <f t="shared" si="0"/>
        <v/>
      </c>
      <c r="F56" s="11" t="str">
        <f>IF(ISBLANK(B56)=FALSE,IF(VLOOKUP(B56,Data_source!A:J,3,FALSE)="---","",VLOOKUP(B56,Data_source!A:J,3,FALSE)),"")</f>
        <v/>
      </c>
      <c r="G56" s="11" t="str">
        <f t="shared" si="1"/>
        <v/>
      </c>
      <c r="H56" s="12" t="str">
        <f>IF(ISBLANK(B56)=FALSE,IF(VLOOKUP(B56,Data_source!A:J,6,FALSE)="---","",VLOOKUP(B56,Data_source!A:J,6,FALSE)),"")</f>
        <v/>
      </c>
      <c r="I56" s="12" t="str">
        <f t="shared" si="2"/>
        <v/>
      </c>
      <c r="J56" s="46" t="str">
        <f>IF(ISBLANK(B56)=FALSE,IF(VLOOKUP(B56,Data_source!A:J,7,FALSE)=0,"",VLOOKUP(B56,Data_source!A:J,7,FALSE)),"")</f>
        <v/>
      </c>
      <c r="K56" s="46" t="str">
        <f>IF(ISBLANK(B56)=FALSE,IF(VLOOKUP(B56,Data_source!A:J,8,FALSE)=0,"",VLOOKUP(B56,Data_source!A:J,8,FALSE)),"")</f>
        <v/>
      </c>
      <c r="L56" s="46" t="str">
        <f>IF(ISBLANK(B56)=FALSE,IF(VLOOKUP(B56,Data_source!A:J,9,FALSE)=0,"",VLOOKUP(B56,Data_source!A:J,9,FALSE)),"")</f>
        <v/>
      </c>
      <c r="M56" s="26"/>
    </row>
    <row r="57" spans="1:13" x14ac:dyDescent="0.2">
      <c r="A57" s="13">
        <v>46</v>
      </c>
      <c r="B57" s="23"/>
      <c r="C57" s="10" t="str">
        <f>IF($E$5=1,IF(ISBLANK(B57)=FALSE,VLOOKUP(B57,Data_source!A:J,4,FALSE),""),IF(ISBLANK(B57)=FALSE,VLOOKUP(B57,Data_source!A:J,5,FALSE),""))</f>
        <v/>
      </c>
      <c r="D57" s="11" t="str">
        <f>IF(ISBLANK(B57)=FALSE,IF(VLOOKUP(B57,Data_source!A:J,2,FALSE)="---","",VLOOKUP(B57,Data_source!A:J,2,FALSE)),"")</f>
        <v/>
      </c>
      <c r="E57" s="11" t="str">
        <f t="shared" si="0"/>
        <v/>
      </c>
      <c r="F57" s="11" t="str">
        <f>IF(ISBLANK(B57)=FALSE,IF(VLOOKUP(B57,Data_source!A:J,3,FALSE)="---","",VLOOKUP(B57,Data_source!A:J,3,FALSE)),"")</f>
        <v/>
      </c>
      <c r="G57" s="11" t="str">
        <f t="shared" si="1"/>
        <v/>
      </c>
      <c r="H57" s="12" t="str">
        <f>IF(ISBLANK(B57)=FALSE,IF(VLOOKUP(B57,Data_source!A:J,6,FALSE)="---","",VLOOKUP(B57,Data_source!A:J,6,FALSE)),"")</f>
        <v/>
      </c>
      <c r="I57" s="12" t="str">
        <f t="shared" si="2"/>
        <v/>
      </c>
      <c r="J57" s="46" t="str">
        <f>IF(ISBLANK(B57)=FALSE,IF(VLOOKUP(B57,Data_source!A:J,7,FALSE)=0,"",VLOOKUP(B57,Data_source!A:J,7,FALSE)),"")</f>
        <v/>
      </c>
      <c r="K57" s="46" t="str">
        <f>IF(ISBLANK(B57)=FALSE,IF(VLOOKUP(B57,Data_source!A:J,8,FALSE)=0,"",VLOOKUP(B57,Data_source!A:J,8,FALSE)),"")</f>
        <v/>
      </c>
      <c r="L57" s="46" t="str">
        <f>IF(ISBLANK(B57)=FALSE,IF(VLOOKUP(B57,Data_source!A:J,9,FALSE)=0,"",VLOOKUP(B57,Data_source!A:J,9,FALSE)),"")</f>
        <v/>
      </c>
      <c r="M57" s="26"/>
    </row>
    <row r="58" spans="1:13" x14ac:dyDescent="0.2">
      <c r="A58" s="13">
        <v>47</v>
      </c>
      <c r="B58" s="23"/>
      <c r="C58" s="10" t="str">
        <f>IF($E$5=1,IF(ISBLANK(B58)=FALSE,VLOOKUP(B58,Data_source!A:J,4,FALSE),""),IF(ISBLANK(B58)=FALSE,VLOOKUP(B58,Data_source!A:J,5,FALSE),""))</f>
        <v/>
      </c>
      <c r="D58" s="11" t="str">
        <f>IF(ISBLANK(B58)=FALSE,IF(VLOOKUP(B58,Data_source!A:J,2,FALSE)="---","",VLOOKUP(B58,Data_source!A:J,2,FALSE)),"")</f>
        <v/>
      </c>
      <c r="E58" s="11" t="str">
        <f t="shared" si="0"/>
        <v/>
      </c>
      <c r="F58" s="11" t="str">
        <f>IF(ISBLANK(B58)=FALSE,IF(VLOOKUP(B58,Data_source!A:J,3,FALSE)="---","",VLOOKUP(B58,Data_source!A:J,3,FALSE)),"")</f>
        <v/>
      </c>
      <c r="G58" s="11" t="str">
        <f t="shared" si="1"/>
        <v/>
      </c>
      <c r="H58" s="12" t="str">
        <f>IF(ISBLANK(B58)=FALSE,IF(VLOOKUP(B58,Data_source!A:J,6,FALSE)="---","",VLOOKUP(B58,Data_source!A:J,6,FALSE)),"")</f>
        <v/>
      </c>
      <c r="I58" s="12" t="str">
        <f t="shared" si="2"/>
        <v/>
      </c>
      <c r="J58" s="46" t="str">
        <f>IF(ISBLANK(B58)=FALSE,IF(VLOOKUP(B58,Data_source!A:J,7,FALSE)=0,"",VLOOKUP(B58,Data_source!A:J,7,FALSE)),"")</f>
        <v/>
      </c>
      <c r="K58" s="46" t="str">
        <f>IF(ISBLANK(B58)=FALSE,IF(VLOOKUP(B58,Data_source!A:J,8,FALSE)=0,"",VLOOKUP(B58,Data_source!A:J,8,FALSE)),"")</f>
        <v/>
      </c>
      <c r="L58" s="46" t="str">
        <f>IF(ISBLANK(B58)=FALSE,IF(VLOOKUP(B58,Data_source!A:J,9,FALSE)=0,"",VLOOKUP(B58,Data_source!A:J,9,FALSE)),"")</f>
        <v/>
      </c>
      <c r="M58" s="26"/>
    </row>
    <row r="59" spans="1:13" x14ac:dyDescent="0.2">
      <c r="A59" s="13">
        <v>48</v>
      </c>
      <c r="B59" s="23"/>
      <c r="C59" s="10" t="str">
        <f>IF($E$5=1,IF(ISBLANK(B59)=FALSE,VLOOKUP(B59,Data_source!A:J,4,FALSE),""),IF(ISBLANK(B59)=FALSE,VLOOKUP(B59,Data_source!A:J,5,FALSE),""))</f>
        <v/>
      </c>
      <c r="D59" s="11" t="str">
        <f>IF(ISBLANK(B59)=FALSE,IF(VLOOKUP(B59,Data_source!A:J,2,FALSE)="---","",VLOOKUP(B59,Data_source!A:J,2,FALSE)),"")</f>
        <v/>
      </c>
      <c r="E59" s="11" t="str">
        <f t="shared" si="0"/>
        <v/>
      </c>
      <c r="F59" s="11" t="str">
        <f>IF(ISBLANK(B59)=FALSE,IF(VLOOKUP(B59,Data_source!A:J,3,FALSE)="---","",VLOOKUP(B59,Data_source!A:J,3,FALSE)),"")</f>
        <v/>
      </c>
      <c r="G59" s="11" t="str">
        <f t="shared" si="1"/>
        <v/>
      </c>
      <c r="H59" s="12" t="str">
        <f>IF(ISBLANK(B59)=FALSE,IF(VLOOKUP(B59,Data_source!A:J,6,FALSE)="---","",VLOOKUP(B59,Data_source!A:J,6,FALSE)),"")</f>
        <v/>
      </c>
      <c r="I59" s="12" t="str">
        <f t="shared" si="2"/>
        <v/>
      </c>
      <c r="J59" s="46" t="str">
        <f>IF(ISBLANK(B59)=FALSE,IF(VLOOKUP(B59,Data_source!A:J,7,FALSE)=0,"",VLOOKUP(B59,Data_source!A:J,7,FALSE)),"")</f>
        <v/>
      </c>
      <c r="K59" s="46" t="str">
        <f>IF(ISBLANK(B59)=FALSE,IF(VLOOKUP(B59,Data_source!A:J,8,FALSE)=0,"",VLOOKUP(B59,Data_source!A:J,8,FALSE)),"")</f>
        <v/>
      </c>
      <c r="L59" s="46" t="str">
        <f>IF(ISBLANK(B59)=FALSE,IF(VLOOKUP(B59,Data_source!A:J,9,FALSE)=0,"",VLOOKUP(B59,Data_source!A:J,9,FALSE)),"")</f>
        <v/>
      </c>
      <c r="M59" s="26"/>
    </row>
    <row r="60" spans="1:13" x14ac:dyDescent="0.2">
      <c r="A60" s="13">
        <v>49</v>
      </c>
      <c r="B60" s="25"/>
      <c r="C60" s="10" t="str">
        <f>IF($E$5=1,IF(ISBLANK(B60)=FALSE,VLOOKUP(B60,Data_source!A:J,4,FALSE),""),IF(ISBLANK(B60)=FALSE,VLOOKUP(B60,Data_source!A:J,5,FALSE),""))</f>
        <v/>
      </c>
      <c r="D60" s="11" t="str">
        <f>IF(ISBLANK(B60)=FALSE,IF(VLOOKUP(B60,Data_source!A:J,2,FALSE)="---","",VLOOKUP(B60,Data_source!A:J,2,FALSE)),"")</f>
        <v/>
      </c>
      <c r="E60" s="11" t="str">
        <f t="shared" si="0"/>
        <v/>
      </c>
      <c r="F60" s="11" t="str">
        <f>IF(ISBLANK(B60)=FALSE,IF(VLOOKUP(B60,Data_source!A:J,3,FALSE)="---","",VLOOKUP(B60,Data_source!A:J,3,FALSE)),"")</f>
        <v/>
      </c>
      <c r="G60" s="11" t="str">
        <f t="shared" si="1"/>
        <v/>
      </c>
      <c r="H60" s="12" t="str">
        <f>IF(ISBLANK(B60)=FALSE,IF(VLOOKUP(B60,Data_source!A:J,6,FALSE)="---","",VLOOKUP(B60,Data_source!A:J,6,FALSE)),"")</f>
        <v/>
      </c>
      <c r="I60" s="12" t="str">
        <f t="shared" si="2"/>
        <v/>
      </c>
      <c r="J60" s="46" t="str">
        <f>IF(ISBLANK(B60)=FALSE,IF(VLOOKUP(B60,Data_source!A:J,7,FALSE)=0,"",VLOOKUP(B60,Data_source!A:J,7,FALSE)),"")</f>
        <v/>
      </c>
      <c r="K60" s="46" t="str">
        <f>IF(ISBLANK(B60)=FALSE,IF(VLOOKUP(B60,Data_source!A:J,8,FALSE)=0,"",VLOOKUP(B60,Data_source!A:J,8,FALSE)),"")</f>
        <v/>
      </c>
      <c r="L60" s="46" t="str">
        <f>IF(ISBLANK(B60)=FALSE,IF(VLOOKUP(B60,Data_source!A:J,9,FALSE)=0,"",VLOOKUP(B60,Data_source!A:J,9,FALSE)),"")</f>
        <v/>
      </c>
      <c r="M60" s="25"/>
    </row>
    <row r="61" spans="1:13" x14ac:dyDescent="0.2">
      <c r="A61" s="13">
        <v>50</v>
      </c>
      <c r="B61" s="24"/>
      <c r="C61" s="10" t="str">
        <f>IF($E$5=1,IF(ISBLANK(B61)=FALSE,VLOOKUP(B61,Data_source!A:J,4,FALSE),""),IF(ISBLANK(B61)=FALSE,VLOOKUP(B61,Data_source!A:J,5,FALSE),""))</f>
        <v/>
      </c>
      <c r="D61" s="11" t="str">
        <f>IF(ISBLANK(B61)=FALSE,IF(VLOOKUP(B61,Data_source!A:J,2,FALSE)="---","",VLOOKUP(B61,Data_source!A:J,2,FALSE)),"")</f>
        <v/>
      </c>
      <c r="E61" s="11" t="str">
        <f t="shared" si="0"/>
        <v/>
      </c>
      <c r="F61" s="11" t="str">
        <f>IF(ISBLANK(B61)=FALSE,IF(VLOOKUP(B61,Data_source!A:J,3,FALSE)="---","",VLOOKUP(B61,Data_source!A:J,3,FALSE)),"")</f>
        <v/>
      </c>
      <c r="G61" s="11" t="str">
        <f t="shared" si="1"/>
        <v/>
      </c>
      <c r="H61" s="12" t="str">
        <f>IF(ISBLANK(B61)=FALSE,IF(VLOOKUP(B61,Data_source!A:J,6,FALSE)="---","",VLOOKUP(B61,Data_source!A:J,6,FALSE)),"")</f>
        <v/>
      </c>
      <c r="I61" s="12" t="str">
        <f t="shared" si="2"/>
        <v/>
      </c>
      <c r="J61" s="46" t="str">
        <f>IF(ISBLANK(B61)=FALSE,IF(VLOOKUP(B61,Data_source!A:J,7,FALSE)=0,"",VLOOKUP(B61,Data_source!A:J,7,FALSE)),"")</f>
        <v/>
      </c>
      <c r="K61" s="46" t="str">
        <f>IF(ISBLANK(B61)=FALSE,IF(VLOOKUP(B61,Data_source!A:J,8,FALSE)=0,"",VLOOKUP(B61,Data_source!A:J,8,FALSE)),"")</f>
        <v/>
      </c>
      <c r="L61" s="46" t="str">
        <f>IF(ISBLANK(B61)=FALSE,IF(VLOOKUP(B61,Data_source!A:J,9,FALSE)=0,"",VLOOKUP(B61,Data_source!A:J,9,FALSE)),"")</f>
        <v/>
      </c>
      <c r="M61" s="26"/>
    </row>
    <row r="62" spans="1:13" x14ac:dyDescent="0.2">
      <c r="A62" s="13">
        <v>51</v>
      </c>
      <c r="B62" s="24"/>
      <c r="C62" s="10" t="str">
        <f>IF($E$5=1,IF(ISBLANK(B62)=FALSE,VLOOKUP(B62,Data_source!A:J,4,FALSE),""),IF(ISBLANK(B62)=FALSE,VLOOKUP(B62,Data_source!A:J,5,FALSE),""))</f>
        <v/>
      </c>
      <c r="D62" s="11" t="str">
        <f>IF(ISBLANK(B62)=FALSE,IF(VLOOKUP(B62,Data_source!A:J,2,FALSE)="---","",VLOOKUP(B62,Data_source!A:J,2,FALSE)),"")</f>
        <v/>
      </c>
      <c r="E62" s="11" t="str">
        <f t="shared" si="0"/>
        <v/>
      </c>
      <c r="F62" s="11" t="str">
        <f>IF(ISBLANK(B62)=FALSE,IF(VLOOKUP(B62,Data_source!A:J,3,FALSE)="---","",VLOOKUP(B62,Data_source!A:J,3,FALSE)),"")</f>
        <v/>
      </c>
      <c r="G62" s="11" t="str">
        <f t="shared" si="1"/>
        <v/>
      </c>
      <c r="H62" s="12" t="str">
        <f>IF(ISBLANK(B62)=FALSE,IF(VLOOKUP(B62,Data_source!A:J,6,FALSE)="---","",VLOOKUP(B62,Data_source!A:J,6,FALSE)),"")</f>
        <v/>
      </c>
      <c r="I62" s="12" t="str">
        <f t="shared" si="2"/>
        <v/>
      </c>
      <c r="J62" s="46" t="str">
        <f>IF(ISBLANK(B62)=FALSE,IF(VLOOKUP(B62,Data_source!A:J,7,FALSE)=0,"",VLOOKUP(B62,Data_source!A:J,7,FALSE)),"")</f>
        <v/>
      </c>
      <c r="K62" s="46" t="str">
        <f>IF(ISBLANK(B62)=FALSE,IF(VLOOKUP(B62,Data_source!A:J,8,FALSE)=0,"",VLOOKUP(B62,Data_source!A:J,8,FALSE)),"")</f>
        <v/>
      </c>
      <c r="L62" s="46" t="str">
        <f>IF(ISBLANK(B62)=FALSE,IF(VLOOKUP(B62,Data_source!A:J,9,FALSE)=0,"",VLOOKUP(B62,Data_source!A:J,9,FALSE)),"")</f>
        <v/>
      </c>
      <c r="M62" s="26"/>
    </row>
    <row r="63" spans="1:13" x14ac:dyDescent="0.2">
      <c r="A63" s="13">
        <v>52</v>
      </c>
      <c r="B63" s="24"/>
      <c r="C63" s="10" t="str">
        <f>IF($E$5=1,IF(ISBLANK(B63)=FALSE,VLOOKUP(B63,Data_source!A:J,4,FALSE),""),IF(ISBLANK(B63)=FALSE,VLOOKUP(B63,Data_source!A:J,5,FALSE),""))</f>
        <v/>
      </c>
      <c r="D63" s="11" t="str">
        <f>IF(ISBLANK(B63)=FALSE,IF(VLOOKUP(B63,Data_source!A:J,2,FALSE)="---","",VLOOKUP(B63,Data_source!A:J,2,FALSE)),"")</f>
        <v/>
      </c>
      <c r="E63" s="11" t="str">
        <f t="shared" si="0"/>
        <v/>
      </c>
      <c r="F63" s="11" t="str">
        <f>IF(ISBLANK(B63)=FALSE,IF(VLOOKUP(B63,Data_source!A:J,3,FALSE)="---","",VLOOKUP(B63,Data_source!A:J,3,FALSE)),"")</f>
        <v/>
      </c>
      <c r="G63" s="11" t="str">
        <f t="shared" si="1"/>
        <v/>
      </c>
      <c r="H63" s="12" t="str">
        <f>IF(ISBLANK(B63)=FALSE,IF(VLOOKUP(B63,Data_source!A:J,6,FALSE)="---","",VLOOKUP(B63,Data_source!A:J,6,FALSE)),"")</f>
        <v/>
      </c>
      <c r="I63" s="12" t="str">
        <f t="shared" si="2"/>
        <v/>
      </c>
      <c r="J63" s="46" t="str">
        <f>IF(ISBLANK(B63)=FALSE,IF(VLOOKUP(B63,Data_source!A:J,7,FALSE)=0,"",VLOOKUP(B63,Data_source!A:J,7,FALSE)),"")</f>
        <v/>
      </c>
      <c r="K63" s="46" t="str">
        <f>IF(ISBLANK(B63)=FALSE,IF(VLOOKUP(B63,Data_source!A:J,8,FALSE)=0,"",VLOOKUP(B63,Data_source!A:J,8,FALSE)),"")</f>
        <v/>
      </c>
      <c r="L63" s="46" t="str">
        <f>IF(ISBLANK(B63)=FALSE,IF(VLOOKUP(B63,Data_source!A:J,9,FALSE)=0,"",VLOOKUP(B63,Data_source!A:J,9,FALSE)),"")</f>
        <v/>
      </c>
      <c r="M63" s="26"/>
    </row>
    <row r="64" spans="1:13" x14ac:dyDescent="0.2">
      <c r="A64" s="13">
        <v>53</v>
      </c>
      <c r="B64" s="24"/>
      <c r="C64" s="10" t="str">
        <f>IF($E$5=1,IF(ISBLANK(B64)=FALSE,VLOOKUP(B64,Data_source!A:J,4,FALSE),""),IF(ISBLANK(B64)=FALSE,VLOOKUP(B64,Data_source!A:J,5,FALSE),""))</f>
        <v/>
      </c>
      <c r="D64" s="11" t="str">
        <f>IF(ISBLANK(B64)=FALSE,IF(VLOOKUP(B64,Data_source!A:J,2,FALSE)="---","",VLOOKUP(B64,Data_source!A:J,2,FALSE)),"")</f>
        <v/>
      </c>
      <c r="E64" s="11" t="str">
        <f t="shared" si="0"/>
        <v/>
      </c>
      <c r="F64" s="11" t="str">
        <f>IF(ISBLANK(B64)=FALSE,IF(VLOOKUP(B64,Data_source!A:J,3,FALSE)="---","",VLOOKUP(B64,Data_source!A:J,3,FALSE)),"")</f>
        <v/>
      </c>
      <c r="G64" s="11" t="str">
        <f t="shared" si="1"/>
        <v/>
      </c>
      <c r="H64" s="12" t="str">
        <f>IF(ISBLANK(B64)=FALSE,IF(VLOOKUP(B64,Data_source!A:J,6,FALSE)="---","",VLOOKUP(B64,Data_source!A:J,6,FALSE)),"")</f>
        <v/>
      </c>
      <c r="I64" s="12" t="str">
        <f t="shared" si="2"/>
        <v/>
      </c>
      <c r="J64" s="46" t="str">
        <f>IF(ISBLANK(B64)=FALSE,IF(VLOOKUP(B64,Data_source!A:J,7,FALSE)=0,"",VLOOKUP(B64,Data_source!A:J,7,FALSE)),"")</f>
        <v/>
      </c>
      <c r="K64" s="46" t="str">
        <f>IF(ISBLANK(B64)=FALSE,IF(VLOOKUP(B64,Data_source!A:J,8,FALSE)=0,"",VLOOKUP(B64,Data_source!A:J,8,FALSE)),"")</f>
        <v/>
      </c>
      <c r="L64" s="46" t="str">
        <f>IF(ISBLANK(B64)=FALSE,IF(VLOOKUP(B64,Data_source!A:J,9,FALSE)=0,"",VLOOKUP(B64,Data_source!A:J,9,FALSE)),"")</f>
        <v/>
      </c>
      <c r="M64" s="67"/>
    </row>
    <row r="65" spans="1:13" x14ac:dyDescent="0.2">
      <c r="A65" s="13">
        <v>54</v>
      </c>
      <c r="B65" s="24"/>
      <c r="C65" s="10" t="str">
        <f>IF($E$5=1,IF(ISBLANK(B65)=FALSE,VLOOKUP(B65,Data_source!A:J,4,FALSE),""),IF(ISBLANK(B65)=FALSE,VLOOKUP(B65,Data_source!A:J,5,FALSE),""))</f>
        <v/>
      </c>
      <c r="D65" s="11" t="str">
        <f>IF(ISBLANK(B65)=FALSE,IF(VLOOKUP(B65,Data_source!A:J,2,FALSE)="---","",VLOOKUP(B65,Data_source!A:J,2,FALSE)),"")</f>
        <v/>
      </c>
      <c r="E65" s="11" t="str">
        <f t="shared" si="0"/>
        <v/>
      </c>
      <c r="F65" s="11" t="str">
        <f>IF(ISBLANK(B65)=FALSE,IF(VLOOKUP(B65,Data_source!A:J,3,FALSE)="---","",VLOOKUP(B65,Data_source!A:J,3,FALSE)),"")</f>
        <v/>
      </c>
      <c r="G65" s="11" t="str">
        <f t="shared" si="1"/>
        <v/>
      </c>
      <c r="H65" s="12" t="str">
        <f>IF(ISBLANK(B65)=FALSE,IF(VLOOKUP(B65,Data_source!A:J,6,FALSE)="---","",VLOOKUP(B65,Data_source!A:J,6,FALSE)),"")</f>
        <v/>
      </c>
      <c r="I65" s="12" t="str">
        <f t="shared" si="2"/>
        <v/>
      </c>
      <c r="J65" s="46" t="str">
        <f>IF(ISBLANK(B65)=FALSE,IF(VLOOKUP(B65,Data_source!A:J,7,FALSE)=0,"",VLOOKUP(B65,Data_source!A:J,7,FALSE)),"")</f>
        <v/>
      </c>
      <c r="K65" s="46" t="str">
        <f>IF(ISBLANK(B65)=FALSE,IF(VLOOKUP(B65,Data_source!A:J,8,FALSE)=0,"",VLOOKUP(B65,Data_source!A:J,8,FALSE)),"")</f>
        <v/>
      </c>
      <c r="L65" s="46" t="str">
        <f>IF(ISBLANK(B65)=FALSE,IF(VLOOKUP(B65,Data_source!A:J,9,FALSE)=0,"",VLOOKUP(B65,Data_source!A:J,9,FALSE)),"")</f>
        <v/>
      </c>
      <c r="M65" s="26"/>
    </row>
    <row r="66" spans="1:13" x14ac:dyDescent="0.2">
      <c r="A66" s="13">
        <v>55</v>
      </c>
      <c r="B66" s="24"/>
      <c r="C66" s="10" t="str">
        <f>IF($E$5=1,IF(ISBLANK(B66)=FALSE,VLOOKUP(B66,Data_source!A:J,4,FALSE),""),IF(ISBLANK(B66)=FALSE,VLOOKUP(B66,Data_source!A:J,5,FALSE),""))</f>
        <v/>
      </c>
      <c r="D66" s="11" t="str">
        <f>IF(ISBLANK(B66)=FALSE,IF(VLOOKUP(B66,Data_source!A:J,2,FALSE)="---","",VLOOKUP(B66,Data_source!A:J,2,FALSE)),"")</f>
        <v/>
      </c>
      <c r="E66" s="11" t="str">
        <f t="shared" si="0"/>
        <v/>
      </c>
      <c r="F66" s="11" t="str">
        <f>IF(ISBLANK(B66)=FALSE,IF(VLOOKUP(B66,Data_source!A:J,3,FALSE)="---","",VLOOKUP(B66,Data_source!A:J,3,FALSE)),"")</f>
        <v/>
      </c>
      <c r="G66" s="11" t="str">
        <f t="shared" si="1"/>
        <v/>
      </c>
      <c r="H66" s="12" t="str">
        <f>IF(ISBLANK(B66)=FALSE,IF(VLOOKUP(B66,Data_source!A:J,6,FALSE)="---","",VLOOKUP(B66,Data_source!A:J,6,FALSE)),"")</f>
        <v/>
      </c>
      <c r="I66" s="12" t="str">
        <f t="shared" si="2"/>
        <v/>
      </c>
      <c r="J66" s="46" t="str">
        <f>IF(ISBLANK(B66)=FALSE,IF(VLOOKUP(B66,Data_source!A:J,7,FALSE)=0,"",VLOOKUP(B66,Data_source!A:J,7,FALSE)),"")</f>
        <v/>
      </c>
      <c r="K66" s="46" t="str">
        <f>IF(ISBLANK(B66)=FALSE,IF(VLOOKUP(B66,Data_source!A:J,8,FALSE)=0,"",VLOOKUP(B66,Data_source!A:J,8,FALSE)),"")</f>
        <v/>
      </c>
      <c r="L66" s="46" t="str">
        <f>IF(ISBLANK(B66)=FALSE,IF(VLOOKUP(B66,Data_source!A:J,9,FALSE)=0,"",VLOOKUP(B66,Data_source!A:J,9,FALSE)),"")</f>
        <v/>
      </c>
      <c r="M66" s="26"/>
    </row>
    <row r="67" spans="1:13" x14ac:dyDescent="0.2">
      <c r="A67" s="13">
        <v>56</v>
      </c>
      <c r="B67" s="24"/>
      <c r="C67" s="10" t="str">
        <f>IF($E$5=1,IF(ISBLANK(B67)=FALSE,VLOOKUP(B67,Data_source!A:J,4,FALSE),""),IF(ISBLANK(B67)=FALSE,VLOOKUP(B67,Data_source!A:J,5,FALSE),""))</f>
        <v/>
      </c>
      <c r="D67" s="11" t="str">
        <f>IF(ISBLANK(B67)=FALSE,IF(VLOOKUP(B67,Data_source!A:J,2,FALSE)="---","",VLOOKUP(B67,Data_source!A:J,2,FALSE)),"")</f>
        <v/>
      </c>
      <c r="E67" s="11" t="str">
        <f t="shared" si="0"/>
        <v/>
      </c>
      <c r="F67" s="11" t="str">
        <f>IF(ISBLANK(B67)=FALSE,IF(VLOOKUP(B67,Data_source!A:J,3,FALSE)="---","",VLOOKUP(B67,Data_source!A:J,3,FALSE)),"")</f>
        <v/>
      </c>
      <c r="G67" s="11" t="str">
        <f t="shared" si="1"/>
        <v/>
      </c>
      <c r="H67" s="12" t="str">
        <f>IF(ISBLANK(B67)=FALSE,IF(VLOOKUP(B67,Data_source!A:J,6,FALSE)="---","",VLOOKUP(B67,Data_source!A:J,6,FALSE)),"")</f>
        <v/>
      </c>
      <c r="I67" s="12" t="str">
        <f t="shared" si="2"/>
        <v/>
      </c>
      <c r="J67" s="46" t="str">
        <f>IF(ISBLANK(B67)=FALSE,IF(VLOOKUP(B67,Data_source!A:J,7,FALSE)=0,"",VLOOKUP(B67,Data_source!A:J,7,FALSE)),"")</f>
        <v/>
      </c>
      <c r="K67" s="46" t="str">
        <f>IF(ISBLANK(B67)=FALSE,IF(VLOOKUP(B67,Data_source!A:J,8,FALSE)=0,"",VLOOKUP(B67,Data_source!A:J,8,FALSE)),"")</f>
        <v/>
      </c>
      <c r="L67" s="46" t="str">
        <f>IF(ISBLANK(B67)=FALSE,IF(VLOOKUP(B67,Data_source!A:J,9,FALSE)=0,"",VLOOKUP(B67,Data_source!A:J,9,FALSE)),"")</f>
        <v/>
      </c>
      <c r="M67" s="26"/>
    </row>
    <row r="68" spans="1:13" x14ac:dyDescent="0.2">
      <c r="A68" s="13">
        <v>57</v>
      </c>
      <c r="B68" s="24"/>
      <c r="C68" s="10" t="str">
        <f>IF($E$5=1,IF(ISBLANK(B68)=FALSE,VLOOKUP(B68,Data_source!A:J,4,FALSE),""),IF(ISBLANK(B68)=FALSE,VLOOKUP(B68,Data_source!A:J,5,FALSE),""))</f>
        <v/>
      </c>
      <c r="D68" s="11" t="str">
        <f>IF(ISBLANK(B68)=FALSE,IF(VLOOKUP(B68,Data_source!A:J,2,FALSE)="---","",VLOOKUP(B68,Data_source!A:J,2,FALSE)),"")</f>
        <v/>
      </c>
      <c r="E68" s="11" t="str">
        <f t="shared" si="0"/>
        <v/>
      </c>
      <c r="F68" s="11" t="str">
        <f>IF(ISBLANK(B68)=FALSE,IF(VLOOKUP(B68,Data_source!A:J,3,FALSE)="---","",VLOOKUP(B68,Data_source!A:J,3,FALSE)),"")</f>
        <v/>
      </c>
      <c r="G68" s="11" t="str">
        <f t="shared" si="1"/>
        <v/>
      </c>
      <c r="H68" s="12" t="str">
        <f>IF(ISBLANK(B68)=FALSE,IF(VLOOKUP(B68,Data_source!A:J,6,FALSE)="---","",VLOOKUP(B68,Data_source!A:J,6,FALSE)),"")</f>
        <v/>
      </c>
      <c r="I68" s="12" t="str">
        <f t="shared" si="2"/>
        <v/>
      </c>
      <c r="J68" s="46" t="str">
        <f>IF(ISBLANK(B68)=FALSE,IF(VLOOKUP(B68,Data_source!A:J,7,FALSE)=0,"",VLOOKUP(B68,Data_source!A:J,7,FALSE)),"")</f>
        <v/>
      </c>
      <c r="K68" s="46" t="str">
        <f>IF(ISBLANK(B68)=FALSE,IF(VLOOKUP(B68,Data_source!A:J,8,FALSE)=0,"",VLOOKUP(B68,Data_source!A:J,8,FALSE)),"")</f>
        <v/>
      </c>
      <c r="L68" s="46" t="str">
        <f>IF(ISBLANK(B68)=FALSE,IF(VLOOKUP(B68,Data_source!A:J,9,FALSE)=0,"",VLOOKUP(B68,Data_source!A:J,9,FALSE)),"")</f>
        <v/>
      </c>
      <c r="M68" s="26"/>
    </row>
    <row r="69" spans="1:13" x14ac:dyDescent="0.2">
      <c r="A69" s="13">
        <v>58</v>
      </c>
      <c r="B69" s="24"/>
      <c r="C69" s="10" t="str">
        <f>IF($E$5=1,IF(ISBLANK(B69)=FALSE,VLOOKUP(B69,Data_source!A:J,4,FALSE),""),IF(ISBLANK(B69)=FALSE,VLOOKUP(B69,Data_source!A:J,5,FALSE),""))</f>
        <v/>
      </c>
      <c r="D69" s="11" t="str">
        <f>IF(ISBLANK(B69)=FALSE,IF(VLOOKUP(B69,Data_source!A:J,2,FALSE)="---","",VLOOKUP(B69,Data_source!A:J,2,FALSE)),"")</f>
        <v/>
      </c>
      <c r="E69" s="11" t="str">
        <f t="shared" si="0"/>
        <v/>
      </c>
      <c r="F69" s="11" t="str">
        <f>IF(ISBLANK(B69)=FALSE,IF(VLOOKUP(B69,Data_source!A:J,3,FALSE)="---","",VLOOKUP(B69,Data_source!A:J,3,FALSE)),"")</f>
        <v/>
      </c>
      <c r="G69" s="11" t="str">
        <f t="shared" si="1"/>
        <v/>
      </c>
      <c r="H69" s="12" t="str">
        <f>IF(ISBLANK(B69)=FALSE,IF(VLOOKUP(B69,Data_source!A:J,6,FALSE)="---","",VLOOKUP(B69,Data_source!A:J,6,FALSE)),"")</f>
        <v/>
      </c>
      <c r="I69" s="12" t="str">
        <f t="shared" si="2"/>
        <v/>
      </c>
      <c r="J69" s="46" t="str">
        <f>IF(ISBLANK(B69)=FALSE,IF(VLOOKUP(B69,Data_source!A:J,7,FALSE)=0,"",VLOOKUP(B69,Data_source!A:J,7,FALSE)),"")</f>
        <v/>
      </c>
      <c r="K69" s="46" t="str">
        <f>IF(ISBLANK(B69)=FALSE,IF(VLOOKUP(B69,Data_source!A:J,8,FALSE)=0,"",VLOOKUP(B69,Data_source!A:J,8,FALSE)),"")</f>
        <v/>
      </c>
      <c r="L69" s="46" t="str">
        <f>IF(ISBLANK(B69)=FALSE,IF(VLOOKUP(B69,Data_source!A:J,9,FALSE)=0,"",VLOOKUP(B69,Data_source!A:J,9,FALSE)),"")</f>
        <v/>
      </c>
      <c r="M69" s="26"/>
    </row>
    <row r="70" spans="1:13" x14ac:dyDescent="0.2">
      <c r="A70" s="13">
        <v>59</v>
      </c>
      <c r="B70" s="25"/>
      <c r="C70" s="10" t="str">
        <f>IF($E$5=1,IF(ISBLANK(B70)=FALSE,VLOOKUP(B70,Data_source!A:J,4,FALSE),""),IF(ISBLANK(B70)=FALSE,VLOOKUP(B70,Data_source!A:J,5,FALSE),""))</f>
        <v/>
      </c>
      <c r="D70" s="11" t="str">
        <f>IF(ISBLANK(B70)=FALSE,IF(VLOOKUP(B70,Data_source!A:J,2,FALSE)="---","",VLOOKUP(B70,Data_source!A:J,2,FALSE)),"")</f>
        <v/>
      </c>
      <c r="E70" s="11" t="str">
        <f t="shared" si="0"/>
        <v/>
      </c>
      <c r="F70" s="11" t="str">
        <f>IF(ISBLANK(B70)=FALSE,IF(VLOOKUP(B70,Data_source!A:J,3,FALSE)="---","",VLOOKUP(B70,Data_source!A:J,3,FALSE)),"")</f>
        <v/>
      </c>
      <c r="G70" s="11" t="str">
        <f t="shared" si="1"/>
        <v/>
      </c>
      <c r="H70" s="12" t="str">
        <f>IF(ISBLANK(B70)=FALSE,IF(VLOOKUP(B70,Data_source!A:J,6,FALSE)="---","",VLOOKUP(B70,Data_source!A:J,6,FALSE)),"")</f>
        <v/>
      </c>
      <c r="I70" s="12" t="str">
        <f t="shared" si="2"/>
        <v/>
      </c>
      <c r="J70" s="46" t="str">
        <f>IF(ISBLANK(B70)=FALSE,IF(VLOOKUP(B70,Data_source!A:J,7,FALSE)=0,"",VLOOKUP(B70,Data_source!A:J,7,FALSE)),"")</f>
        <v/>
      </c>
      <c r="K70" s="46" t="str">
        <f>IF(ISBLANK(B70)=FALSE,IF(VLOOKUP(B70,Data_source!A:J,8,FALSE)=0,"",VLOOKUP(B70,Data_source!A:J,8,FALSE)),"")</f>
        <v/>
      </c>
      <c r="L70" s="46" t="str">
        <f>IF(ISBLANK(B70)=FALSE,IF(VLOOKUP(B70,Data_source!A:J,9,FALSE)=0,"",VLOOKUP(B70,Data_source!A:J,9,FALSE)),"")</f>
        <v/>
      </c>
      <c r="M70" s="26"/>
    </row>
    <row r="71" spans="1:13" x14ac:dyDescent="0.2">
      <c r="A71" s="13">
        <v>60</v>
      </c>
      <c r="B71" s="24"/>
      <c r="C71" s="10" t="str">
        <f>IF($E$5=1,IF(ISBLANK(B71)=FALSE,VLOOKUP(B71,Data_source!A:J,4,FALSE),""),IF(ISBLANK(B71)=FALSE,VLOOKUP(B71,Data_source!A:J,5,FALSE),""))</f>
        <v/>
      </c>
      <c r="D71" s="11" t="str">
        <f>IF(ISBLANK(B71)=FALSE,IF(VLOOKUP(B71,Data_source!A:J,2,FALSE)="---","",VLOOKUP(B71,Data_source!A:J,2,FALSE)),"")</f>
        <v/>
      </c>
      <c r="E71" s="11" t="str">
        <f t="shared" si="0"/>
        <v/>
      </c>
      <c r="F71" s="11" t="str">
        <f>IF(ISBLANK(B71)=FALSE,IF(VLOOKUP(B71,Data_source!A:J,3,FALSE)="---","",VLOOKUP(B71,Data_source!A:J,3,FALSE)),"")</f>
        <v/>
      </c>
      <c r="G71" s="11" t="str">
        <f t="shared" si="1"/>
        <v/>
      </c>
      <c r="H71" s="12" t="str">
        <f>IF(ISBLANK(B71)=FALSE,IF(VLOOKUP(B71,Data_source!A:J,6,FALSE)="---","",VLOOKUP(B71,Data_source!A:J,6,FALSE)),"")</f>
        <v/>
      </c>
      <c r="I71" s="12" t="str">
        <f t="shared" si="2"/>
        <v/>
      </c>
      <c r="J71" s="46" t="str">
        <f>IF(ISBLANK(B71)=FALSE,IF(VLOOKUP(B71,Data_source!A:J,7,FALSE)=0,"",VLOOKUP(B71,Data_source!A:J,7,FALSE)),"")</f>
        <v/>
      </c>
      <c r="K71" s="46" t="str">
        <f>IF(ISBLANK(B71)=FALSE,IF(VLOOKUP(B71,Data_source!A:J,8,FALSE)=0,"",VLOOKUP(B71,Data_source!A:J,8,FALSE)),"")</f>
        <v/>
      </c>
      <c r="L71" s="46" t="str">
        <f>IF(ISBLANK(B71)=FALSE,IF(VLOOKUP(B71,Data_source!A:J,9,FALSE)=0,"",VLOOKUP(B71,Data_source!A:J,9,FALSE)),"")</f>
        <v/>
      </c>
      <c r="M71" s="25"/>
    </row>
    <row r="72" spans="1:13" x14ac:dyDescent="0.2">
      <c r="A72" s="13">
        <v>61</v>
      </c>
      <c r="B72" s="24"/>
      <c r="C72" s="10" t="str">
        <f>IF($E$5=1,IF(ISBLANK(B72)=FALSE,VLOOKUP(B72,Data_source!A:J,4,FALSE),""),IF(ISBLANK(B72)=FALSE,VLOOKUP(B72,Data_source!A:J,5,FALSE),""))</f>
        <v/>
      </c>
      <c r="D72" s="11" t="str">
        <f>IF(ISBLANK(B72)=FALSE,IF(VLOOKUP(B72,Data_source!A:J,2,FALSE)="---","",VLOOKUP(B72,Data_source!A:J,2,FALSE)),"")</f>
        <v/>
      </c>
      <c r="E72" s="11" t="str">
        <f t="shared" si="0"/>
        <v/>
      </c>
      <c r="F72" s="11" t="str">
        <f>IF(ISBLANK(B72)=FALSE,IF(VLOOKUP(B72,Data_source!A:J,3,FALSE)="---","",VLOOKUP(B72,Data_source!A:J,3,FALSE)),"")</f>
        <v/>
      </c>
      <c r="G72" s="11" t="str">
        <f t="shared" si="1"/>
        <v/>
      </c>
      <c r="H72" s="12" t="str">
        <f>IF(ISBLANK(B72)=FALSE,IF(VLOOKUP(B72,Data_source!A:J,6,FALSE)="---","",VLOOKUP(B72,Data_source!A:J,6,FALSE)),"")</f>
        <v/>
      </c>
      <c r="I72" s="12" t="str">
        <f t="shared" si="2"/>
        <v/>
      </c>
      <c r="J72" s="46" t="str">
        <f>IF(ISBLANK(B72)=FALSE,IF(VLOOKUP(B72,Data_source!A:J,7,FALSE)=0,"",VLOOKUP(B72,Data_source!A:J,7,FALSE)),"")</f>
        <v/>
      </c>
      <c r="K72" s="46" t="str">
        <f>IF(ISBLANK(B72)=FALSE,IF(VLOOKUP(B72,Data_source!A:J,8,FALSE)=0,"",VLOOKUP(B72,Data_source!A:J,8,FALSE)),"")</f>
        <v/>
      </c>
      <c r="L72" s="46" t="str">
        <f>IF(ISBLANK(B72)=FALSE,IF(VLOOKUP(B72,Data_source!A:J,9,FALSE)=0,"",VLOOKUP(B72,Data_source!A:J,9,FALSE)),"")</f>
        <v/>
      </c>
      <c r="M72" s="26"/>
    </row>
    <row r="73" spans="1:13" x14ac:dyDescent="0.2">
      <c r="A73" s="13">
        <v>62</v>
      </c>
      <c r="B73" s="24"/>
      <c r="C73" s="10" t="str">
        <f>IF($E$5=1,IF(ISBLANK(B73)=FALSE,VLOOKUP(B73,Data_source!A:J,4,FALSE),""),IF(ISBLANK(B73)=FALSE,VLOOKUP(B73,Data_source!A:J,5,FALSE),""))</f>
        <v/>
      </c>
      <c r="D73" s="11" t="str">
        <f>IF(ISBLANK(B73)=FALSE,IF(VLOOKUP(B73,Data_source!A:J,2,FALSE)="---","",VLOOKUP(B73,Data_source!A:J,2,FALSE)),"")</f>
        <v/>
      </c>
      <c r="E73" s="11" t="str">
        <f t="shared" si="0"/>
        <v/>
      </c>
      <c r="F73" s="11" t="str">
        <f>IF(ISBLANK(B73)=FALSE,IF(VLOOKUP(B73,Data_source!A:J,3,FALSE)="---","",VLOOKUP(B73,Data_source!A:J,3,FALSE)),"")</f>
        <v/>
      </c>
      <c r="G73" s="11" t="str">
        <f t="shared" si="1"/>
        <v/>
      </c>
      <c r="H73" s="12" t="str">
        <f>IF(ISBLANK(B73)=FALSE,IF(VLOOKUP(B73,Data_source!A:J,6,FALSE)="---","",VLOOKUP(B73,Data_source!A:J,6,FALSE)),"")</f>
        <v/>
      </c>
      <c r="I73" s="12" t="str">
        <f t="shared" si="2"/>
        <v/>
      </c>
      <c r="J73" s="46" t="str">
        <f>IF(ISBLANK(B73)=FALSE,IF(VLOOKUP(B73,Data_source!A:J,7,FALSE)=0,"",VLOOKUP(B73,Data_source!A:J,7,FALSE)),"")</f>
        <v/>
      </c>
      <c r="K73" s="46" t="str">
        <f>IF(ISBLANK(B73)=FALSE,IF(VLOOKUP(B73,Data_source!A:J,8,FALSE)=0,"",VLOOKUP(B73,Data_source!A:J,8,FALSE)),"")</f>
        <v/>
      </c>
      <c r="L73" s="46" t="str">
        <f>IF(ISBLANK(B73)=FALSE,IF(VLOOKUP(B73,Data_source!A:J,9,FALSE)=0,"",VLOOKUP(B73,Data_source!A:J,9,FALSE)),"")</f>
        <v/>
      </c>
      <c r="M73" s="26"/>
    </row>
    <row r="74" spans="1:13" x14ac:dyDescent="0.2">
      <c r="A74" s="13">
        <v>63</v>
      </c>
      <c r="B74" s="24"/>
      <c r="C74" s="10" t="str">
        <f>IF($E$5=1,IF(ISBLANK(B74)=FALSE,VLOOKUP(B74,Data_source!A:J,4,FALSE),""),IF(ISBLANK(B74)=FALSE,VLOOKUP(B74,Data_source!A:J,5,FALSE),""))</f>
        <v/>
      </c>
      <c r="D74" s="11" t="str">
        <f>IF(ISBLANK(B74)=FALSE,IF(VLOOKUP(B74,Data_source!A:J,2,FALSE)="---","",VLOOKUP(B74,Data_source!A:J,2,FALSE)),"")</f>
        <v/>
      </c>
      <c r="E74" s="11" t="str">
        <f t="shared" si="0"/>
        <v/>
      </c>
      <c r="F74" s="11" t="str">
        <f>IF(ISBLANK(B74)=FALSE,IF(VLOOKUP(B74,Data_source!A:J,3,FALSE)="---","",VLOOKUP(B74,Data_source!A:J,3,FALSE)),"")</f>
        <v/>
      </c>
      <c r="G74" s="11" t="str">
        <f t="shared" si="1"/>
        <v/>
      </c>
      <c r="H74" s="12" t="str">
        <f>IF(ISBLANK(B74)=FALSE,IF(VLOOKUP(B74,Data_source!A:J,6,FALSE)="---","",VLOOKUP(B74,Data_source!A:J,6,FALSE)),"")</f>
        <v/>
      </c>
      <c r="I74" s="12" t="str">
        <f t="shared" si="2"/>
        <v/>
      </c>
      <c r="J74" s="46" t="str">
        <f>IF(ISBLANK(B74)=FALSE,IF(VLOOKUP(B74,Data_source!A:J,7,FALSE)=0,"",VLOOKUP(B74,Data_source!A:J,7,FALSE)),"")</f>
        <v/>
      </c>
      <c r="K74" s="46" t="str">
        <f>IF(ISBLANK(B74)=FALSE,IF(VLOOKUP(B74,Data_source!A:J,8,FALSE)=0,"",VLOOKUP(B74,Data_source!A:J,8,FALSE)),"")</f>
        <v/>
      </c>
      <c r="L74" s="46" t="str">
        <f>IF(ISBLANK(B74)=FALSE,IF(VLOOKUP(B74,Data_source!A:J,9,FALSE)=0,"",VLOOKUP(B74,Data_source!A:J,9,FALSE)),"")</f>
        <v/>
      </c>
      <c r="M74" s="26"/>
    </row>
    <row r="75" spans="1:13" x14ac:dyDescent="0.2">
      <c r="A75" s="13">
        <v>64</v>
      </c>
      <c r="B75" s="24"/>
      <c r="C75" s="10" t="str">
        <f>IF($E$5=1,IF(ISBLANK(B75)=FALSE,VLOOKUP(B75,Data_source!A:J,4,FALSE),""),IF(ISBLANK(B75)=FALSE,VLOOKUP(B75,Data_source!A:J,5,FALSE),""))</f>
        <v/>
      </c>
      <c r="D75" s="11" t="str">
        <f>IF(ISBLANK(B75)=FALSE,IF(VLOOKUP(B75,Data_source!A:J,2,FALSE)="---","",VLOOKUP(B75,Data_source!A:J,2,FALSE)),"")</f>
        <v/>
      </c>
      <c r="E75" s="11" t="str">
        <f t="shared" si="0"/>
        <v/>
      </c>
      <c r="F75" s="11" t="str">
        <f>IF(ISBLANK(B75)=FALSE,IF(VLOOKUP(B75,Data_source!A:J,3,FALSE)="---","",VLOOKUP(B75,Data_source!A:J,3,FALSE)),"")</f>
        <v/>
      </c>
      <c r="G75" s="11" t="str">
        <f t="shared" si="1"/>
        <v/>
      </c>
      <c r="H75" s="12" t="str">
        <f>IF(ISBLANK(B75)=FALSE,IF(VLOOKUP(B75,Data_source!A:J,6,FALSE)="---","",VLOOKUP(B75,Data_source!A:J,6,FALSE)),"")</f>
        <v/>
      </c>
      <c r="I75" s="12" t="str">
        <f t="shared" si="2"/>
        <v/>
      </c>
      <c r="J75" s="46" t="str">
        <f>IF(ISBLANK(B75)=FALSE,IF(VLOOKUP(B75,Data_source!A:J,7,FALSE)=0,"",VLOOKUP(B75,Data_source!A:J,7,FALSE)),"")</f>
        <v/>
      </c>
      <c r="K75" s="46" t="str">
        <f>IF(ISBLANK(B75)=FALSE,IF(VLOOKUP(B75,Data_source!A:J,8,FALSE)=0,"",VLOOKUP(B75,Data_source!A:J,8,FALSE)),"")</f>
        <v/>
      </c>
      <c r="L75" s="46" t="str">
        <f>IF(ISBLANK(B75)=FALSE,IF(VLOOKUP(B75,Data_source!A:J,9,FALSE)=0,"",VLOOKUP(B75,Data_source!A:J,9,FALSE)),"")</f>
        <v/>
      </c>
      <c r="M75" s="26"/>
    </row>
    <row r="76" spans="1:13" x14ac:dyDescent="0.2">
      <c r="A76" s="13">
        <v>65</v>
      </c>
      <c r="B76" s="24"/>
      <c r="C76" s="10" t="str">
        <f>IF($E$5=1,IF(ISBLANK(B76)=FALSE,VLOOKUP(B76,Data_source!A:J,4,FALSE),""),IF(ISBLANK(B76)=FALSE,VLOOKUP(B76,Data_source!A:J,5,FALSE),""))</f>
        <v/>
      </c>
      <c r="D76" s="11" t="str">
        <f>IF(ISBLANK(B76)=FALSE,IF(VLOOKUP(B76,Data_source!A:J,2,FALSE)="---","",VLOOKUP(B76,Data_source!A:J,2,FALSE)),"")</f>
        <v/>
      </c>
      <c r="E76" s="11" t="str">
        <f t="shared" si="0"/>
        <v/>
      </c>
      <c r="F76" s="11" t="str">
        <f>IF(ISBLANK(B76)=FALSE,IF(VLOOKUP(B76,Data_source!A:J,3,FALSE)="---","",VLOOKUP(B76,Data_source!A:J,3,FALSE)),"")</f>
        <v/>
      </c>
      <c r="G76" s="11" t="str">
        <f t="shared" si="1"/>
        <v/>
      </c>
      <c r="H76" s="12" t="str">
        <f>IF(ISBLANK(B76)=FALSE,IF(VLOOKUP(B76,Data_source!A:J,6,FALSE)="---","",VLOOKUP(B76,Data_source!A:J,6,FALSE)),"")</f>
        <v/>
      </c>
      <c r="I76" s="12" t="str">
        <f t="shared" si="2"/>
        <v/>
      </c>
      <c r="J76" s="46" t="str">
        <f>IF(ISBLANK(B76)=FALSE,IF(VLOOKUP(B76,Data_source!A:J,7,FALSE)=0,"",VLOOKUP(B76,Data_source!A:J,7,FALSE)),"")</f>
        <v/>
      </c>
      <c r="K76" s="46" t="str">
        <f>IF(ISBLANK(B76)=FALSE,IF(VLOOKUP(B76,Data_source!A:J,8,FALSE)=0,"",VLOOKUP(B76,Data_source!A:J,8,FALSE)),"")</f>
        <v/>
      </c>
      <c r="L76" s="46" t="str">
        <f>IF(ISBLANK(B76)=FALSE,IF(VLOOKUP(B76,Data_source!A:J,9,FALSE)=0,"",VLOOKUP(B76,Data_source!A:J,9,FALSE)),"")</f>
        <v/>
      </c>
      <c r="M76" s="26"/>
    </row>
    <row r="77" spans="1:13" x14ac:dyDescent="0.2">
      <c r="A77" s="13">
        <v>66</v>
      </c>
      <c r="B77" s="25"/>
      <c r="C77" s="10" t="str">
        <f>IF($E$5=1,IF(ISBLANK(B77)=FALSE,VLOOKUP(B77,Data_source!A:J,4,FALSE),""),IF(ISBLANK(B77)=FALSE,VLOOKUP(B77,Data_source!A:J,5,FALSE),""))</f>
        <v/>
      </c>
      <c r="D77" s="11" t="str">
        <f>IF(ISBLANK(B77)=FALSE,IF(VLOOKUP(B77,Data_source!A:J,2,FALSE)="---","",VLOOKUP(B77,Data_source!A:J,2,FALSE)),"")</f>
        <v/>
      </c>
      <c r="E77" s="11" t="str">
        <f t="shared" si="0"/>
        <v/>
      </c>
      <c r="F77" s="11" t="str">
        <f>IF(ISBLANK(B77)=FALSE,IF(VLOOKUP(B77,Data_source!A:J,3,FALSE)="---","",VLOOKUP(B77,Data_source!A:J,3,FALSE)),"")</f>
        <v/>
      </c>
      <c r="G77" s="11" t="str">
        <f t="shared" si="1"/>
        <v/>
      </c>
      <c r="H77" s="12" t="str">
        <f>IF(ISBLANK(B77)=FALSE,IF(VLOOKUP(B77,Data_source!A:J,6,FALSE)="---","",VLOOKUP(B77,Data_source!A:J,6,FALSE)),"")</f>
        <v/>
      </c>
      <c r="I77" s="12" t="str">
        <f t="shared" si="2"/>
        <v/>
      </c>
      <c r="J77" s="46" t="str">
        <f>IF(ISBLANK(B77)=FALSE,IF(VLOOKUP(B77,Data_source!A:J,7,FALSE)=0,"",VLOOKUP(B77,Data_source!A:J,7,FALSE)),"")</f>
        <v/>
      </c>
      <c r="K77" s="46" t="str">
        <f>IF(ISBLANK(B77)=FALSE,IF(VLOOKUP(B77,Data_source!A:J,8,FALSE)=0,"",VLOOKUP(B77,Data_source!A:J,8,FALSE)),"")</f>
        <v/>
      </c>
      <c r="L77" s="46" t="str">
        <f>IF(ISBLANK(B77)=FALSE,IF(VLOOKUP(B77,Data_source!A:J,9,FALSE)=0,"",VLOOKUP(B77,Data_source!A:J,9,FALSE)),"")</f>
        <v/>
      </c>
      <c r="M77" s="25"/>
    </row>
    <row r="78" spans="1:13" x14ac:dyDescent="0.2">
      <c r="A78" s="13">
        <v>67</v>
      </c>
      <c r="B78" s="24"/>
      <c r="C78" s="10" t="str">
        <f>IF($E$5=1,IF(ISBLANK(B78)=FALSE,VLOOKUP(B78,Data_source!A:J,4,FALSE),""),IF(ISBLANK(B78)=FALSE,VLOOKUP(B78,Data_source!A:J,5,FALSE),""))</f>
        <v/>
      </c>
      <c r="D78" s="11" t="str">
        <f>IF(ISBLANK(B78)=FALSE,IF(VLOOKUP(B78,Data_source!A:J,2,FALSE)="---","",VLOOKUP(B78,Data_source!A:J,2,FALSE)),"")</f>
        <v/>
      </c>
      <c r="E78" s="11" t="str">
        <f t="shared" ref="E78:E141" si="3">IF(F78&lt;&gt;"",D78,IF(D78&gt;0,D78,IF(E77="",D78,E77+D78)))</f>
        <v/>
      </c>
      <c r="F78" s="11" t="str">
        <f>IF(ISBLANK(B78)=FALSE,IF(VLOOKUP(B78,Data_source!A:J,3,FALSE)="---","",VLOOKUP(B78,Data_source!A:J,3,FALSE)),"")</f>
        <v/>
      </c>
      <c r="G78" s="11" t="str">
        <f t="shared" ref="G78:G141" si="4">IF(F78&gt;0, F78, IF(F78="", "", IF(G77="", F78, G77+F78)))</f>
        <v/>
      </c>
      <c r="H78" s="12" t="str">
        <f>IF(ISBLANK(B78)=FALSE,IF(VLOOKUP(B78,Data_source!A:J,6,FALSE)="---","",VLOOKUP(B78,Data_source!A:J,6,FALSE)),"")</f>
        <v/>
      </c>
      <c r="I78" s="12" t="str">
        <f t="shared" ref="I78:I141" si="5">IF(H78="","",IF(H77="",H78,H78+I77))</f>
        <v/>
      </c>
      <c r="J78" s="46" t="str">
        <f>IF(ISBLANK(B78)=FALSE,IF(VLOOKUP(B78,Data_source!A:J,7,FALSE)=0,"",VLOOKUP(B78,Data_source!A:J,7,FALSE)),"")</f>
        <v/>
      </c>
      <c r="K78" s="46" t="str">
        <f>IF(ISBLANK(B78)=FALSE,IF(VLOOKUP(B78,Data_source!A:J,8,FALSE)=0,"",VLOOKUP(B78,Data_source!A:J,8,FALSE)),"")</f>
        <v/>
      </c>
      <c r="L78" s="46" t="str">
        <f>IF(ISBLANK(B78)=FALSE,IF(VLOOKUP(B78,Data_source!A:J,9,FALSE)=0,"",VLOOKUP(B78,Data_source!A:J,9,FALSE)),"")</f>
        <v/>
      </c>
      <c r="M78" s="26"/>
    </row>
    <row r="79" spans="1:13" x14ac:dyDescent="0.2">
      <c r="A79" s="13">
        <v>68</v>
      </c>
      <c r="B79" s="24"/>
      <c r="C79" s="10" t="str">
        <f>IF($E$5=1,IF(ISBLANK(B79)=FALSE,VLOOKUP(B79,Data_source!A:J,4,FALSE),""),IF(ISBLANK(B79)=FALSE,VLOOKUP(B79,Data_source!A:J,5,FALSE),""))</f>
        <v/>
      </c>
      <c r="D79" s="11" t="str">
        <f>IF(ISBLANK(B79)=FALSE,IF(VLOOKUP(B79,Data_source!A:J,2,FALSE)="---","",VLOOKUP(B79,Data_source!A:J,2,FALSE)),"")</f>
        <v/>
      </c>
      <c r="E79" s="11" t="str">
        <f t="shared" si="3"/>
        <v/>
      </c>
      <c r="F79" s="11" t="str">
        <f>IF(ISBLANK(B79)=FALSE,IF(VLOOKUP(B79,Data_source!A:J,3,FALSE)="---","",VLOOKUP(B79,Data_source!A:J,3,FALSE)),"")</f>
        <v/>
      </c>
      <c r="G79" s="11" t="str">
        <f t="shared" si="4"/>
        <v/>
      </c>
      <c r="H79" s="12" t="str">
        <f>IF(ISBLANK(B79)=FALSE,IF(VLOOKUP(B79,Data_source!A:J,6,FALSE)="---","",VLOOKUP(B79,Data_source!A:J,6,FALSE)),"")</f>
        <v/>
      </c>
      <c r="I79" s="12" t="str">
        <f t="shared" si="5"/>
        <v/>
      </c>
      <c r="J79" s="46" t="str">
        <f>IF(ISBLANK(B79)=FALSE,IF(VLOOKUP(B79,Data_source!A:J,7,FALSE)=0,"",VLOOKUP(B79,Data_source!A:J,7,FALSE)),"")</f>
        <v/>
      </c>
      <c r="K79" s="46" t="str">
        <f>IF(ISBLANK(B79)=FALSE,IF(VLOOKUP(B79,Data_source!A:J,8,FALSE)=0,"",VLOOKUP(B79,Data_source!A:J,8,FALSE)),"")</f>
        <v/>
      </c>
      <c r="L79" s="46" t="str">
        <f>IF(ISBLANK(B79)=FALSE,IF(VLOOKUP(B79,Data_source!A:J,9,FALSE)=0,"",VLOOKUP(B79,Data_source!A:J,9,FALSE)),"")</f>
        <v/>
      </c>
      <c r="M79" s="67"/>
    </row>
    <row r="80" spans="1:13" x14ac:dyDescent="0.2">
      <c r="A80" s="13">
        <v>69</v>
      </c>
      <c r="B80" s="24"/>
      <c r="C80" s="10" t="str">
        <f>IF($E$5=1,IF(ISBLANK(B80)=FALSE,VLOOKUP(B80,Data_source!A:J,4,FALSE),""),IF(ISBLANK(B80)=FALSE,VLOOKUP(B80,Data_source!A:J,5,FALSE),""))</f>
        <v/>
      </c>
      <c r="D80" s="11" t="str">
        <f>IF(ISBLANK(B80)=FALSE,IF(VLOOKUP(B80,Data_source!A:J,2,FALSE)="---","",VLOOKUP(B80,Data_source!A:J,2,FALSE)),"")</f>
        <v/>
      </c>
      <c r="E80" s="11" t="str">
        <f t="shared" si="3"/>
        <v/>
      </c>
      <c r="F80" s="11" t="str">
        <f>IF(ISBLANK(B80)=FALSE,IF(VLOOKUP(B80,Data_source!A:J,3,FALSE)="---","",VLOOKUP(B80,Data_source!A:J,3,FALSE)),"")</f>
        <v/>
      </c>
      <c r="G80" s="11" t="str">
        <f t="shared" si="4"/>
        <v/>
      </c>
      <c r="H80" s="12" t="str">
        <f>IF(ISBLANK(B80)=FALSE,IF(VLOOKUP(B80,Data_source!A:J,6,FALSE)="---","",VLOOKUP(B80,Data_source!A:J,6,FALSE)),"")</f>
        <v/>
      </c>
      <c r="I80" s="12" t="str">
        <f t="shared" si="5"/>
        <v/>
      </c>
      <c r="J80" s="46" t="str">
        <f>IF(ISBLANK(B80)=FALSE,IF(VLOOKUP(B80,Data_source!A:J,7,FALSE)=0,"",VLOOKUP(B80,Data_source!A:J,7,FALSE)),"")</f>
        <v/>
      </c>
      <c r="K80" s="46" t="str">
        <f>IF(ISBLANK(B80)=FALSE,IF(VLOOKUP(B80,Data_source!A:J,8,FALSE)=0,"",VLOOKUP(B80,Data_source!A:J,8,FALSE)),"")</f>
        <v/>
      </c>
      <c r="L80" s="46" t="str">
        <f>IF(ISBLANK(B80)=FALSE,IF(VLOOKUP(B80,Data_source!A:J,9,FALSE)=0,"",VLOOKUP(B80,Data_source!A:J,9,FALSE)),"")</f>
        <v/>
      </c>
      <c r="M80" s="25"/>
    </row>
    <row r="81" spans="1:13" x14ac:dyDescent="0.2">
      <c r="A81" s="13">
        <v>70</v>
      </c>
      <c r="B81" s="24"/>
      <c r="C81" s="10" t="str">
        <f>IF($E$5=1,IF(ISBLANK(B81)=FALSE,VLOOKUP(B81,Data_source!A:J,4,FALSE),""),IF(ISBLANK(B81)=FALSE,VLOOKUP(B81,Data_source!A:J,5,FALSE),""))</f>
        <v/>
      </c>
      <c r="D81" s="11" t="str">
        <f>IF(ISBLANK(B81)=FALSE,IF(VLOOKUP(B81,Data_source!A:J,2,FALSE)="---","",VLOOKUP(B81,Data_source!A:J,2,FALSE)),"")</f>
        <v/>
      </c>
      <c r="E81" s="11" t="str">
        <f t="shared" si="3"/>
        <v/>
      </c>
      <c r="F81" s="11" t="str">
        <f>IF(ISBLANK(B81)=FALSE,IF(VLOOKUP(B81,Data_source!A:J,3,FALSE)="---","",VLOOKUP(B81,Data_source!A:J,3,FALSE)),"")</f>
        <v/>
      </c>
      <c r="G81" s="11" t="str">
        <f t="shared" si="4"/>
        <v/>
      </c>
      <c r="H81" s="12" t="str">
        <f>IF(ISBLANK(B81)=FALSE,IF(VLOOKUP(B81,Data_source!A:J,6,FALSE)="---","",VLOOKUP(B81,Data_source!A:J,6,FALSE)),"")</f>
        <v/>
      </c>
      <c r="I81" s="12" t="str">
        <f t="shared" si="5"/>
        <v/>
      </c>
      <c r="J81" s="46" t="str">
        <f>IF(ISBLANK(B81)=FALSE,IF(VLOOKUP(B81,Data_source!A:J,7,FALSE)=0,"",VLOOKUP(B81,Data_source!A:J,7,FALSE)),"")</f>
        <v/>
      </c>
      <c r="K81" s="46" t="str">
        <f>IF(ISBLANK(B81)=FALSE,IF(VLOOKUP(B81,Data_source!A:J,8,FALSE)=0,"",VLOOKUP(B81,Data_source!A:J,8,FALSE)),"")</f>
        <v/>
      </c>
      <c r="L81" s="46" t="str">
        <f>IF(ISBLANK(B81)=FALSE,IF(VLOOKUP(B81,Data_source!A:J,9,FALSE)=0,"",VLOOKUP(B81,Data_source!A:J,9,FALSE)),"")</f>
        <v/>
      </c>
      <c r="M81" s="25"/>
    </row>
    <row r="82" spans="1:13" x14ac:dyDescent="0.2">
      <c r="A82" s="13">
        <v>71</v>
      </c>
      <c r="B82" s="24"/>
      <c r="C82" s="10" t="str">
        <f>IF($E$5=1,IF(ISBLANK(B82)=FALSE,VLOOKUP(B82,Data_source!A:J,4,FALSE),""),IF(ISBLANK(B82)=FALSE,VLOOKUP(B82,Data_source!A:J,5,FALSE),""))</f>
        <v/>
      </c>
      <c r="D82" s="11" t="str">
        <f>IF(ISBLANK(B82)=FALSE,IF(VLOOKUP(B82,Data_source!A:J,2,FALSE)="---","",VLOOKUP(B82,Data_source!A:J,2,FALSE)),"")</f>
        <v/>
      </c>
      <c r="E82" s="11" t="str">
        <f t="shared" si="3"/>
        <v/>
      </c>
      <c r="F82" s="11" t="str">
        <f>IF(ISBLANK(B82)=FALSE,IF(VLOOKUP(B82,Data_source!A:J,3,FALSE)="---","",VLOOKUP(B82,Data_source!A:J,3,FALSE)),"")</f>
        <v/>
      </c>
      <c r="G82" s="11" t="str">
        <f t="shared" si="4"/>
        <v/>
      </c>
      <c r="H82" s="12" t="str">
        <f>IF(ISBLANK(B82)=FALSE,IF(VLOOKUP(B82,Data_source!A:J,6,FALSE)="---","",VLOOKUP(B82,Data_source!A:J,6,FALSE)),"")</f>
        <v/>
      </c>
      <c r="I82" s="12" t="str">
        <f t="shared" si="5"/>
        <v/>
      </c>
      <c r="J82" s="46" t="str">
        <f>IF(ISBLANK(B82)=FALSE,IF(VLOOKUP(B82,Data_source!A:J,7,FALSE)=0,"",VLOOKUP(B82,Data_source!A:J,7,FALSE)),"")</f>
        <v/>
      </c>
      <c r="K82" s="46" t="str">
        <f>IF(ISBLANK(B82)=FALSE,IF(VLOOKUP(B82,Data_source!A:J,8,FALSE)=0,"",VLOOKUP(B82,Data_source!A:J,8,FALSE)),"")</f>
        <v/>
      </c>
      <c r="L82" s="46" t="str">
        <f>IF(ISBLANK(B82)=FALSE,IF(VLOOKUP(B82,Data_source!A:J,9,FALSE)=0,"",VLOOKUP(B82,Data_source!A:J,9,FALSE)),"")</f>
        <v/>
      </c>
      <c r="M82" s="26"/>
    </row>
    <row r="83" spans="1:13" x14ac:dyDescent="0.2">
      <c r="A83" s="13">
        <v>72</v>
      </c>
      <c r="B83" s="24"/>
      <c r="C83" s="10" t="str">
        <f>IF($E$5=1,IF(ISBLANK(B83)=FALSE,VLOOKUP(B83,Data_source!A:J,4,FALSE),""),IF(ISBLANK(B83)=FALSE,VLOOKUP(B83,Data_source!A:J,5,FALSE),""))</f>
        <v/>
      </c>
      <c r="D83" s="11" t="str">
        <f>IF(ISBLANK(B83)=FALSE,IF(VLOOKUP(B83,Data_source!A:J,2,FALSE)="---","",VLOOKUP(B83,Data_source!A:J,2,FALSE)),"")</f>
        <v/>
      </c>
      <c r="E83" s="11" t="str">
        <f t="shared" si="3"/>
        <v/>
      </c>
      <c r="F83" s="11" t="str">
        <f>IF(ISBLANK(B83)=FALSE,IF(VLOOKUP(B83,Data_source!A:J,3,FALSE)="---","",VLOOKUP(B83,Data_source!A:J,3,FALSE)),"")</f>
        <v/>
      </c>
      <c r="G83" s="11" t="str">
        <f t="shared" si="4"/>
        <v/>
      </c>
      <c r="H83" s="12" t="str">
        <f>IF(ISBLANK(B83)=FALSE,IF(VLOOKUP(B83,Data_source!A:J,6,FALSE)="---","",VLOOKUP(B83,Data_source!A:J,6,FALSE)),"")</f>
        <v/>
      </c>
      <c r="I83" s="12" t="str">
        <f t="shared" si="5"/>
        <v/>
      </c>
      <c r="J83" s="46" t="str">
        <f>IF(ISBLANK(B83)=FALSE,IF(VLOOKUP(B83,Data_source!A:J,7,FALSE)=0,"",VLOOKUP(B83,Data_source!A:J,7,FALSE)),"")</f>
        <v/>
      </c>
      <c r="K83" s="46" t="str">
        <f>IF(ISBLANK(B83)=FALSE,IF(VLOOKUP(B83,Data_source!A:J,8,FALSE)=0,"",VLOOKUP(B83,Data_source!A:J,8,FALSE)),"")</f>
        <v/>
      </c>
      <c r="L83" s="46" t="str">
        <f>IF(ISBLANK(B83)=FALSE,IF(VLOOKUP(B83,Data_source!A:J,9,FALSE)=0,"",VLOOKUP(B83,Data_source!A:J,9,FALSE)),"")</f>
        <v/>
      </c>
      <c r="M83" s="26"/>
    </row>
    <row r="84" spans="1:13" x14ac:dyDescent="0.2">
      <c r="A84" s="13">
        <v>73</v>
      </c>
      <c r="B84" s="24"/>
      <c r="C84" s="10" t="str">
        <f>IF($E$5=1,IF(ISBLANK(B84)=FALSE,VLOOKUP(B84,Data_source!A:J,4,FALSE),""),IF(ISBLANK(B84)=FALSE,VLOOKUP(B84,Data_source!A:J,5,FALSE),""))</f>
        <v/>
      </c>
      <c r="D84" s="11" t="str">
        <f>IF(ISBLANK(B84)=FALSE,IF(VLOOKUP(B84,Data_source!A:J,2,FALSE)="---","",VLOOKUP(B84,Data_source!A:J,2,FALSE)),"")</f>
        <v/>
      </c>
      <c r="E84" s="11" t="str">
        <f t="shared" si="3"/>
        <v/>
      </c>
      <c r="F84" s="11" t="str">
        <f>IF(ISBLANK(B84)=FALSE,IF(VLOOKUP(B84,Data_source!A:J,3,FALSE)="---","",VLOOKUP(B84,Data_source!A:J,3,FALSE)),"")</f>
        <v/>
      </c>
      <c r="G84" s="11" t="str">
        <f t="shared" si="4"/>
        <v/>
      </c>
      <c r="H84" s="12" t="str">
        <f>IF(ISBLANK(B84)=FALSE,IF(VLOOKUP(B84,Data_source!A:J,6,FALSE)="---","",VLOOKUP(B84,Data_source!A:J,6,FALSE)),"")</f>
        <v/>
      </c>
      <c r="I84" s="12" t="str">
        <f t="shared" si="5"/>
        <v/>
      </c>
      <c r="J84" s="46" t="str">
        <f>IF(ISBLANK(B84)=FALSE,IF(VLOOKUP(B84,Data_source!A:J,7,FALSE)=0,"",VLOOKUP(B84,Data_source!A:J,7,FALSE)),"")</f>
        <v/>
      </c>
      <c r="K84" s="46" t="str">
        <f>IF(ISBLANK(B84)=FALSE,IF(VLOOKUP(B84,Data_source!A:J,8,FALSE)=0,"",VLOOKUP(B84,Data_source!A:J,8,FALSE)),"")</f>
        <v/>
      </c>
      <c r="L84" s="46" t="str">
        <f>IF(ISBLANK(B84)=FALSE,IF(VLOOKUP(B84,Data_source!A:J,9,FALSE)=0,"",VLOOKUP(B84,Data_source!A:J,9,FALSE)),"")</f>
        <v/>
      </c>
      <c r="M84" s="26"/>
    </row>
    <row r="85" spans="1:13" x14ac:dyDescent="0.2">
      <c r="A85" s="13">
        <v>74</v>
      </c>
      <c r="B85" s="24"/>
      <c r="C85" s="10" t="str">
        <f>IF($E$5=1,IF(ISBLANK(B85)=FALSE,VLOOKUP(B85,Data_source!A:J,4,FALSE),""),IF(ISBLANK(B85)=FALSE,VLOOKUP(B85,Data_source!A:J,5,FALSE),""))</f>
        <v/>
      </c>
      <c r="D85" s="11" t="str">
        <f>IF(ISBLANK(B85)=FALSE,IF(VLOOKUP(B85,Data_source!A:J,2,FALSE)="---","",VLOOKUP(B85,Data_source!A:J,2,FALSE)),"")</f>
        <v/>
      </c>
      <c r="E85" s="11" t="str">
        <f t="shared" si="3"/>
        <v/>
      </c>
      <c r="F85" s="11" t="str">
        <f>IF(ISBLANK(B85)=FALSE,IF(VLOOKUP(B85,Data_source!A:J,3,FALSE)="---","",VLOOKUP(B85,Data_source!A:J,3,FALSE)),"")</f>
        <v/>
      </c>
      <c r="G85" s="11" t="str">
        <f t="shared" si="4"/>
        <v/>
      </c>
      <c r="H85" s="12" t="str">
        <f>IF(ISBLANK(B85)=FALSE,IF(VLOOKUP(B85,Data_source!A:J,6,FALSE)="---","",VLOOKUP(B85,Data_source!A:J,6,FALSE)),"")</f>
        <v/>
      </c>
      <c r="I85" s="12" t="str">
        <f t="shared" si="5"/>
        <v/>
      </c>
      <c r="J85" s="46" t="str">
        <f>IF(ISBLANK(B85)=FALSE,IF(VLOOKUP(B85,Data_source!A:J,7,FALSE)=0,"",VLOOKUP(B85,Data_source!A:J,7,FALSE)),"")</f>
        <v/>
      </c>
      <c r="K85" s="46" t="str">
        <f>IF(ISBLANK(B85)=FALSE,IF(VLOOKUP(B85,Data_source!A:J,8,FALSE)=0,"",VLOOKUP(B85,Data_source!A:J,8,FALSE)),"")</f>
        <v/>
      </c>
      <c r="L85" s="46" t="str">
        <f>IF(ISBLANK(B85)=FALSE,IF(VLOOKUP(B85,Data_source!A:J,9,FALSE)=0,"",VLOOKUP(B85,Data_source!A:J,9,FALSE)),"")</f>
        <v/>
      </c>
      <c r="M85" s="26"/>
    </row>
    <row r="86" spans="1:13" x14ac:dyDescent="0.2">
      <c r="A86" s="13">
        <v>75</v>
      </c>
      <c r="B86" s="24"/>
      <c r="C86" s="10" t="str">
        <f>IF($E$5=1,IF(ISBLANK(B86)=FALSE,VLOOKUP(B86,Data_source!A:J,4,FALSE),""),IF(ISBLANK(B86)=FALSE,VLOOKUP(B86,Data_source!A:J,5,FALSE),""))</f>
        <v/>
      </c>
      <c r="D86" s="11" t="str">
        <f>IF(ISBLANK(B86)=FALSE,IF(VLOOKUP(B86,Data_source!A:J,2,FALSE)="---","",VLOOKUP(B86,Data_source!A:J,2,FALSE)),"")</f>
        <v/>
      </c>
      <c r="E86" s="11" t="str">
        <f t="shared" si="3"/>
        <v/>
      </c>
      <c r="F86" s="11" t="str">
        <f>IF(ISBLANK(B86)=FALSE,IF(VLOOKUP(B86,Data_source!A:J,3,FALSE)="---","",VLOOKUP(B86,Data_source!A:J,3,FALSE)),"")</f>
        <v/>
      </c>
      <c r="G86" s="11" t="str">
        <f t="shared" si="4"/>
        <v/>
      </c>
      <c r="H86" s="12" t="str">
        <f>IF(ISBLANK(B86)=FALSE,IF(VLOOKUP(B86,Data_source!A:J,6,FALSE)="---","",VLOOKUP(B86,Data_source!A:J,6,FALSE)),"")</f>
        <v/>
      </c>
      <c r="I86" s="12" t="str">
        <f t="shared" si="5"/>
        <v/>
      </c>
      <c r="J86" s="46" t="str">
        <f>IF(ISBLANK(B86)=FALSE,IF(VLOOKUP(B86,Data_source!A:J,7,FALSE)=0,"",VLOOKUP(B86,Data_source!A:J,7,FALSE)),"")</f>
        <v/>
      </c>
      <c r="K86" s="46" t="str">
        <f>IF(ISBLANK(B86)=FALSE,IF(VLOOKUP(B86,Data_source!A:J,8,FALSE)=0,"",VLOOKUP(B86,Data_source!A:J,8,FALSE)),"")</f>
        <v/>
      </c>
      <c r="L86" s="46" t="str">
        <f>IF(ISBLANK(B86)=FALSE,IF(VLOOKUP(B86,Data_source!A:J,9,FALSE)=0,"",VLOOKUP(B86,Data_source!A:J,9,FALSE)),"")</f>
        <v/>
      </c>
      <c r="M86" s="26"/>
    </row>
    <row r="87" spans="1:13" x14ac:dyDescent="0.2">
      <c r="A87" s="13">
        <v>76</v>
      </c>
      <c r="B87" s="24"/>
      <c r="C87" s="10" t="str">
        <f>IF($E$5=1,IF(ISBLANK(B87)=FALSE,VLOOKUP(B87,Data_source!A:J,4,FALSE),""),IF(ISBLANK(B87)=FALSE,VLOOKUP(B87,Data_source!A:J,5,FALSE),""))</f>
        <v/>
      </c>
      <c r="D87" s="11" t="str">
        <f>IF(ISBLANK(B87)=FALSE,IF(VLOOKUP(B87,Data_source!A:J,2,FALSE)="---","",VLOOKUP(B87,Data_source!A:J,2,FALSE)),"")</f>
        <v/>
      </c>
      <c r="E87" s="11" t="str">
        <f t="shared" si="3"/>
        <v/>
      </c>
      <c r="F87" s="11" t="str">
        <f>IF(ISBLANK(B87)=FALSE,IF(VLOOKUP(B87,Data_source!A:J,3,FALSE)="---","",VLOOKUP(B87,Data_source!A:J,3,FALSE)),"")</f>
        <v/>
      </c>
      <c r="G87" s="11" t="str">
        <f t="shared" si="4"/>
        <v/>
      </c>
      <c r="H87" s="12" t="str">
        <f>IF(ISBLANK(B87)=FALSE,IF(VLOOKUP(B87,Data_source!A:J,6,FALSE)="---","",VLOOKUP(B87,Data_source!A:J,6,FALSE)),"")</f>
        <v/>
      </c>
      <c r="I87" s="12" t="str">
        <f t="shared" si="5"/>
        <v/>
      </c>
      <c r="J87" s="46" t="str">
        <f>IF(ISBLANK(B87)=FALSE,IF(VLOOKUP(B87,Data_source!A:J,7,FALSE)=0,"",VLOOKUP(B87,Data_source!A:J,7,FALSE)),"")</f>
        <v/>
      </c>
      <c r="K87" s="46" t="str">
        <f>IF(ISBLANK(B87)=FALSE,IF(VLOOKUP(B87,Data_source!A:J,8,FALSE)=0,"",VLOOKUP(B87,Data_source!A:J,8,FALSE)),"")</f>
        <v/>
      </c>
      <c r="L87" s="46" t="str">
        <f>IF(ISBLANK(B87)=FALSE,IF(VLOOKUP(B87,Data_source!A:J,9,FALSE)=0,"",VLOOKUP(B87,Data_source!A:J,9,FALSE)),"")</f>
        <v/>
      </c>
      <c r="M87" s="26"/>
    </row>
    <row r="88" spans="1:13" x14ac:dyDescent="0.2">
      <c r="A88" s="13">
        <v>77</v>
      </c>
      <c r="B88" s="24"/>
      <c r="C88" s="10" t="str">
        <f>IF($E$5=1,IF(ISBLANK(B88)=FALSE,VLOOKUP(B88,Data_source!A:J,4,FALSE),""),IF(ISBLANK(B88)=FALSE,VLOOKUP(B88,Data_source!A:J,5,FALSE),""))</f>
        <v/>
      </c>
      <c r="D88" s="11" t="str">
        <f>IF(ISBLANK(B88)=FALSE,IF(VLOOKUP(B88,Data_source!A:J,2,FALSE)="---","",VLOOKUP(B88,Data_source!A:J,2,FALSE)),"")</f>
        <v/>
      </c>
      <c r="E88" s="11" t="str">
        <f t="shared" si="3"/>
        <v/>
      </c>
      <c r="F88" s="11" t="str">
        <f>IF(ISBLANK(B88)=FALSE,IF(VLOOKUP(B88,Data_source!A:J,3,FALSE)="---","",VLOOKUP(B88,Data_source!A:J,3,FALSE)),"")</f>
        <v/>
      </c>
      <c r="G88" s="11" t="str">
        <f t="shared" si="4"/>
        <v/>
      </c>
      <c r="H88" s="12" t="str">
        <f>IF(ISBLANK(B88)=FALSE,IF(VLOOKUP(B88,Data_source!A:J,6,FALSE)="---","",VLOOKUP(B88,Data_source!A:J,6,FALSE)),"")</f>
        <v/>
      </c>
      <c r="I88" s="12" t="str">
        <f t="shared" si="5"/>
        <v/>
      </c>
      <c r="J88" s="46" t="str">
        <f>IF(ISBLANK(B88)=FALSE,IF(VLOOKUP(B88,Data_source!A:J,7,FALSE)=0,"",VLOOKUP(B88,Data_source!A:J,7,FALSE)),"")</f>
        <v/>
      </c>
      <c r="K88" s="46" t="str">
        <f>IF(ISBLANK(B88)=FALSE,IF(VLOOKUP(B88,Data_source!A:J,8,FALSE)=0,"",VLOOKUP(B88,Data_source!A:J,8,FALSE)),"")</f>
        <v/>
      </c>
      <c r="L88" s="46" t="str">
        <f>IF(ISBLANK(B88)=FALSE,IF(VLOOKUP(B88,Data_source!A:J,9,FALSE)=0,"",VLOOKUP(B88,Data_source!A:J,9,FALSE)),"")</f>
        <v/>
      </c>
      <c r="M88" s="26"/>
    </row>
    <row r="89" spans="1:13" x14ac:dyDescent="0.2">
      <c r="A89" s="13">
        <v>78</v>
      </c>
      <c r="B89" s="24"/>
      <c r="C89" s="10" t="str">
        <f>IF($E$5=1,IF(ISBLANK(B89)=FALSE,VLOOKUP(B89,Data_source!A:J,4,FALSE),""),IF(ISBLANK(B89)=FALSE,VLOOKUP(B89,Data_source!A:J,5,FALSE),""))</f>
        <v/>
      </c>
      <c r="D89" s="11" t="str">
        <f>IF(ISBLANK(B89)=FALSE,IF(VLOOKUP(B89,Data_source!A:J,2,FALSE)="---","",VLOOKUP(B89,Data_source!A:J,2,FALSE)),"")</f>
        <v/>
      </c>
      <c r="E89" s="11" t="str">
        <f t="shared" si="3"/>
        <v/>
      </c>
      <c r="F89" s="11" t="str">
        <f>IF(ISBLANK(B89)=FALSE,IF(VLOOKUP(B89,Data_source!A:J,3,FALSE)="---","",VLOOKUP(B89,Data_source!A:J,3,FALSE)),"")</f>
        <v/>
      </c>
      <c r="G89" s="11" t="str">
        <f t="shared" si="4"/>
        <v/>
      </c>
      <c r="H89" s="12" t="str">
        <f>IF(ISBLANK(B89)=FALSE,IF(VLOOKUP(B89,Data_source!A:J,6,FALSE)="---","",VLOOKUP(B89,Data_source!A:J,6,FALSE)),"")</f>
        <v/>
      </c>
      <c r="I89" s="12" t="str">
        <f t="shared" si="5"/>
        <v/>
      </c>
      <c r="J89" s="46" t="str">
        <f>IF(ISBLANK(B89)=FALSE,IF(VLOOKUP(B89,Data_source!A:J,7,FALSE)=0,"",VLOOKUP(B89,Data_source!A:J,7,FALSE)),"")</f>
        <v/>
      </c>
      <c r="K89" s="46" t="str">
        <f>IF(ISBLANK(B89)=FALSE,IF(VLOOKUP(B89,Data_source!A:J,8,FALSE)=0,"",VLOOKUP(B89,Data_source!A:J,8,FALSE)),"")</f>
        <v/>
      </c>
      <c r="L89" s="46" t="str">
        <f>IF(ISBLANK(B89)=FALSE,IF(VLOOKUP(B89,Data_source!A:J,9,FALSE)=0,"",VLOOKUP(B89,Data_source!A:J,9,FALSE)),"")</f>
        <v/>
      </c>
      <c r="M89" s="26"/>
    </row>
    <row r="90" spans="1:13" x14ac:dyDescent="0.2">
      <c r="A90" s="13">
        <v>79</v>
      </c>
      <c r="B90" s="25"/>
      <c r="C90" s="10" t="str">
        <f>IF($E$5=1,IF(ISBLANK(B90)=FALSE,VLOOKUP(B90,Data_source!A:J,4,FALSE),""),IF(ISBLANK(B90)=FALSE,VLOOKUP(B90,Data_source!A:J,5,FALSE),""))</f>
        <v/>
      </c>
      <c r="D90" s="11" t="str">
        <f>IF(ISBLANK(B90)=FALSE,IF(VLOOKUP(B90,Data_source!A:J,2,FALSE)="---","",VLOOKUP(B90,Data_source!A:J,2,FALSE)),"")</f>
        <v/>
      </c>
      <c r="E90" s="11" t="str">
        <f t="shared" si="3"/>
        <v/>
      </c>
      <c r="F90" s="11" t="str">
        <f>IF(ISBLANK(B90)=FALSE,IF(VLOOKUP(B90,Data_source!A:J,3,FALSE)="---","",VLOOKUP(B90,Data_source!A:J,3,FALSE)),"")</f>
        <v/>
      </c>
      <c r="G90" s="11" t="str">
        <f t="shared" si="4"/>
        <v/>
      </c>
      <c r="H90" s="12" t="str">
        <f>IF(ISBLANK(B90)=FALSE,IF(VLOOKUP(B90,Data_source!A:J,6,FALSE)="---","",VLOOKUP(B90,Data_source!A:J,6,FALSE)),"")</f>
        <v/>
      </c>
      <c r="I90" s="12" t="str">
        <f t="shared" si="5"/>
        <v/>
      </c>
      <c r="J90" s="46" t="str">
        <f>IF(ISBLANK(B90)=FALSE,IF(VLOOKUP(B90,Data_source!A:J,7,FALSE)=0,"",VLOOKUP(B90,Data_source!A:J,7,FALSE)),"")</f>
        <v/>
      </c>
      <c r="K90" s="46" t="str">
        <f>IF(ISBLANK(B90)=FALSE,IF(VLOOKUP(B90,Data_source!A:J,8,FALSE)=0,"",VLOOKUP(B90,Data_source!A:J,8,FALSE)),"")</f>
        <v/>
      </c>
      <c r="L90" s="46" t="str">
        <f>IF(ISBLANK(B90)=FALSE,IF(VLOOKUP(B90,Data_source!A:J,9,FALSE)=0,"",VLOOKUP(B90,Data_source!A:J,9,FALSE)),"")</f>
        <v/>
      </c>
      <c r="M90" s="26"/>
    </row>
    <row r="91" spans="1:13" x14ac:dyDescent="0.2">
      <c r="A91" s="13">
        <v>80</v>
      </c>
      <c r="B91" s="24"/>
      <c r="C91" s="10" t="str">
        <f>IF($E$5=1,IF(ISBLANK(B91)=FALSE,VLOOKUP(B91,Data_source!A:J,4,FALSE),""),IF(ISBLANK(B91)=FALSE,VLOOKUP(B91,Data_source!A:J,5,FALSE),""))</f>
        <v/>
      </c>
      <c r="D91" s="11" t="str">
        <f>IF(ISBLANK(B91)=FALSE,IF(VLOOKUP(B91,Data_source!A:J,2,FALSE)="---","",VLOOKUP(B91,Data_source!A:J,2,FALSE)),"")</f>
        <v/>
      </c>
      <c r="E91" s="11" t="str">
        <f t="shared" si="3"/>
        <v/>
      </c>
      <c r="F91" s="11" t="str">
        <f>IF(ISBLANK(B91)=FALSE,IF(VLOOKUP(B91,Data_source!A:J,3,FALSE)="---","",VLOOKUP(B91,Data_source!A:J,3,FALSE)),"")</f>
        <v/>
      </c>
      <c r="G91" s="11" t="str">
        <f t="shared" si="4"/>
        <v/>
      </c>
      <c r="H91" s="12" t="str">
        <f>IF(ISBLANK(B91)=FALSE,IF(VLOOKUP(B91,Data_source!A:J,6,FALSE)="---","",VLOOKUP(B91,Data_source!A:J,6,FALSE)),"")</f>
        <v/>
      </c>
      <c r="I91" s="12" t="str">
        <f t="shared" si="5"/>
        <v/>
      </c>
      <c r="J91" s="46" t="str">
        <f>IF(ISBLANK(B91)=FALSE,IF(VLOOKUP(B91,Data_source!A:J,7,FALSE)=0,"",VLOOKUP(B91,Data_source!A:J,7,FALSE)),"")</f>
        <v/>
      </c>
      <c r="K91" s="46" t="str">
        <f>IF(ISBLANK(B91)=FALSE,IF(VLOOKUP(B91,Data_source!A:J,8,FALSE)=0,"",VLOOKUP(B91,Data_source!A:J,8,FALSE)),"")</f>
        <v/>
      </c>
      <c r="L91" s="46" t="str">
        <f>IF(ISBLANK(B91)=FALSE,IF(VLOOKUP(B91,Data_source!A:J,9,FALSE)=0,"",VLOOKUP(B91,Data_source!A:J,9,FALSE)),"")</f>
        <v/>
      </c>
      <c r="M91" s="25"/>
    </row>
    <row r="92" spans="1:13" x14ac:dyDescent="0.2">
      <c r="A92" s="13">
        <v>81</v>
      </c>
      <c r="B92" s="24"/>
      <c r="C92" s="10" t="str">
        <f>IF($E$5=1,IF(ISBLANK(B92)=FALSE,VLOOKUP(B92,Data_source!A:J,4,FALSE),""),IF(ISBLANK(B92)=FALSE,VLOOKUP(B92,Data_source!A:J,5,FALSE),""))</f>
        <v/>
      </c>
      <c r="D92" s="11" t="str">
        <f>IF(ISBLANK(B92)=FALSE,IF(VLOOKUP(B92,Data_source!A:J,2,FALSE)="---","",VLOOKUP(B92,Data_source!A:J,2,FALSE)),"")</f>
        <v/>
      </c>
      <c r="E92" s="11" t="str">
        <f t="shared" si="3"/>
        <v/>
      </c>
      <c r="F92" s="11" t="str">
        <f>IF(ISBLANK(B92)=FALSE,IF(VLOOKUP(B92,Data_source!A:J,3,FALSE)="---","",VLOOKUP(B92,Data_source!A:J,3,FALSE)),"")</f>
        <v/>
      </c>
      <c r="G92" s="11" t="str">
        <f t="shared" si="4"/>
        <v/>
      </c>
      <c r="H92" s="12" t="str">
        <f>IF(ISBLANK(B92)=FALSE,IF(VLOOKUP(B92,Data_source!A:J,6,FALSE)="---","",VLOOKUP(B92,Data_source!A:J,6,FALSE)),"")</f>
        <v/>
      </c>
      <c r="I92" s="12" t="str">
        <f t="shared" si="5"/>
        <v/>
      </c>
      <c r="J92" s="46" t="str">
        <f>IF(ISBLANK(B92)=FALSE,IF(VLOOKUP(B92,Data_source!A:J,7,FALSE)=0,"",VLOOKUP(B92,Data_source!A:J,7,FALSE)),"")</f>
        <v/>
      </c>
      <c r="K92" s="46" t="str">
        <f>IF(ISBLANK(B92)=FALSE,IF(VLOOKUP(B92,Data_source!A:J,8,FALSE)=0,"",VLOOKUP(B92,Data_source!A:J,8,FALSE)),"")</f>
        <v/>
      </c>
      <c r="L92" s="46" t="str">
        <f>IF(ISBLANK(B92)=FALSE,IF(VLOOKUP(B92,Data_source!A:J,9,FALSE)=0,"",VLOOKUP(B92,Data_source!A:J,9,FALSE)),"")</f>
        <v/>
      </c>
      <c r="M92" s="26"/>
    </row>
    <row r="93" spans="1:13" x14ac:dyDescent="0.2">
      <c r="A93" s="13">
        <v>82</v>
      </c>
      <c r="B93" s="24"/>
      <c r="C93" s="10" t="str">
        <f>IF($E$5=1,IF(ISBLANK(B93)=FALSE,VLOOKUP(B93,Data_source!A:J,4,FALSE),""),IF(ISBLANK(B93)=FALSE,VLOOKUP(B93,Data_source!A:J,5,FALSE),""))</f>
        <v/>
      </c>
      <c r="D93" s="11" t="str">
        <f>IF(ISBLANK(B93)=FALSE,IF(VLOOKUP(B93,Data_source!A:J,2,FALSE)="---","",VLOOKUP(B93,Data_source!A:J,2,FALSE)),"")</f>
        <v/>
      </c>
      <c r="E93" s="11" t="str">
        <f t="shared" si="3"/>
        <v/>
      </c>
      <c r="F93" s="11" t="str">
        <f>IF(ISBLANK(B93)=FALSE,IF(VLOOKUP(B93,Data_source!A:J,3,FALSE)="---","",VLOOKUP(B93,Data_source!A:J,3,FALSE)),"")</f>
        <v/>
      </c>
      <c r="G93" s="11" t="str">
        <f t="shared" si="4"/>
        <v/>
      </c>
      <c r="H93" s="12" t="str">
        <f>IF(ISBLANK(B93)=FALSE,IF(VLOOKUP(B93,Data_source!A:J,6,FALSE)="---","",VLOOKUP(B93,Data_source!A:J,6,FALSE)),"")</f>
        <v/>
      </c>
      <c r="I93" s="12" t="str">
        <f t="shared" si="5"/>
        <v/>
      </c>
      <c r="J93" s="46" t="str">
        <f>IF(ISBLANK(B93)=FALSE,IF(VLOOKUP(B93,Data_source!A:J,7,FALSE)=0,"",VLOOKUP(B93,Data_source!A:J,7,FALSE)),"")</f>
        <v/>
      </c>
      <c r="K93" s="46" t="str">
        <f>IF(ISBLANK(B93)=FALSE,IF(VLOOKUP(B93,Data_source!A:J,8,FALSE)=0,"",VLOOKUP(B93,Data_source!A:J,8,FALSE)),"")</f>
        <v/>
      </c>
      <c r="L93" s="46" t="str">
        <f>IF(ISBLANK(B93)=FALSE,IF(VLOOKUP(B93,Data_source!A:J,9,FALSE)=0,"",VLOOKUP(B93,Data_source!A:J,9,FALSE)),"")</f>
        <v/>
      </c>
      <c r="M93" s="67"/>
    </row>
    <row r="94" spans="1:13" x14ac:dyDescent="0.2">
      <c r="A94" s="13">
        <v>83</v>
      </c>
      <c r="B94" s="24"/>
      <c r="C94" s="10" t="str">
        <f>IF($E$5=1,IF(ISBLANK(B94)=FALSE,VLOOKUP(B94,Data_source!A:J,4,FALSE),""),IF(ISBLANK(B94)=FALSE,VLOOKUP(B94,Data_source!A:J,5,FALSE),""))</f>
        <v/>
      </c>
      <c r="D94" s="11" t="str">
        <f>IF(ISBLANK(B94)=FALSE,IF(VLOOKUP(B94,Data_source!A:J,2,FALSE)="---","",VLOOKUP(B94,Data_source!A:J,2,FALSE)),"")</f>
        <v/>
      </c>
      <c r="E94" s="11" t="str">
        <f t="shared" si="3"/>
        <v/>
      </c>
      <c r="F94" s="11" t="str">
        <f>IF(ISBLANK(B94)=FALSE,IF(VLOOKUP(B94,Data_source!A:J,3,FALSE)="---","",VLOOKUP(B94,Data_source!A:J,3,FALSE)),"")</f>
        <v/>
      </c>
      <c r="G94" s="11" t="str">
        <f t="shared" si="4"/>
        <v/>
      </c>
      <c r="H94" s="12" t="str">
        <f>IF(ISBLANK(B94)=FALSE,IF(VLOOKUP(B94,Data_source!A:J,6,FALSE)="---","",VLOOKUP(B94,Data_source!A:J,6,FALSE)),"")</f>
        <v/>
      </c>
      <c r="I94" s="12" t="str">
        <f t="shared" si="5"/>
        <v/>
      </c>
      <c r="J94" s="46" t="str">
        <f>IF(ISBLANK(B94)=FALSE,IF(VLOOKUP(B94,Data_source!A:J,7,FALSE)=0,"",VLOOKUP(B94,Data_source!A:J,7,FALSE)),"")</f>
        <v/>
      </c>
      <c r="K94" s="46" t="str">
        <f>IF(ISBLANK(B94)=FALSE,IF(VLOOKUP(B94,Data_source!A:J,8,FALSE)=0,"",VLOOKUP(B94,Data_source!A:J,8,FALSE)),"")</f>
        <v/>
      </c>
      <c r="L94" s="46" t="str">
        <f>IF(ISBLANK(B94)=FALSE,IF(VLOOKUP(B94,Data_source!A:J,9,FALSE)=0,"",VLOOKUP(B94,Data_source!A:J,9,FALSE)),"")</f>
        <v/>
      </c>
      <c r="M94" s="25"/>
    </row>
    <row r="95" spans="1:13" x14ac:dyDescent="0.2">
      <c r="A95" s="13">
        <v>84</v>
      </c>
      <c r="B95" s="24"/>
      <c r="C95" s="10" t="str">
        <f>IF($E$5=1,IF(ISBLANK(B95)=FALSE,VLOOKUP(B95,Data_source!A:J,4,FALSE),""),IF(ISBLANK(B95)=FALSE,VLOOKUP(B95,Data_source!A:J,5,FALSE),""))</f>
        <v/>
      </c>
      <c r="D95" s="11" t="str">
        <f>IF(ISBLANK(B95)=FALSE,IF(VLOOKUP(B95,Data_source!A:J,2,FALSE)="---","",VLOOKUP(B95,Data_source!A:J,2,FALSE)),"")</f>
        <v/>
      </c>
      <c r="E95" s="11" t="str">
        <f t="shared" si="3"/>
        <v/>
      </c>
      <c r="F95" s="11" t="str">
        <f>IF(ISBLANK(B95)=FALSE,IF(VLOOKUP(B95,Data_source!A:J,3,FALSE)="---","",VLOOKUP(B95,Data_source!A:J,3,FALSE)),"")</f>
        <v/>
      </c>
      <c r="G95" s="11" t="str">
        <f t="shared" si="4"/>
        <v/>
      </c>
      <c r="H95" s="12" t="str">
        <f>IF(ISBLANK(B95)=FALSE,IF(VLOOKUP(B95,Data_source!A:J,6,FALSE)="---","",VLOOKUP(B95,Data_source!A:J,6,FALSE)),"")</f>
        <v/>
      </c>
      <c r="I95" s="12" t="str">
        <f t="shared" si="5"/>
        <v/>
      </c>
      <c r="J95" s="46" t="str">
        <f>IF(ISBLANK(B95)=FALSE,IF(VLOOKUP(B95,Data_source!A:J,7,FALSE)=0,"",VLOOKUP(B95,Data_source!A:J,7,FALSE)),"")</f>
        <v/>
      </c>
      <c r="K95" s="46" t="str">
        <f>IF(ISBLANK(B95)=FALSE,IF(VLOOKUP(B95,Data_source!A:J,8,FALSE)=0,"",VLOOKUP(B95,Data_source!A:J,8,FALSE)),"")</f>
        <v/>
      </c>
      <c r="L95" s="46" t="str">
        <f>IF(ISBLANK(B95)=FALSE,IF(VLOOKUP(B95,Data_source!A:J,9,FALSE)=0,"",VLOOKUP(B95,Data_source!A:J,9,FALSE)),"")</f>
        <v/>
      </c>
      <c r="M95" s="67"/>
    </row>
    <row r="96" spans="1:13" x14ac:dyDescent="0.2">
      <c r="A96" s="13">
        <v>85</v>
      </c>
      <c r="B96" s="24"/>
      <c r="C96" s="10" t="str">
        <f>IF($E$5=1,IF(ISBLANK(B96)=FALSE,VLOOKUP(B96,Data_source!A:J,4,FALSE),""),IF(ISBLANK(B96)=FALSE,VLOOKUP(B96,Data_source!A:J,5,FALSE),""))</f>
        <v/>
      </c>
      <c r="D96" s="11" t="str">
        <f>IF(ISBLANK(B96)=FALSE,IF(VLOOKUP(B96,Data_source!A:J,2,FALSE)="---","",VLOOKUP(B96,Data_source!A:J,2,FALSE)),"")</f>
        <v/>
      </c>
      <c r="E96" s="11" t="str">
        <f t="shared" si="3"/>
        <v/>
      </c>
      <c r="F96" s="11" t="str">
        <f>IF(ISBLANK(B96)=FALSE,IF(VLOOKUP(B96,Data_source!A:J,3,FALSE)="---","",VLOOKUP(B96,Data_source!A:J,3,FALSE)),"")</f>
        <v/>
      </c>
      <c r="G96" s="11" t="str">
        <f t="shared" si="4"/>
        <v/>
      </c>
      <c r="H96" s="12" t="str">
        <f>IF(ISBLANK(B96)=FALSE,IF(VLOOKUP(B96,Data_source!A:J,6,FALSE)="---","",VLOOKUP(B96,Data_source!A:J,6,FALSE)),"")</f>
        <v/>
      </c>
      <c r="I96" s="12" t="str">
        <f t="shared" si="5"/>
        <v/>
      </c>
      <c r="J96" s="46" t="str">
        <f>IF(ISBLANK(B96)=FALSE,IF(VLOOKUP(B96,Data_source!A:J,7,FALSE)=0,"",VLOOKUP(B96,Data_source!A:J,7,FALSE)),"")</f>
        <v/>
      </c>
      <c r="K96" s="46" t="str">
        <f>IF(ISBLANK(B96)=FALSE,IF(VLOOKUP(B96,Data_source!A:J,8,FALSE)=0,"",VLOOKUP(B96,Data_source!A:J,8,FALSE)),"")</f>
        <v/>
      </c>
      <c r="L96" s="46" t="str">
        <f>IF(ISBLANK(B96)=FALSE,IF(VLOOKUP(B96,Data_source!A:J,9,FALSE)=0,"",VLOOKUP(B96,Data_source!A:J,9,FALSE)),"")</f>
        <v/>
      </c>
      <c r="M96" s="26"/>
    </row>
    <row r="97" spans="1:13" x14ac:dyDescent="0.2">
      <c r="A97" s="13">
        <v>86</v>
      </c>
      <c r="B97" s="24"/>
      <c r="C97" s="10" t="str">
        <f>IF($E$5=1,IF(ISBLANK(B97)=FALSE,VLOOKUP(B97,Data_source!A:J,4,FALSE),""),IF(ISBLANK(B97)=FALSE,VLOOKUP(B97,Data_source!A:J,5,FALSE),""))</f>
        <v/>
      </c>
      <c r="D97" s="11" t="str">
        <f>IF(ISBLANK(B97)=FALSE,IF(VLOOKUP(B97,Data_source!A:J,2,FALSE)="---","",VLOOKUP(B97,Data_source!A:J,2,FALSE)),"")</f>
        <v/>
      </c>
      <c r="E97" s="11" t="str">
        <f t="shared" si="3"/>
        <v/>
      </c>
      <c r="F97" s="11" t="str">
        <f>IF(ISBLANK(B97)=FALSE,IF(VLOOKUP(B97,Data_source!A:J,3,FALSE)="---","",VLOOKUP(B97,Data_source!A:J,3,FALSE)),"")</f>
        <v/>
      </c>
      <c r="G97" s="11" t="str">
        <f t="shared" si="4"/>
        <v/>
      </c>
      <c r="H97" s="12" t="str">
        <f>IF(ISBLANK(B97)=FALSE,IF(VLOOKUP(B97,Data_source!A:J,6,FALSE)="---","",VLOOKUP(B97,Data_source!A:J,6,FALSE)),"")</f>
        <v/>
      </c>
      <c r="I97" s="12" t="str">
        <f t="shared" si="5"/>
        <v/>
      </c>
      <c r="J97" s="46" t="str">
        <f>IF(ISBLANK(B97)=FALSE,IF(VLOOKUP(B97,Data_source!A:J,7,FALSE)=0,"",VLOOKUP(B97,Data_source!A:J,7,FALSE)),"")</f>
        <v/>
      </c>
      <c r="K97" s="46" t="str">
        <f>IF(ISBLANK(B97)=FALSE,IF(VLOOKUP(B97,Data_source!A:J,8,FALSE)=0,"",VLOOKUP(B97,Data_source!A:J,8,FALSE)),"")</f>
        <v/>
      </c>
      <c r="L97" s="46" t="str">
        <f>IF(ISBLANK(B97)=FALSE,IF(VLOOKUP(B97,Data_source!A:J,9,FALSE)=0,"",VLOOKUP(B97,Data_source!A:J,9,FALSE)),"")</f>
        <v/>
      </c>
      <c r="M97" s="26"/>
    </row>
    <row r="98" spans="1:13" x14ac:dyDescent="0.2">
      <c r="A98" s="13">
        <v>87</v>
      </c>
      <c r="B98" s="24"/>
      <c r="C98" s="10" t="str">
        <f>IF($E$5=1,IF(ISBLANK(B98)=FALSE,VLOOKUP(B98,Data_source!A:J,4,FALSE),""),IF(ISBLANK(B98)=FALSE,VLOOKUP(B98,Data_source!A:J,5,FALSE),""))</f>
        <v/>
      </c>
      <c r="D98" s="11" t="str">
        <f>IF(ISBLANK(B98)=FALSE,IF(VLOOKUP(B98,Data_source!A:J,2,FALSE)="---","",VLOOKUP(B98,Data_source!A:J,2,FALSE)),"")</f>
        <v/>
      </c>
      <c r="E98" s="11" t="str">
        <f t="shared" si="3"/>
        <v/>
      </c>
      <c r="F98" s="11" t="str">
        <f>IF(ISBLANK(B98)=FALSE,IF(VLOOKUP(B98,Data_source!A:J,3,FALSE)="---","",VLOOKUP(B98,Data_source!A:J,3,FALSE)),"")</f>
        <v/>
      </c>
      <c r="G98" s="11" t="str">
        <f t="shared" si="4"/>
        <v/>
      </c>
      <c r="H98" s="12" t="str">
        <f>IF(ISBLANK(B98)=FALSE,IF(VLOOKUP(B98,Data_source!A:J,6,FALSE)="---","",VLOOKUP(B98,Data_source!A:J,6,FALSE)),"")</f>
        <v/>
      </c>
      <c r="I98" s="12" t="str">
        <f t="shared" si="5"/>
        <v/>
      </c>
      <c r="J98" s="46" t="str">
        <f>IF(ISBLANK(B98)=FALSE,IF(VLOOKUP(B98,Data_source!A:J,7,FALSE)=0,"",VLOOKUP(B98,Data_source!A:J,7,FALSE)),"")</f>
        <v/>
      </c>
      <c r="K98" s="46" t="str">
        <f>IF(ISBLANK(B98)=FALSE,IF(VLOOKUP(B98,Data_source!A:J,8,FALSE)=0,"",VLOOKUP(B98,Data_source!A:J,8,FALSE)),"")</f>
        <v/>
      </c>
      <c r="L98" s="46" t="str">
        <f>IF(ISBLANK(B98)=FALSE,IF(VLOOKUP(B98,Data_source!A:J,9,FALSE)=0,"",VLOOKUP(B98,Data_source!A:J,9,FALSE)),"")</f>
        <v/>
      </c>
      <c r="M98" s="26"/>
    </row>
    <row r="99" spans="1:13" x14ac:dyDescent="0.2">
      <c r="A99" s="13">
        <v>88</v>
      </c>
      <c r="B99" s="24"/>
      <c r="C99" s="10" t="str">
        <f>IF($E$5=1,IF(ISBLANK(B99)=FALSE,VLOOKUP(B99,Data_source!A:J,4,FALSE),""),IF(ISBLANK(B99)=FALSE,VLOOKUP(B99,Data_source!A:J,5,FALSE),""))</f>
        <v/>
      </c>
      <c r="D99" s="11" t="str">
        <f>IF(ISBLANK(B99)=FALSE,IF(VLOOKUP(B99,Data_source!A:J,2,FALSE)="---","",VLOOKUP(B99,Data_source!A:J,2,FALSE)),"")</f>
        <v/>
      </c>
      <c r="E99" s="11" t="str">
        <f t="shared" si="3"/>
        <v/>
      </c>
      <c r="F99" s="11" t="str">
        <f>IF(ISBLANK(B99)=FALSE,IF(VLOOKUP(B99,Data_source!A:J,3,FALSE)="---","",VLOOKUP(B99,Data_source!A:J,3,FALSE)),"")</f>
        <v/>
      </c>
      <c r="G99" s="11" t="str">
        <f t="shared" si="4"/>
        <v/>
      </c>
      <c r="H99" s="12" t="str">
        <f>IF(ISBLANK(B99)=FALSE,IF(VLOOKUP(B99,Data_source!A:J,6,FALSE)="---","",VLOOKUP(B99,Data_source!A:J,6,FALSE)),"")</f>
        <v/>
      </c>
      <c r="I99" s="12" t="str">
        <f t="shared" si="5"/>
        <v/>
      </c>
      <c r="J99" s="46" t="str">
        <f>IF(ISBLANK(B99)=FALSE,IF(VLOOKUP(B99,Data_source!A:J,7,FALSE)=0,"",VLOOKUP(B99,Data_source!A:J,7,FALSE)),"")</f>
        <v/>
      </c>
      <c r="K99" s="46" t="str">
        <f>IF(ISBLANK(B99)=FALSE,IF(VLOOKUP(B99,Data_source!A:J,8,FALSE)=0,"",VLOOKUP(B99,Data_source!A:J,8,FALSE)),"")</f>
        <v/>
      </c>
      <c r="L99" s="46" t="str">
        <f>IF(ISBLANK(B99)=FALSE,IF(VLOOKUP(B99,Data_source!A:J,9,FALSE)=0,"",VLOOKUP(B99,Data_source!A:J,9,FALSE)),"")</f>
        <v/>
      </c>
      <c r="M99" s="26"/>
    </row>
    <row r="100" spans="1:13" x14ac:dyDescent="0.2">
      <c r="A100" s="13">
        <v>89</v>
      </c>
      <c r="B100" s="24"/>
      <c r="C100" s="10" t="str">
        <f>IF($E$5=1,IF(ISBLANK(B100)=FALSE,VLOOKUP(B100,Data_source!A:J,4,FALSE),""),IF(ISBLANK(B100)=FALSE,VLOOKUP(B100,Data_source!A:J,5,FALSE),""))</f>
        <v/>
      </c>
      <c r="D100" s="11" t="str">
        <f>IF(ISBLANK(B100)=FALSE,IF(VLOOKUP(B100,Data_source!A:J,2,FALSE)="---","",VLOOKUP(B100,Data_source!A:J,2,FALSE)),"")</f>
        <v/>
      </c>
      <c r="E100" s="11" t="str">
        <f t="shared" si="3"/>
        <v/>
      </c>
      <c r="F100" s="11" t="str">
        <f>IF(ISBLANK(B100)=FALSE,IF(VLOOKUP(B100,Data_source!A:J,3,FALSE)="---","",VLOOKUP(B100,Data_source!A:J,3,FALSE)),"")</f>
        <v/>
      </c>
      <c r="G100" s="11" t="str">
        <f t="shared" si="4"/>
        <v/>
      </c>
      <c r="H100" s="12" t="str">
        <f>IF(ISBLANK(B100)=FALSE,IF(VLOOKUP(B100,Data_source!A:J,6,FALSE)="---","",VLOOKUP(B100,Data_source!A:J,6,FALSE)),"")</f>
        <v/>
      </c>
      <c r="I100" s="12" t="str">
        <f t="shared" si="5"/>
        <v/>
      </c>
      <c r="J100" s="46" t="str">
        <f>IF(ISBLANK(B100)=FALSE,IF(VLOOKUP(B100,Data_source!A:J,7,FALSE)=0,"",VLOOKUP(B100,Data_source!A:J,7,FALSE)),"")</f>
        <v/>
      </c>
      <c r="K100" s="46" t="str">
        <f>IF(ISBLANK(B100)=FALSE,IF(VLOOKUP(B100,Data_source!A:J,8,FALSE)=0,"",VLOOKUP(B100,Data_source!A:J,8,FALSE)),"")</f>
        <v/>
      </c>
      <c r="L100" s="46" t="str">
        <f>IF(ISBLANK(B100)=FALSE,IF(VLOOKUP(B100,Data_source!A:J,9,FALSE)=0,"",VLOOKUP(B100,Data_source!A:J,9,FALSE)),"")</f>
        <v/>
      </c>
      <c r="M100" s="67"/>
    </row>
    <row r="101" spans="1:13" x14ac:dyDescent="0.2">
      <c r="A101" s="13">
        <v>90</v>
      </c>
      <c r="B101" s="24"/>
      <c r="C101" s="10" t="str">
        <f>IF($E$5=1,IF(ISBLANK(B101)=FALSE,VLOOKUP(B101,Data_source!A:J,4,FALSE),""),IF(ISBLANK(B101)=FALSE,VLOOKUP(B101,Data_source!A:J,5,FALSE),""))</f>
        <v/>
      </c>
      <c r="D101" s="11" t="str">
        <f>IF(ISBLANK(B101)=FALSE,IF(VLOOKUP(B101,Data_source!A:J,2,FALSE)="---","",VLOOKUP(B101,Data_source!A:J,2,FALSE)),"")</f>
        <v/>
      </c>
      <c r="E101" s="11" t="str">
        <f t="shared" si="3"/>
        <v/>
      </c>
      <c r="F101" s="11" t="str">
        <f>IF(ISBLANK(B101)=FALSE,IF(VLOOKUP(B101,Data_source!A:J,3,FALSE)="---","",VLOOKUP(B101,Data_source!A:J,3,FALSE)),"")</f>
        <v/>
      </c>
      <c r="G101" s="11" t="str">
        <f t="shared" si="4"/>
        <v/>
      </c>
      <c r="H101" s="12" t="str">
        <f>IF(ISBLANK(B101)=FALSE,IF(VLOOKUP(B101,Data_source!A:J,6,FALSE)="---","",VLOOKUP(B101,Data_source!A:J,6,FALSE)),"")</f>
        <v/>
      </c>
      <c r="I101" s="12" t="str">
        <f t="shared" si="5"/>
        <v/>
      </c>
      <c r="J101" s="46" t="str">
        <f>IF(ISBLANK(B101)=FALSE,IF(VLOOKUP(B101,Data_source!A:J,7,FALSE)=0,"",VLOOKUP(B101,Data_source!A:J,7,FALSE)),"")</f>
        <v/>
      </c>
      <c r="K101" s="46" t="str">
        <f>IF(ISBLANK(B101)=FALSE,IF(VLOOKUP(B101,Data_source!A:J,8,FALSE)=0,"",VLOOKUP(B101,Data_source!A:J,8,FALSE)),"")</f>
        <v/>
      </c>
      <c r="L101" s="46" t="str">
        <f>IF(ISBLANK(B101)=FALSE,IF(VLOOKUP(B101,Data_source!A:J,9,FALSE)=0,"",VLOOKUP(B101,Data_source!A:J,9,FALSE)),"")</f>
        <v/>
      </c>
      <c r="M101" s="25"/>
    </row>
    <row r="102" spans="1:13" x14ac:dyDescent="0.2">
      <c r="A102" s="13">
        <v>91</v>
      </c>
      <c r="B102" s="24"/>
      <c r="C102" s="10" t="str">
        <f>IF($E$5=1,IF(ISBLANK(B102)=FALSE,VLOOKUP(B102,Data_source!A:J,4,FALSE),""),IF(ISBLANK(B102)=FALSE,VLOOKUP(B102,Data_source!A:J,5,FALSE),""))</f>
        <v/>
      </c>
      <c r="D102" s="11" t="str">
        <f>IF(ISBLANK(B102)=FALSE,IF(VLOOKUP(B102,Data_source!A:J,2,FALSE)="---","",VLOOKUP(B102,Data_source!A:J,2,FALSE)),"")</f>
        <v/>
      </c>
      <c r="E102" s="11" t="str">
        <f t="shared" si="3"/>
        <v/>
      </c>
      <c r="F102" s="11" t="str">
        <f>IF(ISBLANK(B102)=FALSE,IF(VLOOKUP(B102,Data_source!A:J,3,FALSE)="---","",VLOOKUP(B102,Data_source!A:J,3,FALSE)),"")</f>
        <v/>
      </c>
      <c r="G102" s="11" t="str">
        <f t="shared" si="4"/>
        <v/>
      </c>
      <c r="H102" s="12" t="str">
        <f>IF(ISBLANK(B102)=FALSE,IF(VLOOKUP(B102,Data_source!A:J,6,FALSE)="---","",VLOOKUP(B102,Data_source!A:J,6,FALSE)),"")</f>
        <v/>
      </c>
      <c r="I102" s="12" t="str">
        <f t="shared" si="5"/>
        <v/>
      </c>
      <c r="J102" s="46" t="str">
        <f>IF(ISBLANK(B102)=FALSE,IF(VLOOKUP(B102,Data_source!A:J,7,FALSE)=0,"",VLOOKUP(B102,Data_source!A:J,7,FALSE)),"")</f>
        <v/>
      </c>
      <c r="K102" s="46" t="str">
        <f>IF(ISBLANK(B102)=FALSE,IF(VLOOKUP(B102,Data_source!A:J,8,FALSE)=0,"",VLOOKUP(B102,Data_source!A:J,8,FALSE)),"")</f>
        <v/>
      </c>
      <c r="L102" s="46" t="str">
        <f>IF(ISBLANK(B102)=FALSE,IF(VLOOKUP(B102,Data_source!A:J,9,FALSE)=0,"",VLOOKUP(B102,Data_source!A:J,9,FALSE)),"")</f>
        <v/>
      </c>
      <c r="M102" s="67"/>
    </row>
    <row r="103" spans="1:13" x14ac:dyDescent="0.2">
      <c r="A103" s="13">
        <v>92</v>
      </c>
      <c r="B103" s="24"/>
      <c r="C103" s="10" t="str">
        <f>IF($E$5=1,IF(ISBLANK(B103)=FALSE,VLOOKUP(B103,Data_source!A:J,4,FALSE),""),IF(ISBLANK(B103)=FALSE,VLOOKUP(B103,Data_source!A:J,5,FALSE),""))</f>
        <v/>
      </c>
      <c r="D103" s="11" t="str">
        <f>IF(ISBLANK(B103)=FALSE,IF(VLOOKUP(B103,Data_source!A:J,2,FALSE)="---","",VLOOKUP(B103,Data_source!A:J,2,FALSE)),"")</f>
        <v/>
      </c>
      <c r="E103" s="11" t="str">
        <f t="shared" si="3"/>
        <v/>
      </c>
      <c r="F103" s="11" t="str">
        <f>IF(ISBLANK(B103)=FALSE,IF(VLOOKUP(B103,Data_source!A:J,3,FALSE)="---","",VLOOKUP(B103,Data_source!A:J,3,FALSE)),"")</f>
        <v/>
      </c>
      <c r="G103" s="11" t="str">
        <f t="shared" si="4"/>
        <v/>
      </c>
      <c r="H103" s="12" t="str">
        <f>IF(ISBLANK(B103)=FALSE,IF(VLOOKUP(B103,Data_source!A:J,6,FALSE)="---","",VLOOKUP(B103,Data_source!A:J,6,FALSE)),"")</f>
        <v/>
      </c>
      <c r="I103" s="12" t="str">
        <f t="shared" si="5"/>
        <v/>
      </c>
      <c r="J103" s="46" t="str">
        <f>IF(ISBLANK(B103)=FALSE,IF(VLOOKUP(B103,Data_source!A:J,7,FALSE)=0,"",VLOOKUP(B103,Data_source!A:J,7,FALSE)),"")</f>
        <v/>
      </c>
      <c r="K103" s="46" t="str">
        <f>IF(ISBLANK(B103)=FALSE,IF(VLOOKUP(B103,Data_source!A:J,8,FALSE)=0,"",VLOOKUP(B103,Data_source!A:J,8,FALSE)),"")</f>
        <v/>
      </c>
      <c r="L103" s="46" t="str">
        <f>IF(ISBLANK(B103)=FALSE,IF(VLOOKUP(B103,Data_source!A:J,9,FALSE)=0,"",VLOOKUP(B103,Data_source!A:J,9,FALSE)),"")</f>
        <v/>
      </c>
      <c r="M103" s="67"/>
    </row>
    <row r="104" spans="1:13" x14ac:dyDescent="0.2">
      <c r="A104" s="13">
        <v>93</v>
      </c>
      <c r="B104" s="24"/>
      <c r="C104" s="10" t="str">
        <f>IF($E$5=1,IF(ISBLANK(B104)=FALSE,VLOOKUP(B104,Data_source!A:J,4,FALSE),""),IF(ISBLANK(B104)=FALSE,VLOOKUP(B104,Data_source!A:J,5,FALSE),""))</f>
        <v/>
      </c>
      <c r="D104" s="11" t="str">
        <f>IF(ISBLANK(B104)=FALSE,IF(VLOOKUP(B104,Data_source!A:J,2,FALSE)="---","",VLOOKUP(B104,Data_source!A:J,2,FALSE)),"")</f>
        <v/>
      </c>
      <c r="E104" s="11" t="str">
        <f t="shared" si="3"/>
        <v/>
      </c>
      <c r="F104" s="11" t="str">
        <f>IF(ISBLANK(B104)=FALSE,IF(VLOOKUP(B104,Data_source!A:J,3,FALSE)="---","",VLOOKUP(B104,Data_source!A:J,3,FALSE)),"")</f>
        <v/>
      </c>
      <c r="G104" s="11" t="str">
        <f t="shared" si="4"/>
        <v/>
      </c>
      <c r="H104" s="12" t="str">
        <f>IF(ISBLANK(B104)=FALSE,IF(VLOOKUP(B104,Data_source!A:J,6,FALSE)="---","",VLOOKUP(B104,Data_source!A:J,6,FALSE)),"")</f>
        <v/>
      </c>
      <c r="I104" s="12" t="str">
        <f t="shared" si="5"/>
        <v/>
      </c>
      <c r="J104" s="46" t="str">
        <f>IF(ISBLANK(B104)=FALSE,IF(VLOOKUP(B104,Data_source!A:J,7,FALSE)=0,"",VLOOKUP(B104,Data_source!A:J,7,FALSE)),"")</f>
        <v/>
      </c>
      <c r="K104" s="46" t="str">
        <f>IF(ISBLANK(B104)=FALSE,IF(VLOOKUP(B104,Data_source!A:J,8,FALSE)=0,"",VLOOKUP(B104,Data_source!A:J,8,FALSE)),"")</f>
        <v/>
      </c>
      <c r="L104" s="46" t="str">
        <f>IF(ISBLANK(B104)=FALSE,IF(VLOOKUP(B104,Data_source!A:J,9,FALSE)=0,"",VLOOKUP(B104,Data_source!A:J,9,FALSE)),"")</f>
        <v/>
      </c>
      <c r="M104" s="67"/>
    </row>
    <row r="105" spans="1:13" x14ac:dyDescent="0.2">
      <c r="A105" s="13">
        <v>94</v>
      </c>
      <c r="B105" s="24"/>
      <c r="C105" s="10" t="str">
        <f>IF($E$5=1,IF(ISBLANK(B105)=FALSE,VLOOKUP(B105,Data_source!A:J,4,FALSE),""),IF(ISBLANK(B105)=FALSE,VLOOKUP(B105,Data_source!A:J,5,FALSE),""))</f>
        <v/>
      </c>
      <c r="D105" s="11" t="str">
        <f>IF(ISBLANK(B105)=FALSE,IF(VLOOKUP(B105,Data_source!A:J,2,FALSE)="---","",VLOOKUP(B105,Data_source!A:J,2,FALSE)),"")</f>
        <v/>
      </c>
      <c r="E105" s="11" t="str">
        <f t="shared" si="3"/>
        <v/>
      </c>
      <c r="F105" s="11" t="str">
        <f>IF(ISBLANK(B105)=FALSE,IF(VLOOKUP(B105,Data_source!A:J,3,FALSE)="---","",VLOOKUP(B105,Data_source!A:J,3,FALSE)),"")</f>
        <v/>
      </c>
      <c r="G105" s="11" t="str">
        <f t="shared" si="4"/>
        <v/>
      </c>
      <c r="H105" s="12" t="str">
        <f>IF(ISBLANK(B105)=FALSE,IF(VLOOKUP(B105,Data_source!A:J,6,FALSE)="---","",VLOOKUP(B105,Data_source!A:J,6,FALSE)),"")</f>
        <v/>
      </c>
      <c r="I105" s="12" t="str">
        <f t="shared" si="5"/>
        <v/>
      </c>
      <c r="J105" s="46" t="str">
        <f>IF(ISBLANK(B105)=FALSE,IF(VLOOKUP(B105,Data_source!A:J,7,FALSE)=0,"",VLOOKUP(B105,Data_source!A:J,7,FALSE)),"")</f>
        <v/>
      </c>
      <c r="K105" s="46" t="str">
        <f>IF(ISBLANK(B105)=FALSE,IF(VLOOKUP(B105,Data_source!A:J,8,FALSE)=0,"",VLOOKUP(B105,Data_source!A:J,8,FALSE)),"")</f>
        <v/>
      </c>
      <c r="L105" s="46" t="str">
        <f>IF(ISBLANK(B105)=FALSE,IF(VLOOKUP(B105,Data_source!A:J,9,FALSE)=0,"",VLOOKUP(B105,Data_source!A:J,9,FALSE)),"")</f>
        <v/>
      </c>
      <c r="M105" s="67"/>
    </row>
    <row r="106" spans="1:13" x14ac:dyDescent="0.2">
      <c r="A106" s="13">
        <v>95</v>
      </c>
      <c r="B106" s="24"/>
      <c r="C106" s="10" t="str">
        <f>IF($E$5=1,IF(ISBLANK(B106)=FALSE,VLOOKUP(B106,Data_source!A:J,4,FALSE),""),IF(ISBLANK(B106)=FALSE,VLOOKUP(B106,Data_source!A:J,5,FALSE),""))</f>
        <v/>
      </c>
      <c r="D106" s="11" t="str">
        <f>IF(ISBLANK(B106)=FALSE,IF(VLOOKUP(B106,Data_source!A:J,2,FALSE)="---","",VLOOKUP(B106,Data_source!A:J,2,FALSE)),"")</f>
        <v/>
      </c>
      <c r="E106" s="11" t="str">
        <f t="shared" si="3"/>
        <v/>
      </c>
      <c r="F106" s="11" t="str">
        <f>IF(ISBLANK(B106)=FALSE,IF(VLOOKUP(B106,Data_source!A:J,3,FALSE)="---","",VLOOKUP(B106,Data_source!A:J,3,FALSE)),"")</f>
        <v/>
      </c>
      <c r="G106" s="11" t="str">
        <f t="shared" si="4"/>
        <v/>
      </c>
      <c r="H106" s="12" t="str">
        <f>IF(ISBLANK(B106)=FALSE,IF(VLOOKUP(B106,Data_source!A:J,6,FALSE)="---","",VLOOKUP(B106,Data_source!A:J,6,FALSE)),"")</f>
        <v/>
      </c>
      <c r="I106" s="12" t="str">
        <f t="shared" si="5"/>
        <v/>
      </c>
      <c r="J106" s="46" t="str">
        <f>IF(ISBLANK(B106)=FALSE,IF(VLOOKUP(B106,Data_source!A:J,7,FALSE)=0,"",VLOOKUP(B106,Data_source!A:J,7,FALSE)),"")</f>
        <v/>
      </c>
      <c r="K106" s="46" t="str">
        <f>IF(ISBLANK(B106)=FALSE,IF(VLOOKUP(B106,Data_source!A:J,8,FALSE)=0,"",VLOOKUP(B106,Data_source!A:J,8,FALSE)),"")</f>
        <v/>
      </c>
      <c r="L106" s="46" t="str">
        <f>IF(ISBLANK(B106)=FALSE,IF(VLOOKUP(B106,Data_source!A:J,9,FALSE)=0,"",VLOOKUP(B106,Data_source!A:J,9,FALSE)),"")</f>
        <v/>
      </c>
      <c r="M106" s="26"/>
    </row>
    <row r="107" spans="1:13" x14ac:dyDescent="0.2">
      <c r="A107" s="13">
        <v>96</v>
      </c>
      <c r="B107" s="24"/>
      <c r="C107" s="10" t="str">
        <f>IF($E$5=1,IF(ISBLANK(B107)=FALSE,VLOOKUP(B107,Data_source!A:J,4,FALSE),""),IF(ISBLANK(B107)=FALSE,VLOOKUP(B107,Data_source!A:J,5,FALSE),""))</f>
        <v/>
      </c>
      <c r="D107" s="11" t="str">
        <f>IF(ISBLANK(B107)=FALSE,IF(VLOOKUP(B107,Data_source!A:J,2,FALSE)="---","",VLOOKUP(B107,Data_source!A:J,2,FALSE)),"")</f>
        <v/>
      </c>
      <c r="E107" s="11" t="str">
        <f t="shared" si="3"/>
        <v/>
      </c>
      <c r="F107" s="11" t="str">
        <f>IF(ISBLANK(B107)=FALSE,IF(VLOOKUP(B107,Data_source!A:J,3,FALSE)="---","",VLOOKUP(B107,Data_source!A:J,3,FALSE)),"")</f>
        <v/>
      </c>
      <c r="G107" s="11" t="str">
        <f t="shared" si="4"/>
        <v/>
      </c>
      <c r="H107" s="12" t="str">
        <f>IF(ISBLANK(B107)=FALSE,IF(VLOOKUP(B107,Data_source!A:J,6,FALSE)="---","",VLOOKUP(B107,Data_source!A:J,6,FALSE)),"")</f>
        <v/>
      </c>
      <c r="I107" s="12" t="str">
        <f t="shared" si="5"/>
        <v/>
      </c>
      <c r="J107" s="46" t="str">
        <f>IF(ISBLANK(B107)=FALSE,IF(VLOOKUP(B107,Data_source!A:J,7,FALSE)=0,"",VLOOKUP(B107,Data_source!A:J,7,FALSE)),"")</f>
        <v/>
      </c>
      <c r="K107" s="46" t="str">
        <f>IF(ISBLANK(B107)=FALSE,IF(VLOOKUP(B107,Data_source!A:J,8,FALSE)=0,"",VLOOKUP(B107,Data_source!A:J,8,FALSE)),"")</f>
        <v/>
      </c>
      <c r="L107" s="46" t="str">
        <f>IF(ISBLANK(B107)=FALSE,IF(VLOOKUP(B107,Data_source!A:J,9,FALSE)=0,"",VLOOKUP(B107,Data_source!A:J,9,FALSE)),"")</f>
        <v/>
      </c>
      <c r="M107" s="26"/>
    </row>
    <row r="108" spans="1:13" x14ac:dyDescent="0.2">
      <c r="A108" s="13">
        <v>97</v>
      </c>
      <c r="B108" s="24"/>
      <c r="C108" s="10" t="str">
        <f>IF($E$5=1,IF(ISBLANK(B108)=FALSE,VLOOKUP(B108,Data_source!A:J,4,FALSE),""),IF(ISBLANK(B108)=FALSE,VLOOKUP(B108,Data_source!A:J,5,FALSE),""))</f>
        <v/>
      </c>
      <c r="D108" s="11" t="str">
        <f>IF(ISBLANK(B108)=FALSE,IF(VLOOKUP(B108,Data_source!A:J,2,FALSE)="---","",VLOOKUP(B108,Data_source!A:J,2,FALSE)),"")</f>
        <v/>
      </c>
      <c r="E108" s="11" t="str">
        <f t="shared" si="3"/>
        <v/>
      </c>
      <c r="F108" s="11" t="str">
        <f>IF(ISBLANK(B108)=FALSE,IF(VLOOKUP(B108,Data_source!A:J,3,FALSE)="---","",VLOOKUP(B108,Data_source!A:J,3,FALSE)),"")</f>
        <v/>
      </c>
      <c r="G108" s="11" t="str">
        <f t="shared" si="4"/>
        <v/>
      </c>
      <c r="H108" s="12" t="str">
        <f>IF(ISBLANK(B108)=FALSE,IF(VLOOKUP(B108,Data_source!A:J,6,FALSE)="---","",VLOOKUP(B108,Data_source!A:J,6,FALSE)),"")</f>
        <v/>
      </c>
      <c r="I108" s="12" t="str">
        <f t="shared" si="5"/>
        <v/>
      </c>
      <c r="J108" s="46" t="str">
        <f>IF(ISBLANK(B108)=FALSE,IF(VLOOKUP(B108,Data_source!A:J,7,FALSE)=0,"",VLOOKUP(B108,Data_source!A:J,7,FALSE)),"")</f>
        <v/>
      </c>
      <c r="K108" s="46" t="str">
        <f>IF(ISBLANK(B108)=FALSE,IF(VLOOKUP(B108,Data_source!A:J,8,FALSE)=0,"",VLOOKUP(B108,Data_source!A:J,8,FALSE)),"")</f>
        <v/>
      </c>
      <c r="L108" s="46" t="str">
        <f>IF(ISBLANK(B108)=FALSE,IF(VLOOKUP(B108,Data_source!A:J,9,FALSE)=0,"",VLOOKUP(B108,Data_source!A:J,9,FALSE)),"")</f>
        <v/>
      </c>
      <c r="M108" s="26"/>
    </row>
    <row r="109" spans="1:13" x14ac:dyDescent="0.2">
      <c r="A109" s="13">
        <v>98</v>
      </c>
      <c r="B109" s="24"/>
      <c r="C109" s="10" t="str">
        <f>IF($E$5=1,IF(ISBLANK(B109)=FALSE,VLOOKUP(B109,Data_source!A:J,4,FALSE),""),IF(ISBLANK(B109)=FALSE,VLOOKUP(B109,Data_source!A:J,5,FALSE),""))</f>
        <v/>
      </c>
      <c r="D109" s="11" t="str">
        <f>IF(ISBLANK(B109)=FALSE,IF(VLOOKUP(B109,Data_source!A:J,2,FALSE)="---","",VLOOKUP(B109,Data_source!A:J,2,FALSE)),"")</f>
        <v/>
      </c>
      <c r="E109" s="11" t="str">
        <f t="shared" si="3"/>
        <v/>
      </c>
      <c r="F109" s="11" t="str">
        <f>IF(ISBLANK(B109)=FALSE,IF(VLOOKUP(B109,Data_source!A:J,3,FALSE)="---","",VLOOKUP(B109,Data_source!A:J,3,FALSE)),"")</f>
        <v/>
      </c>
      <c r="G109" s="11" t="str">
        <f t="shared" si="4"/>
        <v/>
      </c>
      <c r="H109" s="12" t="str">
        <f>IF(ISBLANK(B109)=FALSE,IF(VLOOKUP(B109,Data_source!A:J,6,FALSE)="---","",VLOOKUP(B109,Data_source!A:J,6,FALSE)),"")</f>
        <v/>
      </c>
      <c r="I109" s="12" t="str">
        <f t="shared" si="5"/>
        <v/>
      </c>
      <c r="J109" s="46" t="str">
        <f>IF(ISBLANK(B109)=FALSE,IF(VLOOKUP(B109,Data_source!A:J,7,FALSE)=0,"",VLOOKUP(B109,Data_source!A:J,7,FALSE)),"")</f>
        <v/>
      </c>
      <c r="K109" s="46" t="str">
        <f>IF(ISBLANK(B109)=FALSE,IF(VLOOKUP(B109,Data_source!A:J,8,FALSE)=0,"",VLOOKUP(B109,Data_source!A:J,8,FALSE)),"")</f>
        <v/>
      </c>
      <c r="L109" s="46" t="str">
        <f>IF(ISBLANK(B109)=FALSE,IF(VLOOKUP(B109,Data_source!A:J,9,FALSE)=0,"",VLOOKUP(B109,Data_source!A:J,9,FALSE)),"")</f>
        <v/>
      </c>
      <c r="M109" s="26"/>
    </row>
    <row r="110" spans="1:13" x14ac:dyDescent="0.2">
      <c r="A110" s="13">
        <v>99</v>
      </c>
      <c r="B110" s="24"/>
      <c r="C110" s="10" t="str">
        <f>IF($E$5=1,IF(ISBLANK(B110)=FALSE,VLOOKUP(B110,Data_source!A:J,4,FALSE),""),IF(ISBLANK(B110)=FALSE,VLOOKUP(B110,Data_source!A:J,5,FALSE),""))</f>
        <v/>
      </c>
      <c r="D110" s="11" t="str">
        <f>IF(ISBLANK(B110)=FALSE,IF(VLOOKUP(B110,Data_source!A:J,2,FALSE)="---","",VLOOKUP(B110,Data_source!A:J,2,FALSE)),"")</f>
        <v/>
      </c>
      <c r="E110" s="11" t="str">
        <f t="shared" si="3"/>
        <v/>
      </c>
      <c r="F110" s="11" t="str">
        <f>IF(ISBLANK(B110)=FALSE,IF(VLOOKUP(B110,Data_source!A:J,3,FALSE)="---","",VLOOKUP(B110,Data_source!A:J,3,FALSE)),"")</f>
        <v/>
      </c>
      <c r="G110" s="11" t="str">
        <f t="shared" si="4"/>
        <v/>
      </c>
      <c r="H110" s="12" t="str">
        <f>IF(ISBLANK(B110)=FALSE,IF(VLOOKUP(B110,Data_source!A:J,6,FALSE)="---","",VLOOKUP(B110,Data_source!A:J,6,FALSE)),"")</f>
        <v/>
      </c>
      <c r="I110" s="12" t="str">
        <f t="shared" si="5"/>
        <v/>
      </c>
      <c r="J110" s="46" t="str">
        <f>IF(ISBLANK(B110)=FALSE,IF(VLOOKUP(B110,Data_source!A:J,7,FALSE)=0,"",VLOOKUP(B110,Data_source!A:J,7,FALSE)),"")</f>
        <v/>
      </c>
      <c r="K110" s="46" t="str">
        <f>IF(ISBLANK(B110)=FALSE,IF(VLOOKUP(B110,Data_source!A:J,8,FALSE)=0,"",VLOOKUP(B110,Data_source!A:J,8,FALSE)),"")</f>
        <v/>
      </c>
      <c r="L110" s="46" t="str">
        <f>IF(ISBLANK(B110)=FALSE,IF(VLOOKUP(B110,Data_source!A:J,9,FALSE)=0,"",VLOOKUP(B110,Data_source!A:J,9,FALSE)),"")</f>
        <v/>
      </c>
      <c r="M110" s="26"/>
    </row>
    <row r="111" spans="1:13" x14ac:dyDescent="0.2">
      <c r="A111" s="13">
        <v>100</v>
      </c>
      <c r="B111" s="24"/>
      <c r="C111" s="10" t="str">
        <f>IF($E$5=1,IF(ISBLANK(B111)=FALSE,VLOOKUP(B111,Data_source!A:J,4,FALSE),""),IF(ISBLANK(B111)=FALSE,VLOOKUP(B111,Data_source!A:J,5,FALSE),""))</f>
        <v/>
      </c>
      <c r="D111" s="11" t="str">
        <f>IF(ISBLANK(B111)=FALSE,IF(VLOOKUP(B111,Data_source!A:J,2,FALSE)="---","",VLOOKUP(B111,Data_source!A:J,2,FALSE)),"")</f>
        <v/>
      </c>
      <c r="E111" s="11" t="str">
        <f t="shared" si="3"/>
        <v/>
      </c>
      <c r="F111" s="11" t="str">
        <f>IF(ISBLANK(B111)=FALSE,IF(VLOOKUP(B111,Data_source!A:J,3,FALSE)="---","",VLOOKUP(B111,Data_source!A:J,3,FALSE)),"")</f>
        <v/>
      </c>
      <c r="G111" s="11" t="str">
        <f t="shared" si="4"/>
        <v/>
      </c>
      <c r="H111" s="12" t="str">
        <f>IF(ISBLANK(B111)=FALSE,IF(VLOOKUP(B111,Data_source!A:J,6,FALSE)="---","",VLOOKUP(B111,Data_source!A:J,6,FALSE)),"")</f>
        <v/>
      </c>
      <c r="I111" s="12" t="str">
        <f t="shared" si="5"/>
        <v/>
      </c>
      <c r="J111" s="46" t="str">
        <f>IF(ISBLANK(B111)=FALSE,IF(VLOOKUP(B111,Data_source!A:J,7,FALSE)=0,"",VLOOKUP(B111,Data_source!A:J,7,FALSE)),"")</f>
        <v/>
      </c>
      <c r="K111" s="46" t="str">
        <f>IF(ISBLANK(B111)=FALSE,IF(VLOOKUP(B111,Data_source!A:J,8,FALSE)=0,"",VLOOKUP(B111,Data_source!A:J,8,FALSE)),"")</f>
        <v/>
      </c>
      <c r="L111" s="46" t="str">
        <f>IF(ISBLANK(B111)=FALSE,IF(VLOOKUP(B111,Data_source!A:J,9,FALSE)=0,"",VLOOKUP(B111,Data_source!A:J,9,FALSE)),"")</f>
        <v/>
      </c>
      <c r="M111" s="25"/>
    </row>
    <row r="112" spans="1:13" x14ac:dyDescent="0.2">
      <c r="A112" s="13">
        <v>101</v>
      </c>
      <c r="B112" s="23"/>
      <c r="C112" s="10" t="str">
        <f>IF($E$5=1,IF(ISBLANK(B112)=FALSE,VLOOKUP(B112,Data_source!A:J,4,FALSE),""),IF(ISBLANK(B112)=FALSE,VLOOKUP(B112,Data_source!A:J,5,FALSE),""))</f>
        <v/>
      </c>
      <c r="D112" s="11" t="str">
        <f>IF(ISBLANK(B112)=FALSE,IF(VLOOKUP(B112,Data_source!A:J,2,FALSE)="---","",VLOOKUP(B112,Data_source!A:J,2,FALSE)),"")</f>
        <v/>
      </c>
      <c r="E112" s="11" t="str">
        <f t="shared" si="3"/>
        <v/>
      </c>
      <c r="F112" s="11" t="str">
        <f>IF(ISBLANK(B112)=FALSE,IF(VLOOKUP(B112,Data_source!A:J,3,FALSE)="---","",VLOOKUP(B112,Data_source!A:J,3,FALSE)),"")</f>
        <v/>
      </c>
      <c r="G112" s="11" t="str">
        <f t="shared" si="4"/>
        <v/>
      </c>
      <c r="H112" s="12" t="str">
        <f>IF(ISBLANK(B112)=FALSE,IF(VLOOKUP(B112,Data_source!A:J,6,FALSE)="---","",VLOOKUP(B112,Data_source!A:J,6,FALSE)),"")</f>
        <v/>
      </c>
      <c r="I112" s="12" t="str">
        <f t="shared" si="5"/>
        <v/>
      </c>
      <c r="J112" s="46" t="str">
        <f>IF(ISBLANK(B112)=FALSE,IF(VLOOKUP(B112,Data_source!A:J,7,FALSE)=0,"",VLOOKUP(B112,Data_source!A:J,7,FALSE)),"")</f>
        <v/>
      </c>
      <c r="K112" s="46" t="str">
        <f>IF(ISBLANK(B112)=FALSE,IF(VLOOKUP(B112,Data_source!A:J,8,FALSE)=0,"",VLOOKUP(B112,Data_source!A:J,8,FALSE)),"")</f>
        <v/>
      </c>
      <c r="L112" s="46" t="str">
        <f>IF(ISBLANK(B112)=FALSE,IF(VLOOKUP(B112,Data_source!A:J,9,FALSE)=0,"",VLOOKUP(B112,Data_source!A:J,9,FALSE)),"")</f>
        <v/>
      </c>
      <c r="M112" s="26"/>
    </row>
    <row r="113" spans="1:13" x14ac:dyDescent="0.2">
      <c r="A113" s="13">
        <v>102</v>
      </c>
      <c r="B113" s="23"/>
      <c r="C113" s="10" t="str">
        <f>IF($E$5=1,IF(ISBLANK(B113)=FALSE,VLOOKUP(B113,Data_source!A:J,4,FALSE),""),IF(ISBLANK(B113)=FALSE,VLOOKUP(B113,Data_source!A:J,5,FALSE),""))</f>
        <v/>
      </c>
      <c r="D113" s="11" t="str">
        <f>IF(ISBLANK(B113)=FALSE,IF(VLOOKUP(B113,Data_source!A:J,2,FALSE)="---","",VLOOKUP(B113,Data_source!A:J,2,FALSE)),"")</f>
        <v/>
      </c>
      <c r="E113" s="11" t="str">
        <f t="shared" si="3"/>
        <v/>
      </c>
      <c r="F113" s="11" t="str">
        <f>IF(ISBLANK(B113)=FALSE,IF(VLOOKUP(B113,Data_source!A:J,3,FALSE)="---","",VLOOKUP(B113,Data_source!A:J,3,FALSE)),"")</f>
        <v/>
      </c>
      <c r="G113" s="11" t="str">
        <f t="shared" si="4"/>
        <v/>
      </c>
      <c r="H113" s="12" t="str">
        <f>IF(ISBLANK(B113)=FALSE,IF(VLOOKUP(B113,Data_source!A:J,6,FALSE)="---","",VLOOKUP(B113,Data_source!A:J,6,FALSE)),"")</f>
        <v/>
      </c>
      <c r="I113" s="12" t="str">
        <f t="shared" si="5"/>
        <v/>
      </c>
      <c r="J113" s="46" t="str">
        <f>IF(ISBLANK(B113)=FALSE,IF(VLOOKUP(B113,Data_source!A:J,7,FALSE)=0,"",VLOOKUP(B113,Data_source!A:J,7,FALSE)),"")</f>
        <v/>
      </c>
      <c r="K113" s="46" t="str">
        <f>IF(ISBLANK(B113)=FALSE,IF(VLOOKUP(B113,Data_source!A:J,8,FALSE)=0,"",VLOOKUP(B113,Data_source!A:J,8,FALSE)),"")</f>
        <v/>
      </c>
      <c r="L113" s="46" t="str">
        <f>IF(ISBLANK(B113)=FALSE,IF(VLOOKUP(B113,Data_source!A:J,9,FALSE)=0,"",VLOOKUP(B113,Data_source!A:J,9,FALSE)),"")</f>
        <v/>
      </c>
      <c r="M113" s="26"/>
    </row>
    <row r="114" spans="1:13" x14ac:dyDescent="0.2">
      <c r="A114" s="13">
        <v>103</v>
      </c>
      <c r="B114" s="24"/>
      <c r="C114" s="10" t="str">
        <f>IF($E$5=1,IF(ISBLANK(B114)=FALSE,VLOOKUP(B114,Data_source!A:J,4,FALSE),""),IF(ISBLANK(B114)=FALSE,VLOOKUP(B114,Data_source!A:J,5,FALSE),""))</f>
        <v/>
      </c>
      <c r="D114" s="11" t="str">
        <f>IF(ISBLANK(B114)=FALSE,IF(VLOOKUP(B114,Data_source!A:J,2,FALSE)="---","",VLOOKUP(B114,Data_source!A:J,2,FALSE)),"")</f>
        <v/>
      </c>
      <c r="E114" s="11" t="str">
        <f t="shared" si="3"/>
        <v/>
      </c>
      <c r="F114" s="11" t="str">
        <f>IF(ISBLANK(B114)=FALSE,IF(VLOOKUP(B114,Data_source!A:J,3,FALSE)="---","",VLOOKUP(B114,Data_source!A:J,3,FALSE)),"")</f>
        <v/>
      </c>
      <c r="G114" s="11" t="str">
        <f t="shared" si="4"/>
        <v/>
      </c>
      <c r="H114" s="12" t="str">
        <f>IF(ISBLANK(B114)=FALSE,IF(VLOOKUP(B114,Data_source!A:J,6,FALSE)="---","",VLOOKUP(B114,Data_source!A:J,6,FALSE)),"")</f>
        <v/>
      </c>
      <c r="I114" s="12" t="str">
        <f t="shared" si="5"/>
        <v/>
      </c>
      <c r="J114" s="46" t="str">
        <f>IF(ISBLANK(B114)=FALSE,IF(VLOOKUP(B114,Data_source!A:J,7,FALSE)=0,"",VLOOKUP(B114,Data_source!A:J,7,FALSE)),"")</f>
        <v/>
      </c>
      <c r="K114" s="46" t="str">
        <f>IF(ISBLANK(B114)=FALSE,IF(VLOOKUP(B114,Data_source!A:J,8,FALSE)=0,"",VLOOKUP(B114,Data_source!A:J,8,FALSE)),"")</f>
        <v/>
      </c>
      <c r="L114" s="46" t="str">
        <f>IF(ISBLANK(B114)=FALSE,IF(VLOOKUP(B114,Data_source!A:J,9,FALSE)=0,"",VLOOKUP(B114,Data_source!A:J,9,FALSE)),"")</f>
        <v/>
      </c>
      <c r="M114" s="23"/>
    </row>
    <row r="115" spans="1:13" x14ac:dyDescent="0.2">
      <c r="A115" s="13">
        <v>104</v>
      </c>
      <c r="B115" s="24"/>
      <c r="C115" s="10" t="str">
        <f>IF($E$5=1,IF(ISBLANK(B115)=FALSE,VLOOKUP(B115,Data_source!A:J,4,FALSE),""),IF(ISBLANK(B115)=FALSE,VLOOKUP(B115,Data_source!A:J,5,FALSE),""))</f>
        <v/>
      </c>
      <c r="D115" s="11" t="str">
        <f>IF(ISBLANK(B115)=FALSE,IF(VLOOKUP(B115,Data_source!A:J,2,FALSE)="---","",VLOOKUP(B115,Data_source!A:J,2,FALSE)),"")</f>
        <v/>
      </c>
      <c r="E115" s="11" t="str">
        <f t="shared" si="3"/>
        <v/>
      </c>
      <c r="F115" s="11" t="str">
        <f>IF(ISBLANK(B115)=FALSE,IF(VLOOKUP(B115,Data_source!A:J,3,FALSE)="---","",VLOOKUP(B115,Data_source!A:J,3,FALSE)),"")</f>
        <v/>
      </c>
      <c r="G115" s="11" t="str">
        <f t="shared" si="4"/>
        <v/>
      </c>
      <c r="H115" s="12" t="str">
        <f>IF(ISBLANK(B115)=FALSE,IF(VLOOKUP(B115,Data_source!A:J,6,FALSE)="---","",VLOOKUP(B115,Data_source!A:J,6,FALSE)),"")</f>
        <v/>
      </c>
      <c r="I115" s="12" t="str">
        <f t="shared" si="5"/>
        <v/>
      </c>
      <c r="J115" s="46" t="str">
        <f>IF(ISBLANK(B115)=FALSE,IF(VLOOKUP(B115,Data_source!A:J,7,FALSE)=0,"",VLOOKUP(B115,Data_source!A:J,7,FALSE)),"")</f>
        <v/>
      </c>
      <c r="K115" s="46" t="str">
        <f>IF(ISBLANK(B115)=FALSE,IF(VLOOKUP(B115,Data_source!A:J,8,FALSE)=0,"",VLOOKUP(B115,Data_source!A:J,8,FALSE)),"")</f>
        <v/>
      </c>
      <c r="L115" s="46" t="str">
        <f>IF(ISBLANK(B115)=FALSE,IF(VLOOKUP(B115,Data_source!A:J,9,FALSE)=0,"",VLOOKUP(B115,Data_source!A:J,9,FALSE)),"")</f>
        <v/>
      </c>
      <c r="M115" s="23"/>
    </row>
    <row r="116" spans="1:13" x14ac:dyDescent="0.2">
      <c r="A116" s="13">
        <v>105</v>
      </c>
      <c r="B116" s="23"/>
      <c r="C116" s="10" t="str">
        <f>IF($E$5=1,IF(ISBLANK(B116)=FALSE,VLOOKUP(B116,Data_source!A:J,4,FALSE),""),IF(ISBLANK(B116)=FALSE,VLOOKUP(B116,Data_source!A:J,5,FALSE),""))</f>
        <v/>
      </c>
      <c r="D116" s="11" t="str">
        <f>IF(ISBLANK(B116)=FALSE,IF(VLOOKUP(B116,Data_source!A:J,2,FALSE)="---","",VLOOKUP(B116,Data_source!A:J,2,FALSE)),"")</f>
        <v/>
      </c>
      <c r="E116" s="11" t="str">
        <f t="shared" si="3"/>
        <v/>
      </c>
      <c r="F116" s="11" t="str">
        <f>IF(ISBLANK(B116)=FALSE,IF(VLOOKUP(B116,Data_source!A:J,3,FALSE)="---","",VLOOKUP(B116,Data_source!A:J,3,FALSE)),"")</f>
        <v/>
      </c>
      <c r="G116" s="11" t="str">
        <f t="shared" si="4"/>
        <v/>
      </c>
      <c r="H116" s="12" t="str">
        <f>IF(ISBLANK(B116)=FALSE,IF(VLOOKUP(B116,Data_source!A:J,6,FALSE)="---","",VLOOKUP(B116,Data_source!A:J,6,FALSE)),"")</f>
        <v/>
      </c>
      <c r="I116" s="12" t="str">
        <f t="shared" si="5"/>
        <v/>
      </c>
      <c r="J116" s="46" t="str">
        <f>IF(ISBLANK(B116)=FALSE,IF(VLOOKUP(B116,Data_source!A:J,7,FALSE)=0,"",VLOOKUP(B116,Data_source!A:J,7,FALSE)),"")</f>
        <v/>
      </c>
      <c r="K116" s="46" t="str">
        <f>IF(ISBLANK(B116)=FALSE,IF(VLOOKUP(B116,Data_source!A:J,8,FALSE)=0,"",VLOOKUP(B116,Data_source!A:J,8,FALSE)),"")</f>
        <v/>
      </c>
      <c r="L116" s="46" t="str">
        <f>IF(ISBLANK(B116)=FALSE,IF(VLOOKUP(B116,Data_source!A:J,9,FALSE)=0,"",VLOOKUP(B116,Data_source!A:J,9,FALSE)),"")</f>
        <v/>
      </c>
      <c r="M116" s="23"/>
    </row>
    <row r="117" spans="1:13" x14ac:dyDescent="0.2">
      <c r="A117" s="13">
        <v>106</v>
      </c>
      <c r="B117" s="23"/>
      <c r="C117" s="10" t="str">
        <f>IF($E$5=1,IF(ISBLANK(B117)=FALSE,VLOOKUP(B117,Data_source!A:J,4,FALSE),""),IF(ISBLANK(B117)=FALSE,VLOOKUP(B117,Data_source!A:J,5,FALSE),""))</f>
        <v/>
      </c>
      <c r="D117" s="11" t="str">
        <f>IF(ISBLANK(B117)=FALSE,IF(VLOOKUP(B117,Data_source!A:J,2,FALSE)="---","",VLOOKUP(B117,Data_source!A:J,2,FALSE)),"")</f>
        <v/>
      </c>
      <c r="E117" s="11" t="str">
        <f t="shared" si="3"/>
        <v/>
      </c>
      <c r="F117" s="11" t="str">
        <f>IF(ISBLANK(B117)=FALSE,IF(VLOOKUP(B117,Data_source!A:J,3,FALSE)="---","",VLOOKUP(B117,Data_source!A:J,3,FALSE)),"")</f>
        <v/>
      </c>
      <c r="G117" s="11" t="str">
        <f t="shared" si="4"/>
        <v/>
      </c>
      <c r="H117" s="12" t="str">
        <f>IF(ISBLANK(B117)=FALSE,IF(VLOOKUP(B117,Data_source!A:J,6,FALSE)="---","",VLOOKUP(B117,Data_source!A:J,6,FALSE)),"")</f>
        <v/>
      </c>
      <c r="I117" s="12" t="str">
        <f t="shared" si="5"/>
        <v/>
      </c>
      <c r="J117" s="46" t="str">
        <f>IF(ISBLANK(B117)=FALSE,IF(VLOOKUP(B117,Data_source!A:J,7,FALSE)=0,"",VLOOKUP(B117,Data_source!A:J,7,FALSE)),"")</f>
        <v/>
      </c>
      <c r="K117" s="46" t="str">
        <f>IF(ISBLANK(B117)=FALSE,IF(VLOOKUP(B117,Data_source!A:J,8,FALSE)=0,"",VLOOKUP(B117,Data_source!A:J,8,FALSE)),"")</f>
        <v/>
      </c>
      <c r="L117" s="46" t="str">
        <f>IF(ISBLANK(B117)=FALSE,IF(VLOOKUP(B117,Data_source!A:J,9,FALSE)=0,"",VLOOKUP(B117,Data_source!A:J,9,FALSE)),"")</f>
        <v/>
      </c>
      <c r="M117" s="23"/>
    </row>
    <row r="118" spans="1:13" x14ac:dyDescent="0.2">
      <c r="A118" s="13">
        <v>107</v>
      </c>
      <c r="B118" s="23"/>
      <c r="C118" s="10" t="str">
        <f>IF($E$5=1,IF(ISBLANK(B118)=FALSE,VLOOKUP(B118,Data_source!A:J,4,FALSE),""),IF(ISBLANK(B118)=FALSE,VLOOKUP(B118,Data_source!A:J,5,FALSE),""))</f>
        <v/>
      </c>
      <c r="D118" s="11" t="str">
        <f>IF(ISBLANK(B118)=FALSE,IF(VLOOKUP(B118,Data_source!A:J,2,FALSE)="---","",VLOOKUP(B118,Data_source!A:J,2,FALSE)),"")</f>
        <v/>
      </c>
      <c r="E118" s="11" t="str">
        <f t="shared" si="3"/>
        <v/>
      </c>
      <c r="F118" s="11" t="str">
        <f>IF(ISBLANK(B118)=FALSE,IF(VLOOKUP(B118,Data_source!A:J,3,FALSE)="---","",VLOOKUP(B118,Data_source!A:J,3,FALSE)),"")</f>
        <v/>
      </c>
      <c r="G118" s="11" t="str">
        <f t="shared" si="4"/>
        <v/>
      </c>
      <c r="H118" s="12" t="str">
        <f>IF(ISBLANK(B118)=FALSE,IF(VLOOKUP(B118,Data_source!A:J,6,FALSE)="---","",VLOOKUP(B118,Data_source!A:J,6,FALSE)),"")</f>
        <v/>
      </c>
      <c r="I118" s="12" t="str">
        <f t="shared" si="5"/>
        <v/>
      </c>
      <c r="J118" s="46" t="str">
        <f>IF(ISBLANK(B118)=FALSE,IF(VLOOKUP(B118,Data_source!A:J,7,FALSE)=0,"",VLOOKUP(B118,Data_source!A:J,7,FALSE)),"")</f>
        <v/>
      </c>
      <c r="K118" s="46" t="str">
        <f>IF(ISBLANK(B118)=FALSE,IF(VLOOKUP(B118,Data_source!A:J,8,FALSE)=0,"",VLOOKUP(B118,Data_source!A:J,8,FALSE)),"")</f>
        <v/>
      </c>
      <c r="L118" s="46" t="str">
        <f>IF(ISBLANK(B118)=FALSE,IF(VLOOKUP(B118,Data_source!A:J,9,FALSE)=0,"",VLOOKUP(B118,Data_source!A:J,9,FALSE)),"")</f>
        <v/>
      </c>
      <c r="M118" s="23"/>
    </row>
    <row r="119" spans="1:13" x14ac:dyDescent="0.2">
      <c r="A119" s="13">
        <v>108</v>
      </c>
      <c r="B119" s="23"/>
      <c r="C119" s="10" t="str">
        <f>IF($E$5=1,IF(ISBLANK(B119)=FALSE,VLOOKUP(B119,Data_source!A:J,4,FALSE),""),IF(ISBLANK(B119)=FALSE,VLOOKUP(B119,Data_source!A:J,5,FALSE),""))</f>
        <v/>
      </c>
      <c r="D119" s="11" t="str">
        <f>IF(ISBLANK(B119)=FALSE,IF(VLOOKUP(B119,Data_source!A:J,2,FALSE)="---","",VLOOKUP(B119,Data_source!A:J,2,FALSE)),"")</f>
        <v/>
      </c>
      <c r="E119" s="11" t="str">
        <f t="shared" si="3"/>
        <v/>
      </c>
      <c r="F119" s="11" t="str">
        <f>IF(ISBLANK(B119)=FALSE,IF(VLOOKUP(B119,Data_source!A:J,3,FALSE)="---","",VLOOKUP(B119,Data_source!A:J,3,FALSE)),"")</f>
        <v/>
      </c>
      <c r="G119" s="11" t="str">
        <f t="shared" si="4"/>
        <v/>
      </c>
      <c r="H119" s="12" t="str">
        <f>IF(ISBLANK(B119)=FALSE,IF(VLOOKUP(B119,Data_source!A:J,6,FALSE)="---","",VLOOKUP(B119,Data_source!A:J,6,FALSE)),"")</f>
        <v/>
      </c>
      <c r="I119" s="12" t="str">
        <f t="shared" si="5"/>
        <v/>
      </c>
      <c r="J119" s="46" t="str">
        <f>IF(ISBLANK(B119)=FALSE,IF(VLOOKUP(B119,Data_source!A:J,7,FALSE)=0,"",VLOOKUP(B119,Data_source!A:J,7,FALSE)),"")</f>
        <v/>
      </c>
      <c r="K119" s="46" t="str">
        <f>IF(ISBLANK(B119)=FALSE,IF(VLOOKUP(B119,Data_source!A:J,8,FALSE)=0,"",VLOOKUP(B119,Data_source!A:J,8,FALSE)),"")</f>
        <v/>
      </c>
      <c r="L119" s="46" t="str">
        <f>IF(ISBLANK(B119)=FALSE,IF(VLOOKUP(B119,Data_source!A:J,9,FALSE)=0,"",VLOOKUP(B119,Data_source!A:J,9,FALSE)),"")</f>
        <v/>
      </c>
      <c r="M119" s="23"/>
    </row>
    <row r="120" spans="1:13" x14ac:dyDescent="0.2">
      <c r="A120" s="13">
        <v>109</v>
      </c>
      <c r="B120" s="23"/>
      <c r="C120" s="10" t="str">
        <f>IF($E$5=1,IF(ISBLANK(B120)=FALSE,VLOOKUP(B120,Data_source!A:J,4,FALSE),""),IF(ISBLANK(B120)=FALSE,VLOOKUP(B120,Data_source!A:J,5,FALSE),""))</f>
        <v/>
      </c>
      <c r="D120" s="11" t="str">
        <f>IF(ISBLANK(B120)=FALSE,IF(VLOOKUP(B120,Data_source!A:J,2,FALSE)="---","",VLOOKUP(B120,Data_source!A:J,2,FALSE)),"")</f>
        <v/>
      </c>
      <c r="E120" s="11" t="str">
        <f t="shared" si="3"/>
        <v/>
      </c>
      <c r="F120" s="11" t="str">
        <f>IF(ISBLANK(B120)=FALSE,IF(VLOOKUP(B120,Data_source!A:J,3,FALSE)="---","",VLOOKUP(B120,Data_source!A:J,3,FALSE)),"")</f>
        <v/>
      </c>
      <c r="G120" s="11" t="str">
        <f t="shared" si="4"/>
        <v/>
      </c>
      <c r="H120" s="12" t="str">
        <f>IF(ISBLANK(B120)=FALSE,IF(VLOOKUP(B120,Data_source!A:J,6,FALSE)="---","",VLOOKUP(B120,Data_source!A:J,6,FALSE)),"")</f>
        <v/>
      </c>
      <c r="I120" s="12" t="str">
        <f t="shared" si="5"/>
        <v/>
      </c>
      <c r="J120" s="46" t="str">
        <f>IF(ISBLANK(B120)=FALSE,IF(VLOOKUP(B120,Data_source!A:J,7,FALSE)=0,"",VLOOKUP(B120,Data_source!A:J,7,FALSE)),"")</f>
        <v/>
      </c>
      <c r="K120" s="46" t="str">
        <f>IF(ISBLANK(B120)=FALSE,IF(VLOOKUP(B120,Data_source!A:J,8,FALSE)=0,"",VLOOKUP(B120,Data_source!A:J,8,FALSE)),"")</f>
        <v/>
      </c>
      <c r="L120" s="46" t="str">
        <f>IF(ISBLANK(B120)=FALSE,IF(VLOOKUP(B120,Data_source!A:J,9,FALSE)=0,"",VLOOKUP(B120,Data_source!A:J,9,FALSE)),"")</f>
        <v/>
      </c>
      <c r="M120" s="23"/>
    </row>
    <row r="121" spans="1:13" x14ac:dyDescent="0.2">
      <c r="A121" s="13">
        <v>110</v>
      </c>
      <c r="B121" s="23"/>
      <c r="C121" s="10" t="str">
        <f>IF($E$5=1,IF(ISBLANK(B121)=FALSE,VLOOKUP(B121,Data_source!A:J,4,FALSE),""),IF(ISBLANK(B121)=FALSE,VLOOKUP(B121,Data_source!A:J,5,FALSE),""))</f>
        <v/>
      </c>
      <c r="D121" s="11" t="str">
        <f>IF(ISBLANK(B121)=FALSE,IF(VLOOKUP(B121,Data_source!A:J,2,FALSE)="---","",VLOOKUP(B121,Data_source!A:J,2,FALSE)),"")</f>
        <v/>
      </c>
      <c r="E121" s="11" t="str">
        <f t="shared" si="3"/>
        <v/>
      </c>
      <c r="F121" s="11" t="str">
        <f>IF(ISBLANK(B121)=FALSE,IF(VLOOKUP(B121,Data_source!A:J,3,FALSE)="---","",VLOOKUP(B121,Data_source!A:J,3,FALSE)),"")</f>
        <v/>
      </c>
      <c r="G121" s="11" t="str">
        <f t="shared" si="4"/>
        <v/>
      </c>
      <c r="H121" s="12" t="str">
        <f>IF(ISBLANK(B121)=FALSE,IF(VLOOKUP(B121,Data_source!A:J,6,FALSE)="---","",VLOOKUP(B121,Data_source!A:J,6,FALSE)),"")</f>
        <v/>
      </c>
      <c r="I121" s="12" t="str">
        <f t="shared" si="5"/>
        <v/>
      </c>
      <c r="J121" s="46" t="str">
        <f>IF(ISBLANK(B121)=FALSE,IF(VLOOKUP(B121,Data_source!A:J,7,FALSE)=0,"",VLOOKUP(B121,Data_source!A:J,7,FALSE)),"")</f>
        <v/>
      </c>
      <c r="K121" s="46" t="str">
        <f>IF(ISBLANK(B121)=FALSE,IF(VLOOKUP(B121,Data_source!A:J,8,FALSE)=0,"",VLOOKUP(B121,Data_source!A:J,8,FALSE)),"")</f>
        <v/>
      </c>
      <c r="L121" s="46" t="str">
        <f>IF(ISBLANK(B121)=FALSE,IF(VLOOKUP(B121,Data_source!A:J,9,FALSE)=0,"",VLOOKUP(B121,Data_source!A:J,9,FALSE)),"")</f>
        <v/>
      </c>
      <c r="M121" s="23"/>
    </row>
    <row r="122" spans="1:13" x14ac:dyDescent="0.2">
      <c r="A122" s="13">
        <v>111</v>
      </c>
      <c r="B122" s="23"/>
      <c r="C122" s="10" t="str">
        <f>IF($E$5=1,IF(ISBLANK(B122)=FALSE,VLOOKUP(B122,Data_source!A:J,4,FALSE),""),IF(ISBLANK(B122)=FALSE,VLOOKUP(B122,Data_source!A:J,5,FALSE),""))</f>
        <v/>
      </c>
      <c r="D122" s="11" t="str">
        <f>IF(ISBLANK(B122)=FALSE,IF(VLOOKUP(B122,Data_source!A:J,2,FALSE)="---","",VLOOKUP(B122,Data_source!A:J,2,FALSE)),"")</f>
        <v/>
      </c>
      <c r="E122" s="11" t="str">
        <f t="shared" si="3"/>
        <v/>
      </c>
      <c r="F122" s="11" t="str">
        <f>IF(ISBLANK(B122)=FALSE,IF(VLOOKUP(B122,Data_source!A:J,3,FALSE)="---","",VLOOKUP(B122,Data_source!A:J,3,FALSE)),"")</f>
        <v/>
      </c>
      <c r="G122" s="11" t="str">
        <f t="shared" si="4"/>
        <v/>
      </c>
      <c r="H122" s="12" t="str">
        <f>IF(ISBLANK(B122)=FALSE,IF(VLOOKUP(B122,Data_source!A:J,6,FALSE)="---","",VLOOKUP(B122,Data_source!A:J,6,FALSE)),"")</f>
        <v/>
      </c>
      <c r="I122" s="12" t="str">
        <f t="shared" si="5"/>
        <v/>
      </c>
      <c r="J122" s="46" t="str">
        <f>IF(ISBLANK(B122)=FALSE,IF(VLOOKUP(B122,Data_source!A:J,7,FALSE)=0,"",VLOOKUP(B122,Data_source!A:J,7,FALSE)),"")</f>
        <v/>
      </c>
      <c r="K122" s="46" t="str">
        <f>IF(ISBLANK(B122)=FALSE,IF(VLOOKUP(B122,Data_source!A:J,8,FALSE)=0,"",VLOOKUP(B122,Data_source!A:J,8,FALSE)),"")</f>
        <v/>
      </c>
      <c r="L122" s="46" t="str">
        <f>IF(ISBLANK(B122)=FALSE,IF(VLOOKUP(B122,Data_source!A:J,9,FALSE)=0,"",VLOOKUP(B122,Data_source!A:J,9,FALSE)),"")</f>
        <v/>
      </c>
      <c r="M122" s="23"/>
    </row>
    <row r="123" spans="1:13" x14ac:dyDescent="0.2">
      <c r="A123" s="13">
        <v>112</v>
      </c>
      <c r="B123" s="24"/>
      <c r="C123" s="10" t="str">
        <f>IF($E$5=1,IF(ISBLANK(B123)=FALSE,VLOOKUP(B123,Data_source!A:J,4,FALSE),""),IF(ISBLANK(B123)=FALSE,VLOOKUP(B123,Data_source!A:J,5,FALSE),""))</f>
        <v/>
      </c>
      <c r="D123" s="11" t="str">
        <f>IF(ISBLANK(B123)=FALSE,IF(VLOOKUP(B123,Data_source!A:J,2,FALSE)="---","",VLOOKUP(B123,Data_source!A:J,2,FALSE)),"")</f>
        <v/>
      </c>
      <c r="E123" s="11" t="str">
        <f t="shared" si="3"/>
        <v/>
      </c>
      <c r="F123" s="11" t="str">
        <f>IF(ISBLANK(B123)=FALSE,IF(VLOOKUP(B123,Data_source!A:J,3,FALSE)="---","",VLOOKUP(B123,Data_source!A:J,3,FALSE)),"")</f>
        <v/>
      </c>
      <c r="G123" s="11" t="str">
        <f t="shared" si="4"/>
        <v/>
      </c>
      <c r="H123" s="12" t="str">
        <f>IF(ISBLANK(B123)=FALSE,IF(VLOOKUP(B123,Data_source!A:J,6,FALSE)="---","",VLOOKUP(B123,Data_source!A:J,6,FALSE)),"")</f>
        <v/>
      </c>
      <c r="I123" s="12" t="str">
        <f t="shared" si="5"/>
        <v/>
      </c>
      <c r="J123" s="46" t="str">
        <f>IF(ISBLANK(B123)=FALSE,IF(VLOOKUP(B123,Data_source!A:J,7,FALSE)=0,"",VLOOKUP(B123,Data_source!A:J,7,FALSE)),"")</f>
        <v/>
      </c>
      <c r="K123" s="46" t="str">
        <f>IF(ISBLANK(B123)=FALSE,IF(VLOOKUP(B123,Data_source!A:J,8,FALSE)=0,"",VLOOKUP(B123,Data_source!A:J,8,FALSE)),"")</f>
        <v/>
      </c>
      <c r="L123" s="46" t="str">
        <f>IF(ISBLANK(B123)=FALSE,IF(VLOOKUP(B123,Data_source!A:J,9,FALSE)=0,"",VLOOKUP(B123,Data_source!A:J,9,FALSE)),"")</f>
        <v/>
      </c>
      <c r="M123" s="23"/>
    </row>
    <row r="124" spans="1:13" x14ac:dyDescent="0.2">
      <c r="A124" s="13">
        <v>113</v>
      </c>
      <c r="B124" s="23"/>
      <c r="C124" s="10" t="str">
        <f>IF($E$5=1,IF(ISBLANK(B124)=FALSE,VLOOKUP(B124,Data_source!A:J,4,FALSE),""),IF(ISBLANK(B124)=FALSE,VLOOKUP(B124,Data_source!A:J,5,FALSE),""))</f>
        <v/>
      </c>
      <c r="D124" s="11" t="str">
        <f>IF(ISBLANK(B124)=FALSE,IF(VLOOKUP(B124,Data_source!A:J,2,FALSE)="---","",VLOOKUP(B124,Data_source!A:J,2,FALSE)),"")</f>
        <v/>
      </c>
      <c r="E124" s="11" t="str">
        <f t="shared" si="3"/>
        <v/>
      </c>
      <c r="F124" s="11" t="str">
        <f>IF(ISBLANK(B124)=FALSE,IF(VLOOKUP(B124,Data_source!A:J,3,FALSE)="---","",VLOOKUP(B124,Data_source!A:J,3,FALSE)),"")</f>
        <v/>
      </c>
      <c r="G124" s="11" t="str">
        <f t="shared" si="4"/>
        <v/>
      </c>
      <c r="H124" s="12" t="str">
        <f>IF(ISBLANK(B124)=FALSE,IF(VLOOKUP(B124,Data_source!A:J,6,FALSE)="---","",VLOOKUP(B124,Data_source!A:J,6,FALSE)),"")</f>
        <v/>
      </c>
      <c r="I124" s="12" t="str">
        <f t="shared" si="5"/>
        <v/>
      </c>
      <c r="J124" s="46" t="str">
        <f>IF(ISBLANK(B124)=FALSE,IF(VLOOKUP(B124,Data_source!A:J,7,FALSE)=0,"",VLOOKUP(B124,Data_source!A:J,7,FALSE)),"")</f>
        <v/>
      </c>
      <c r="K124" s="46" t="str">
        <f>IF(ISBLANK(B124)=FALSE,IF(VLOOKUP(B124,Data_source!A:J,8,FALSE)=0,"",VLOOKUP(B124,Data_source!A:J,8,FALSE)),"")</f>
        <v/>
      </c>
      <c r="L124" s="46" t="str">
        <f>IF(ISBLANK(B124)=FALSE,IF(VLOOKUP(B124,Data_source!A:J,9,FALSE)=0,"",VLOOKUP(B124,Data_source!A:J,9,FALSE)),"")</f>
        <v/>
      </c>
      <c r="M124" s="23"/>
    </row>
    <row r="125" spans="1:13" x14ac:dyDescent="0.2">
      <c r="A125" s="13">
        <v>114</v>
      </c>
      <c r="B125" s="23"/>
      <c r="C125" s="10" t="str">
        <f>IF($E$5=1,IF(ISBLANK(B125)=FALSE,VLOOKUP(B125,Data_source!A:J,4,FALSE),""),IF(ISBLANK(B125)=FALSE,VLOOKUP(B125,Data_source!A:J,5,FALSE),""))</f>
        <v/>
      </c>
      <c r="D125" s="11" t="str">
        <f>IF(ISBLANK(B125)=FALSE,IF(VLOOKUP(B125,Data_source!A:J,2,FALSE)="---","",VLOOKUP(B125,Data_source!A:J,2,FALSE)),"")</f>
        <v/>
      </c>
      <c r="E125" s="11" t="str">
        <f t="shared" si="3"/>
        <v/>
      </c>
      <c r="F125" s="11" t="str">
        <f>IF(ISBLANK(B125)=FALSE,IF(VLOOKUP(B125,Data_source!A:J,3,FALSE)="---","",VLOOKUP(B125,Data_source!A:J,3,FALSE)),"")</f>
        <v/>
      </c>
      <c r="G125" s="11" t="str">
        <f t="shared" si="4"/>
        <v/>
      </c>
      <c r="H125" s="12" t="str">
        <f>IF(ISBLANK(B125)=FALSE,IF(VLOOKUP(B125,Data_source!A:J,6,FALSE)="---","",VLOOKUP(B125,Data_source!A:J,6,FALSE)),"")</f>
        <v/>
      </c>
      <c r="I125" s="12" t="str">
        <f t="shared" si="5"/>
        <v/>
      </c>
      <c r="J125" s="46" t="str">
        <f>IF(ISBLANK(B125)=FALSE,IF(VLOOKUP(B125,Data_source!A:J,7,FALSE)=0,"",VLOOKUP(B125,Data_source!A:J,7,FALSE)),"")</f>
        <v/>
      </c>
      <c r="K125" s="46" t="str">
        <f>IF(ISBLANK(B125)=FALSE,IF(VLOOKUP(B125,Data_source!A:J,8,FALSE)=0,"",VLOOKUP(B125,Data_source!A:J,8,FALSE)),"")</f>
        <v/>
      </c>
      <c r="L125" s="46" t="str">
        <f>IF(ISBLANK(B125)=FALSE,IF(VLOOKUP(B125,Data_source!A:J,9,FALSE)=0,"",VLOOKUP(B125,Data_source!A:J,9,FALSE)),"")</f>
        <v/>
      </c>
      <c r="M125" s="23"/>
    </row>
    <row r="126" spans="1:13" x14ac:dyDescent="0.2">
      <c r="A126" s="13">
        <v>115</v>
      </c>
      <c r="B126" s="23"/>
      <c r="C126" s="10" t="str">
        <f>IF($E$5=1,IF(ISBLANK(B126)=FALSE,VLOOKUP(B126,Data_source!A:J,4,FALSE),""),IF(ISBLANK(B126)=FALSE,VLOOKUP(B126,Data_source!A:J,5,FALSE),""))</f>
        <v/>
      </c>
      <c r="D126" s="11" t="str">
        <f>IF(ISBLANK(B126)=FALSE,IF(VLOOKUP(B126,Data_source!A:J,2,FALSE)="---","",VLOOKUP(B126,Data_source!A:J,2,FALSE)),"")</f>
        <v/>
      </c>
      <c r="E126" s="11" t="str">
        <f t="shared" si="3"/>
        <v/>
      </c>
      <c r="F126" s="11" t="str">
        <f>IF(ISBLANK(B126)=FALSE,IF(VLOOKUP(B126,Data_source!A:J,3,FALSE)="---","",VLOOKUP(B126,Data_source!A:J,3,FALSE)),"")</f>
        <v/>
      </c>
      <c r="G126" s="11" t="str">
        <f t="shared" si="4"/>
        <v/>
      </c>
      <c r="H126" s="12" t="str">
        <f>IF(ISBLANK(B126)=FALSE,IF(VLOOKUP(B126,Data_source!A:J,6,FALSE)="---","",VLOOKUP(B126,Data_source!A:J,6,FALSE)),"")</f>
        <v/>
      </c>
      <c r="I126" s="12" t="str">
        <f t="shared" si="5"/>
        <v/>
      </c>
      <c r="J126" s="46" t="str">
        <f>IF(ISBLANK(B126)=FALSE,IF(VLOOKUP(B126,Data_source!A:J,7,FALSE)=0,"",VLOOKUP(B126,Data_source!A:J,7,FALSE)),"")</f>
        <v/>
      </c>
      <c r="K126" s="46" t="str">
        <f>IF(ISBLANK(B126)=FALSE,IF(VLOOKUP(B126,Data_source!A:J,8,FALSE)=0,"",VLOOKUP(B126,Data_source!A:J,8,FALSE)),"")</f>
        <v/>
      </c>
      <c r="L126" s="46" t="str">
        <f>IF(ISBLANK(B126)=FALSE,IF(VLOOKUP(B126,Data_source!A:J,9,FALSE)=0,"",VLOOKUP(B126,Data_source!A:J,9,FALSE)),"")</f>
        <v/>
      </c>
      <c r="M126" s="23"/>
    </row>
    <row r="127" spans="1:13" x14ac:dyDescent="0.2">
      <c r="A127" s="13">
        <v>116</v>
      </c>
      <c r="B127" s="23"/>
      <c r="C127" s="10" t="str">
        <f>IF($E$5=1,IF(ISBLANK(B127)=FALSE,VLOOKUP(B127,Data_source!A:J,4,FALSE),""),IF(ISBLANK(B127)=FALSE,VLOOKUP(B127,Data_source!A:J,5,FALSE),""))</f>
        <v/>
      </c>
      <c r="D127" s="11" t="str">
        <f>IF(ISBLANK(B127)=FALSE,IF(VLOOKUP(B127,Data_source!A:J,2,FALSE)="---","",VLOOKUP(B127,Data_source!A:J,2,FALSE)),"")</f>
        <v/>
      </c>
      <c r="E127" s="11" t="str">
        <f t="shared" si="3"/>
        <v/>
      </c>
      <c r="F127" s="11" t="str">
        <f>IF(ISBLANK(B127)=FALSE,IF(VLOOKUP(B127,Data_source!A:J,3,FALSE)="---","",VLOOKUP(B127,Data_source!A:J,3,FALSE)),"")</f>
        <v/>
      </c>
      <c r="G127" s="11" t="str">
        <f t="shared" si="4"/>
        <v/>
      </c>
      <c r="H127" s="12" t="str">
        <f>IF(ISBLANK(B127)=FALSE,IF(VLOOKUP(B127,Data_source!A:J,6,FALSE)="---","",VLOOKUP(B127,Data_source!A:J,6,FALSE)),"")</f>
        <v/>
      </c>
      <c r="I127" s="12" t="str">
        <f t="shared" si="5"/>
        <v/>
      </c>
      <c r="J127" s="46" t="str">
        <f>IF(ISBLANK(B127)=FALSE,IF(VLOOKUP(B127,Data_source!A:J,7,FALSE)=0,"",VLOOKUP(B127,Data_source!A:J,7,FALSE)),"")</f>
        <v/>
      </c>
      <c r="K127" s="46" t="str">
        <f>IF(ISBLANK(B127)=FALSE,IF(VLOOKUP(B127,Data_source!A:J,8,FALSE)=0,"",VLOOKUP(B127,Data_source!A:J,8,FALSE)),"")</f>
        <v/>
      </c>
      <c r="L127" s="46" t="str">
        <f>IF(ISBLANK(B127)=FALSE,IF(VLOOKUP(B127,Data_source!A:J,9,FALSE)=0,"",VLOOKUP(B127,Data_source!A:J,9,FALSE)),"")</f>
        <v/>
      </c>
      <c r="M127" s="23"/>
    </row>
    <row r="128" spans="1:13" x14ac:dyDescent="0.2">
      <c r="A128" s="13">
        <v>117</v>
      </c>
      <c r="B128" s="23"/>
      <c r="C128" s="10" t="str">
        <f>IF($E$5=1,IF(ISBLANK(B128)=FALSE,VLOOKUP(B128,Data_source!A:J,4,FALSE),""),IF(ISBLANK(B128)=FALSE,VLOOKUP(B128,Data_source!A:J,5,FALSE),""))</f>
        <v/>
      </c>
      <c r="D128" s="11" t="str">
        <f>IF(ISBLANK(B128)=FALSE,IF(VLOOKUP(B128,Data_source!A:J,2,FALSE)="---","",VLOOKUP(B128,Data_source!A:J,2,FALSE)),"")</f>
        <v/>
      </c>
      <c r="E128" s="11" t="str">
        <f t="shared" si="3"/>
        <v/>
      </c>
      <c r="F128" s="11" t="str">
        <f>IF(ISBLANK(B128)=FALSE,IF(VLOOKUP(B128,Data_source!A:J,3,FALSE)="---","",VLOOKUP(B128,Data_source!A:J,3,FALSE)),"")</f>
        <v/>
      </c>
      <c r="G128" s="11" t="str">
        <f t="shared" si="4"/>
        <v/>
      </c>
      <c r="H128" s="12" t="str">
        <f>IF(ISBLANK(B128)=FALSE,IF(VLOOKUP(B128,Data_source!A:J,6,FALSE)="---","",VLOOKUP(B128,Data_source!A:J,6,FALSE)),"")</f>
        <v/>
      </c>
      <c r="I128" s="12" t="str">
        <f t="shared" si="5"/>
        <v/>
      </c>
      <c r="J128" s="46" t="str">
        <f>IF(ISBLANK(B128)=FALSE,IF(VLOOKUP(B128,Data_source!A:J,7,FALSE)=0,"",VLOOKUP(B128,Data_source!A:J,7,FALSE)),"")</f>
        <v/>
      </c>
      <c r="K128" s="46" t="str">
        <f>IF(ISBLANK(B128)=FALSE,IF(VLOOKUP(B128,Data_source!A:J,8,FALSE)=0,"",VLOOKUP(B128,Data_source!A:J,8,FALSE)),"")</f>
        <v/>
      </c>
      <c r="L128" s="46" t="str">
        <f>IF(ISBLANK(B128)=FALSE,IF(VLOOKUP(B128,Data_source!A:J,9,FALSE)=0,"",VLOOKUP(B128,Data_source!A:J,9,FALSE)),"")</f>
        <v/>
      </c>
      <c r="M128" s="23"/>
    </row>
    <row r="129" spans="1:13" x14ac:dyDescent="0.2">
      <c r="A129" s="13">
        <v>118</v>
      </c>
      <c r="B129" s="23"/>
      <c r="C129" s="10" t="str">
        <f>IF($E$5=1,IF(ISBLANK(B129)=FALSE,VLOOKUP(B129,Data_source!A:J,4,FALSE),""),IF(ISBLANK(B129)=FALSE,VLOOKUP(B129,Data_source!A:J,5,FALSE),""))</f>
        <v/>
      </c>
      <c r="D129" s="11" t="str">
        <f>IF(ISBLANK(B129)=FALSE,IF(VLOOKUP(B129,Data_source!A:J,2,FALSE)="---","",VLOOKUP(B129,Data_source!A:J,2,FALSE)),"")</f>
        <v/>
      </c>
      <c r="E129" s="11" t="str">
        <f t="shared" si="3"/>
        <v/>
      </c>
      <c r="F129" s="11" t="str">
        <f>IF(ISBLANK(B129)=FALSE,IF(VLOOKUP(B129,Data_source!A:J,3,FALSE)="---","",VLOOKUP(B129,Data_source!A:J,3,FALSE)),"")</f>
        <v/>
      </c>
      <c r="G129" s="11" t="str">
        <f t="shared" si="4"/>
        <v/>
      </c>
      <c r="H129" s="12" t="str">
        <f>IF(ISBLANK(B129)=FALSE,IF(VLOOKUP(B129,Data_source!A:J,6,FALSE)="---","",VLOOKUP(B129,Data_source!A:J,6,FALSE)),"")</f>
        <v/>
      </c>
      <c r="I129" s="12" t="str">
        <f t="shared" si="5"/>
        <v/>
      </c>
      <c r="J129" s="46" t="str">
        <f>IF(ISBLANK(B129)=FALSE,IF(VLOOKUP(B129,Data_source!A:J,7,FALSE)=0,"",VLOOKUP(B129,Data_source!A:J,7,FALSE)),"")</f>
        <v/>
      </c>
      <c r="K129" s="46" t="str">
        <f>IF(ISBLANK(B129)=FALSE,IF(VLOOKUP(B129,Data_source!A:J,8,FALSE)=0,"",VLOOKUP(B129,Data_source!A:J,8,FALSE)),"")</f>
        <v/>
      </c>
      <c r="L129" s="46" t="str">
        <f>IF(ISBLANK(B129)=FALSE,IF(VLOOKUP(B129,Data_source!A:J,9,FALSE)=0,"",VLOOKUP(B129,Data_source!A:J,9,FALSE)),"")</f>
        <v/>
      </c>
      <c r="M129" s="23"/>
    </row>
    <row r="130" spans="1:13" x14ac:dyDescent="0.2">
      <c r="A130" s="13">
        <v>119</v>
      </c>
      <c r="B130" s="23"/>
      <c r="C130" s="10" t="str">
        <f>IF($E$5=1,IF(ISBLANK(B130)=FALSE,VLOOKUP(B130,Data_source!A:J,4,FALSE),""),IF(ISBLANK(B130)=FALSE,VLOOKUP(B130,Data_source!A:J,5,FALSE),""))</f>
        <v/>
      </c>
      <c r="D130" s="11" t="str">
        <f>IF(ISBLANK(B130)=FALSE,IF(VLOOKUP(B130,Data_source!A:J,2,FALSE)="---","",VLOOKUP(B130,Data_source!A:J,2,FALSE)),"")</f>
        <v/>
      </c>
      <c r="E130" s="11" t="str">
        <f t="shared" si="3"/>
        <v/>
      </c>
      <c r="F130" s="11" t="str">
        <f>IF(ISBLANK(B130)=FALSE,IF(VLOOKUP(B130,Data_source!A:J,3,FALSE)="---","",VLOOKUP(B130,Data_source!A:J,3,FALSE)),"")</f>
        <v/>
      </c>
      <c r="G130" s="11" t="str">
        <f t="shared" si="4"/>
        <v/>
      </c>
      <c r="H130" s="12" t="str">
        <f>IF(ISBLANK(B130)=FALSE,IF(VLOOKUP(B130,Data_source!A:J,6,FALSE)="---","",VLOOKUP(B130,Data_source!A:J,6,FALSE)),"")</f>
        <v/>
      </c>
      <c r="I130" s="12" t="str">
        <f t="shared" si="5"/>
        <v/>
      </c>
      <c r="J130" s="46" t="str">
        <f>IF(ISBLANK(B130)=FALSE,IF(VLOOKUP(B130,Data_source!A:J,7,FALSE)=0,"",VLOOKUP(B130,Data_source!A:J,7,FALSE)),"")</f>
        <v/>
      </c>
      <c r="K130" s="46" t="str">
        <f>IF(ISBLANK(B130)=FALSE,IF(VLOOKUP(B130,Data_source!A:J,8,FALSE)=0,"",VLOOKUP(B130,Data_source!A:J,8,FALSE)),"")</f>
        <v/>
      </c>
      <c r="L130" s="46" t="str">
        <f>IF(ISBLANK(B130)=FALSE,IF(VLOOKUP(B130,Data_source!A:J,9,FALSE)=0,"",VLOOKUP(B130,Data_source!A:J,9,FALSE)),"")</f>
        <v/>
      </c>
      <c r="M130" s="23"/>
    </row>
    <row r="131" spans="1:13" x14ac:dyDescent="0.2">
      <c r="A131" s="13">
        <v>120</v>
      </c>
      <c r="B131" s="23"/>
      <c r="C131" s="10" t="str">
        <f>IF($E$5=1,IF(ISBLANK(B131)=FALSE,VLOOKUP(B131,Data_source!A:J,4,FALSE),""),IF(ISBLANK(B131)=FALSE,VLOOKUP(B131,Data_source!A:J,5,FALSE),""))</f>
        <v/>
      </c>
      <c r="D131" s="11" t="str">
        <f>IF(ISBLANK(B131)=FALSE,IF(VLOOKUP(B131,Data_source!A:J,2,FALSE)="---","",VLOOKUP(B131,Data_source!A:J,2,FALSE)),"")</f>
        <v/>
      </c>
      <c r="E131" s="11" t="str">
        <f t="shared" si="3"/>
        <v/>
      </c>
      <c r="F131" s="11" t="str">
        <f>IF(ISBLANK(B131)=FALSE,IF(VLOOKUP(B131,Data_source!A:J,3,FALSE)="---","",VLOOKUP(B131,Data_source!A:J,3,FALSE)),"")</f>
        <v/>
      </c>
      <c r="G131" s="11" t="str">
        <f t="shared" si="4"/>
        <v/>
      </c>
      <c r="H131" s="12" t="str">
        <f>IF(ISBLANK(B131)=FALSE,IF(VLOOKUP(B131,Data_source!A:J,6,FALSE)="---","",VLOOKUP(B131,Data_source!A:J,6,FALSE)),"")</f>
        <v/>
      </c>
      <c r="I131" s="12" t="str">
        <f t="shared" si="5"/>
        <v/>
      </c>
      <c r="J131" s="46" t="str">
        <f>IF(ISBLANK(B131)=FALSE,IF(VLOOKUP(B131,Data_source!A:J,7,FALSE)=0,"",VLOOKUP(B131,Data_source!A:J,7,FALSE)),"")</f>
        <v/>
      </c>
      <c r="K131" s="46" t="str">
        <f>IF(ISBLANK(B131)=FALSE,IF(VLOOKUP(B131,Data_source!A:J,8,FALSE)=0,"",VLOOKUP(B131,Data_source!A:J,8,FALSE)),"")</f>
        <v/>
      </c>
      <c r="L131" s="46" t="str">
        <f>IF(ISBLANK(B131)=FALSE,IF(VLOOKUP(B131,Data_source!A:J,9,FALSE)=0,"",VLOOKUP(B131,Data_source!A:J,9,FALSE)),"")</f>
        <v/>
      </c>
      <c r="M131" s="23"/>
    </row>
    <row r="132" spans="1:13" x14ac:dyDescent="0.2">
      <c r="A132" s="13">
        <v>121</v>
      </c>
      <c r="B132" s="23"/>
      <c r="C132" s="10" t="str">
        <f>IF($E$5=1,IF(ISBLANK(B132)=FALSE,VLOOKUP(B132,Data_source!A:J,4,FALSE),""),IF(ISBLANK(B132)=FALSE,VLOOKUP(B132,Data_source!A:J,5,FALSE),""))</f>
        <v/>
      </c>
      <c r="D132" s="11" t="str">
        <f>IF(ISBLANK(B132)=FALSE,IF(VLOOKUP(B132,Data_source!A:J,2,FALSE)="---","",VLOOKUP(B132,Data_source!A:J,2,FALSE)),"")</f>
        <v/>
      </c>
      <c r="E132" s="11" t="str">
        <f t="shared" si="3"/>
        <v/>
      </c>
      <c r="F132" s="11" t="str">
        <f>IF(ISBLANK(B132)=FALSE,IF(VLOOKUP(B132,Data_source!A:J,3,FALSE)="---","",VLOOKUP(B132,Data_source!A:J,3,FALSE)),"")</f>
        <v/>
      </c>
      <c r="G132" s="11" t="str">
        <f t="shared" si="4"/>
        <v/>
      </c>
      <c r="H132" s="12" t="str">
        <f>IF(ISBLANK(B132)=FALSE,IF(VLOOKUP(B132,Data_source!A:J,6,FALSE)="---","",VLOOKUP(B132,Data_source!A:J,6,FALSE)),"")</f>
        <v/>
      </c>
      <c r="I132" s="12" t="str">
        <f t="shared" si="5"/>
        <v/>
      </c>
      <c r="J132" s="46" t="str">
        <f>IF(ISBLANK(B132)=FALSE,IF(VLOOKUP(B132,Data_source!A:J,7,FALSE)=0,"",VLOOKUP(B132,Data_source!A:J,7,FALSE)),"")</f>
        <v/>
      </c>
      <c r="K132" s="46" t="str">
        <f>IF(ISBLANK(B132)=FALSE,IF(VLOOKUP(B132,Data_source!A:J,8,FALSE)=0,"",VLOOKUP(B132,Data_source!A:J,8,FALSE)),"")</f>
        <v/>
      </c>
      <c r="L132" s="46" t="str">
        <f>IF(ISBLANK(B132)=FALSE,IF(VLOOKUP(B132,Data_source!A:J,9,FALSE)=0,"",VLOOKUP(B132,Data_source!A:J,9,FALSE)),"")</f>
        <v/>
      </c>
      <c r="M132" s="23"/>
    </row>
    <row r="133" spans="1:13" x14ac:dyDescent="0.2">
      <c r="A133" s="13">
        <v>122</v>
      </c>
      <c r="B133" s="23"/>
      <c r="C133" s="10" t="str">
        <f>IF($E$5=1,IF(ISBLANK(B133)=FALSE,VLOOKUP(B133,Data_source!A:J,4,FALSE),""),IF(ISBLANK(B133)=FALSE,VLOOKUP(B133,Data_source!A:J,5,FALSE),""))</f>
        <v/>
      </c>
      <c r="D133" s="11" t="str">
        <f>IF(ISBLANK(B133)=FALSE,IF(VLOOKUP(B133,Data_source!A:J,2,FALSE)="---","",VLOOKUP(B133,Data_source!A:J,2,FALSE)),"")</f>
        <v/>
      </c>
      <c r="E133" s="11" t="str">
        <f t="shared" si="3"/>
        <v/>
      </c>
      <c r="F133" s="11" t="str">
        <f>IF(ISBLANK(B133)=FALSE,IF(VLOOKUP(B133,Data_source!A:J,3,FALSE)="---","",VLOOKUP(B133,Data_source!A:J,3,FALSE)),"")</f>
        <v/>
      </c>
      <c r="G133" s="11" t="str">
        <f t="shared" si="4"/>
        <v/>
      </c>
      <c r="H133" s="12" t="str">
        <f>IF(ISBLANK(B133)=FALSE,IF(VLOOKUP(B133,Data_source!A:J,6,FALSE)="---","",VLOOKUP(B133,Data_source!A:J,6,FALSE)),"")</f>
        <v/>
      </c>
      <c r="I133" s="12" t="str">
        <f t="shared" si="5"/>
        <v/>
      </c>
      <c r="J133" s="46" t="str">
        <f>IF(ISBLANK(B133)=FALSE,IF(VLOOKUP(B133,Data_source!A:J,7,FALSE)=0,"",VLOOKUP(B133,Data_source!A:J,7,FALSE)),"")</f>
        <v/>
      </c>
      <c r="K133" s="46" t="str">
        <f>IF(ISBLANK(B133)=FALSE,IF(VLOOKUP(B133,Data_source!A:J,8,FALSE)=0,"",VLOOKUP(B133,Data_source!A:J,8,FALSE)),"")</f>
        <v/>
      </c>
      <c r="L133" s="46" t="str">
        <f>IF(ISBLANK(B133)=FALSE,IF(VLOOKUP(B133,Data_source!A:J,9,FALSE)=0,"",VLOOKUP(B133,Data_source!A:J,9,FALSE)),"")</f>
        <v/>
      </c>
      <c r="M133" s="23"/>
    </row>
    <row r="134" spans="1:13" x14ac:dyDescent="0.2">
      <c r="A134" s="13">
        <v>123</v>
      </c>
      <c r="B134" s="24"/>
      <c r="C134" s="10" t="str">
        <f>IF($E$5=1,IF(ISBLANK(B134)=FALSE,VLOOKUP(B134,Data_source!A:J,4,FALSE),""),IF(ISBLANK(B134)=FALSE,VLOOKUP(B134,Data_source!A:J,5,FALSE),""))</f>
        <v/>
      </c>
      <c r="D134" s="11" t="str">
        <f>IF(ISBLANK(B134)=FALSE,IF(VLOOKUP(B134,Data_source!A:J,2,FALSE)="---","",VLOOKUP(B134,Data_source!A:J,2,FALSE)),"")</f>
        <v/>
      </c>
      <c r="E134" s="11" t="str">
        <f t="shared" si="3"/>
        <v/>
      </c>
      <c r="F134" s="11" t="str">
        <f>IF(ISBLANK(B134)=FALSE,IF(VLOOKUP(B134,Data_source!A:J,3,FALSE)="---","",VLOOKUP(B134,Data_source!A:J,3,FALSE)),"")</f>
        <v/>
      </c>
      <c r="G134" s="11" t="str">
        <f t="shared" si="4"/>
        <v/>
      </c>
      <c r="H134" s="12" t="str">
        <f>IF(ISBLANK(B134)=FALSE,IF(VLOOKUP(B134,Data_source!A:J,6,FALSE)="---","",VLOOKUP(B134,Data_source!A:J,6,FALSE)),"")</f>
        <v/>
      </c>
      <c r="I134" s="12" t="str">
        <f t="shared" si="5"/>
        <v/>
      </c>
      <c r="J134" s="46" t="str">
        <f>IF(ISBLANK(B134)=FALSE,IF(VLOOKUP(B134,Data_source!A:J,7,FALSE)=0,"",VLOOKUP(B134,Data_source!A:J,7,FALSE)),"")</f>
        <v/>
      </c>
      <c r="K134" s="46" t="str">
        <f>IF(ISBLANK(B134)=FALSE,IF(VLOOKUP(B134,Data_source!A:J,8,FALSE)=0,"",VLOOKUP(B134,Data_source!A:J,8,FALSE)),"")</f>
        <v/>
      </c>
      <c r="L134" s="46" t="str">
        <f>IF(ISBLANK(B134)=FALSE,IF(VLOOKUP(B134,Data_source!A:J,9,FALSE)=0,"",VLOOKUP(B134,Data_source!A:J,9,FALSE)),"")</f>
        <v/>
      </c>
      <c r="M134" s="23"/>
    </row>
    <row r="135" spans="1:13" x14ac:dyDescent="0.2">
      <c r="A135" s="13">
        <v>124</v>
      </c>
      <c r="B135" s="24"/>
      <c r="C135" s="10" t="str">
        <f>IF($E$5=1,IF(ISBLANK(B135)=FALSE,VLOOKUP(B135,Data_source!A:J,4,FALSE),""),IF(ISBLANK(B135)=FALSE,VLOOKUP(B135,Data_source!A:J,5,FALSE),""))</f>
        <v/>
      </c>
      <c r="D135" s="11" t="str">
        <f>IF(ISBLANK(B135)=FALSE,IF(VLOOKUP(B135,Data_source!A:J,2,FALSE)="---","",VLOOKUP(B135,Data_source!A:J,2,FALSE)),"")</f>
        <v/>
      </c>
      <c r="E135" s="11" t="str">
        <f t="shared" si="3"/>
        <v/>
      </c>
      <c r="F135" s="11" t="str">
        <f>IF(ISBLANK(B135)=FALSE,IF(VLOOKUP(B135,Data_source!A:J,3,FALSE)="---","",VLOOKUP(B135,Data_source!A:J,3,FALSE)),"")</f>
        <v/>
      </c>
      <c r="G135" s="11" t="str">
        <f t="shared" si="4"/>
        <v/>
      </c>
      <c r="H135" s="12" t="str">
        <f>IF(ISBLANK(B135)=FALSE,IF(VLOOKUP(B135,Data_source!A:J,6,FALSE)="---","",VLOOKUP(B135,Data_source!A:J,6,FALSE)),"")</f>
        <v/>
      </c>
      <c r="I135" s="12" t="str">
        <f t="shared" si="5"/>
        <v/>
      </c>
      <c r="J135" s="46" t="str">
        <f>IF(ISBLANK(B135)=FALSE,IF(VLOOKUP(B135,Data_source!A:J,7,FALSE)=0,"",VLOOKUP(B135,Data_source!A:J,7,FALSE)),"")</f>
        <v/>
      </c>
      <c r="K135" s="46" t="str">
        <f>IF(ISBLANK(B135)=FALSE,IF(VLOOKUP(B135,Data_source!A:J,8,FALSE)=0,"",VLOOKUP(B135,Data_source!A:J,8,FALSE)),"")</f>
        <v/>
      </c>
      <c r="L135" s="46" t="str">
        <f>IF(ISBLANK(B135)=FALSE,IF(VLOOKUP(B135,Data_source!A:J,9,FALSE)=0,"",VLOOKUP(B135,Data_source!A:J,9,FALSE)),"")</f>
        <v/>
      </c>
      <c r="M135" s="23"/>
    </row>
    <row r="136" spans="1:13" x14ac:dyDescent="0.2">
      <c r="A136" s="13">
        <v>125</v>
      </c>
      <c r="B136" s="23"/>
      <c r="C136" s="10" t="str">
        <f>IF($E$5=1,IF(ISBLANK(B136)=FALSE,VLOOKUP(B136,Data_source!A:J,4,FALSE),""),IF(ISBLANK(B136)=FALSE,VLOOKUP(B136,Data_source!A:J,5,FALSE),""))</f>
        <v/>
      </c>
      <c r="D136" s="11" t="str">
        <f>IF(ISBLANK(B136)=FALSE,IF(VLOOKUP(B136,Data_source!A:J,2,FALSE)="---","",VLOOKUP(B136,Data_source!A:J,2,FALSE)),"")</f>
        <v/>
      </c>
      <c r="E136" s="11" t="str">
        <f t="shared" si="3"/>
        <v/>
      </c>
      <c r="F136" s="11" t="str">
        <f>IF(ISBLANK(B136)=FALSE,IF(VLOOKUP(B136,Data_source!A:J,3,FALSE)="---","",VLOOKUP(B136,Data_source!A:J,3,FALSE)),"")</f>
        <v/>
      </c>
      <c r="G136" s="11" t="str">
        <f t="shared" si="4"/>
        <v/>
      </c>
      <c r="H136" s="12" t="str">
        <f>IF(ISBLANK(B136)=FALSE,IF(VLOOKUP(B136,Data_source!A:J,6,FALSE)="---","",VLOOKUP(B136,Data_source!A:J,6,FALSE)),"")</f>
        <v/>
      </c>
      <c r="I136" s="12" t="str">
        <f t="shared" si="5"/>
        <v/>
      </c>
      <c r="J136" s="46" t="str">
        <f>IF(ISBLANK(B136)=FALSE,IF(VLOOKUP(B136,Data_source!A:J,7,FALSE)=0,"",VLOOKUP(B136,Data_source!A:J,7,FALSE)),"")</f>
        <v/>
      </c>
      <c r="K136" s="46" t="str">
        <f>IF(ISBLANK(B136)=FALSE,IF(VLOOKUP(B136,Data_source!A:J,8,FALSE)=0,"",VLOOKUP(B136,Data_source!A:J,8,FALSE)),"")</f>
        <v/>
      </c>
      <c r="L136" s="46" t="str">
        <f>IF(ISBLANK(B136)=FALSE,IF(VLOOKUP(B136,Data_source!A:J,9,FALSE)=0,"",VLOOKUP(B136,Data_source!A:J,9,FALSE)),"")</f>
        <v/>
      </c>
      <c r="M136" s="23"/>
    </row>
    <row r="137" spans="1:13" x14ac:dyDescent="0.2">
      <c r="A137" s="13">
        <v>126</v>
      </c>
      <c r="B137" s="24"/>
      <c r="C137" s="10" t="str">
        <f>IF($E$5=1,IF(ISBLANK(B137)=FALSE,VLOOKUP(B137,Data_source!A:J,4,FALSE),""),IF(ISBLANK(B137)=FALSE,VLOOKUP(B137,Data_source!A:J,5,FALSE),""))</f>
        <v/>
      </c>
      <c r="D137" s="11" t="str">
        <f>IF(ISBLANK(B137)=FALSE,IF(VLOOKUP(B137,Data_source!A:J,2,FALSE)="---","",VLOOKUP(B137,Data_source!A:J,2,FALSE)),"")</f>
        <v/>
      </c>
      <c r="E137" s="11" t="str">
        <f t="shared" si="3"/>
        <v/>
      </c>
      <c r="F137" s="11" t="str">
        <f>IF(ISBLANK(B137)=FALSE,IF(VLOOKUP(B137,Data_source!A:J,3,FALSE)="---","",VLOOKUP(B137,Data_source!A:J,3,FALSE)),"")</f>
        <v/>
      </c>
      <c r="G137" s="11" t="str">
        <f t="shared" si="4"/>
        <v/>
      </c>
      <c r="H137" s="12" t="str">
        <f>IF(ISBLANK(B137)=FALSE,IF(VLOOKUP(B137,Data_source!A:J,6,FALSE)="---","",VLOOKUP(B137,Data_source!A:J,6,FALSE)),"")</f>
        <v/>
      </c>
      <c r="I137" s="12" t="str">
        <f t="shared" si="5"/>
        <v/>
      </c>
      <c r="J137" s="46" t="str">
        <f>IF(ISBLANK(B137)=FALSE,IF(VLOOKUP(B137,Data_source!A:J,7,FALSE)=0,"",VLOOKUP(B137,Data_source!A:J,7,FALSE)),"")</f>
        <v/>
      </c>
      <c r="K137" s="46" t="str">
        <f>IF(ISBLANK(B137)=FALSE,IF(VLOOKUP(B137,Data_source!A:J,8,FALSE)=0,"",VLOOKUP(B137,Data_source!A:J,8,FALSE)),"")</f>
        <v/>
      </c>
      <c r="L137" s="46" t="str">
        <f>IF(ISBLANK(B137)=FALSE,IF(VLOOKUP(B137,Data_source!A:J,9,FALSE)=0,"",VLOOKUP(B137,Data_source!A:J,9,FALSE)),"")</f>
        <v/>
      </c>
      <c r="M137" s="23"/>
    </row>
    <row r="138" spans="1:13" x14ac:dyDescent="0.2">
      <c r="A138" s="13">
        <v>127</v>
      </c>
      <c r="B138" s="24"/>
      <c r="C138" s="10" t="str">
        <f>IF($E$5=1,IF(ISBLANK(B138)=FALSE,VLOOKUP(B138,Data_source!A:J,4,FALSE),""),IF(ISBLANK(B138)=FALSE,VLOOKUP(B138,Data_source!A:J,5,FALSE),""))</f>
        <v/>
      </c>
      <c r="D138" s="11" t="str">
        <f>IF(ISBLANK(B138)=FALSE,IF(VLOOKUP(B138,Data_source!A:J,2,FALSE)="---","",VLOOKUP(B138,Data_source!A:J,2,FALSE)),"")</f>
        <v/>
      </c>
      <c r="E138" s="11" t="str">
        <f t="shared" si="3"/>
        <v/>
      </c>
      <c r="F138" s="11" t="str">
        <f>IF(ISBLANK(B138)=FALSE,IF(VLOOKUP(B138,Data_source!A:J,3,FALSE)="---","",VLOOKUP(B138,Data_source!A:J,3,FALSE)),"")</f>
        <v/>
      </c>
      <c r="G138" s="11" t="str">
        <f t="shared" si="4"/>
        <v/>
      </c>
      <c r="H138" s="12" t="str">
        <f>IF(ISBLANK(B138)=FALSE,IF(VLOOKUP(B138,Data_source!A:J,6,FALSE)="---","",VLOOKUP(B138,Data_source!A:J,6,FALSE)),"")</f>
        <v/>
      </c>
      <c r="I138" s="12" t="str">
        <f t="shared" si="5"/>
        <v/>
      </c>
      <c r="J138" s="46" t="str">
        <f>IF(ISBLANK(B138)=FALSE,IF(VLOOKUP(B138,Data_source!A:J,7,FALSE)=0,"",VLOOKUP(B138,Data_source!A:J,7,FALSE)),"")</f>
        <v/>
      </c>
      <c r="K138" s="46" t="str">
        <f>IF(ISBLANK(B138)=FALSE,IF(VLOOKUP(B138,Data_source!A:J,8,FALSE)=0,"",VLOOKUP(B138,Data_source!A:J,8,FALSE)),"")</f>
        <v/>
      </c>
      <c r="L138" s="46" t="str">
        <f>IF(ISBLANK(B138)=FALSE,IF(VLOOKUP(B138,Data_source!A:J,9,FALSE)=0,"",VLOOKUP(B138,Data_source!A:J,9,FALSE)),"")</f>
        <v/>
      </c>
      <c r="M138" s="23"/>
    </row>
    <row r="139" spans="1:13" x14ac:dyDescent="0.2">
      <c r="A139" s="13">
        <v>128</v>
      </c>
      <c r="B139" s="23"/>
      <c r="C139" s="10" t="str">
        <f>IF($E$5=1,IF(ISBLANK(B139)=FALSE,VLOOKUP(B139,Data_source!A:J,4,FALSE),""),IF(ISBLANK(B139)=FALSE,VLOOKUP(B139,Data_source!A:J,5,FALSE),""))</f>
        <v/>
      </c>
      <c r="D139" s="11" t="str">
        <f>IF(ISBLANK(B139)=FALSE,IF(VLOOKUP(B139,Data_source!A:J,2,FALSE)="---","",VLOOKUP(B139,Data_source!A:J,2,FALSE)),"")</f>
        <v/>
      </c>
      <c r="E139" s="11" t="str">
        <f t="shared" si="3"/>
        <v/>
      </c>
      <c r="F139" s="11" t="str">
        <f>IF(ISBLANK(B139)=FALSE,IF(VLOOKUP(B139,Data_source!A:J,3,FALSE)="---","",VLOOKUP(B139,Data_source!A:J,3,FALSE)),"")</f>
        <v/>
      </c>
      <c r="G139" s="11" t="str">
        <f t="shared" si="4"/>
        <v/>
      </c>
      <c r="H139" s="12" t="str">
        <f>IF(ISBLANK(B139)=FALSE,IF(VLOOKUP(B139,Data_source!A:J,6,FALSE)="---","",VLOOKUP(B139,Data_source!A:J,6,FALSE)),"")</f>
        <v/>
      </c>
      <c r="I139" s="12" t="str">
        <f t="shared" si="5"/>
        <v/>
      </c>
      <c r="J139" s="46" t="str">
        <f>IF(ISBLANK(B139)=FALSE,IF(VLOOKUP(B139,Data_source!A:J,7,FALSE)=0,"",VLOOKUP(B139,Data_source!A:J,7,FALSE)),"")</f>
        <v/>
      </c>
      <c r="K139" s="46" t="str">
        <f>IF(ISBLANK(B139)=FALSE,IF(VLOOKUP(B139,Data_source!A:J,8,FALSE)=0,"",VLOOKUP(B139,Data_source!A:J,8,FALSE)),"")</f>
        <v/>
      </c>
      <c r="L139" s="46" t="str">
        <f>IF(ISBLANK(B139)=FALSE,IF(VLOOKUP(B139,Data_source!A:J,9,FALSE)=0,"",VLOOKUP(B139,Data_source!A:J,9,FALSE)),"")</f>
        <v/>
      </c>
      <c r="M139" s="23"/>
    </row>
    <row r="140" spans="1:13" x14ac:dyDescent="0.2">
      <c r="A140" s="13">
        <v>129</v>
      </c>
      <c r="B140" s="23"/>
      <c r="C140" s="10" t="str">
        <f>IF($E$5=1,IF(ISBLANK(B140)=FALSE,VLOOKUP(B140,Data_source!A:J,4,FALSE),""),IF(ISBLANK(B140)=FALSE,VLOOKUP(B140,Data_source!A:J,5,FALSE),""))</f>
        <v/>
      </c>
      <c r="D140" s="11" t="str">
        <f>IF(ISBLANK(B140)=FALSE,IF(VLOOKUP(B140,Data_source!A:J,2,FALSE)="---","",VLOOKUP(B140,Data_source!A:J,2,FALSE)),"")</f>
        <v/>
      </c>
      <c r="E140" s="11" t="str">
        <f t="shared" si="3"/>
        <v/>
      </c>
      <c r="F140" s="11" t="str">
        <f>IF(ISBLANK(B140)=FALSE,IF(VLOOKUP(B140,Data_source!A:J,3,FALSE)="---","",VLOOKUP(B140,Data_source!A:J,3,FALSE)),"")</f>
        <v/>
      </c>
      <c r="G140" s="11" t="str">
        <f t="shared" si="4"/>
        <v/>
      </c>
      <c r="H140" s="12" t="str">
        <f>IF(ISBLANK(B140)=FALSE,IF(VLOOKUP(B140,Data_source!A:J,6,FALSE)="---","",VLOOKUP(B140,Data_source!A:J,6,FALSE)),"")</f>
        <v/>
      </c>
      <c r="I140" s="12" t="str">
        <f t="shared" si="5"/>
        <v/>
      </c>
      <c r="J140" s="46" t="str">
        <f>IF(ISBLANK(B140)=FALSE,IF(VLOOKUP(B140,Data_source!A:J,7,FALSE)=0,"",VLOOKUP(B140,Data_source!A:J,7,FALSE)),"")</f>
        <v/>
      </c>
      <c r="K140" s="46" t="str">
        <f>IF(ISBLANK(B140)=FALSE,IF(VLOOKUP(B140,Data_source!A:J,8,FALSE)=0,"",VLOOKUP(B140,Data_source!A:J,8,FALSE)),"")</f>
        <v/>
      </c>
      <c r="L140" s="46" t="str">
        <f>IF(ISBLANK(B140)=FALSE,IF(VLOOKUP(B140,Data_source!A:J,9,FALSE)=0,"",VLOOKUP(B140,Data_source!A:J,9,FALSE)),"")</f>
        <v/>
      </c>
      <c r="M140" s="23"/>
    </row>
    <row r="141" spans="1:13" x14ac:dyDescent="0.2">
      <c r="A141" s="13">
        <v>130</v>
      </c>
      <c r="B141" s="24"/>
      <c r="C141" s="10" t="str">
        <f>IF($E$5=1,IF(ISBLANK(B141)=FALSE,VLOOKUP(B141,Data_source!A:J,4,FALSE),""),IF(ISBLANK(B141)=FALSE,VLOOKUP(B141,Data_source!A:J,5,FALSE),""))</f>
        <v/>
      </c>
      <c r="D141" s="11" t="str">
        <f>IF(ISBLANK(B141)=FALSE,IF(VLOOKUP(B141,Data_source!A:J,2,FALSE)="---","",VLOOKUP(B141,Data_source!A:J,2,FALSE)),"")</f>
        <v/>
      </c>
      <c r="E141" s="11" t="str">
        <f t="shared" si="3"/>
        <v/>
      </c>
      <c r="F141" s="11" t="str">
        <f>IF(ISBLANK(B141)=FALSE,IF(VLOOKUP(B141,Data_source!A:J,3,FALSE)="---","",VLOOKUP(B141,Data_source!A:J,3,FALSE)),"")</f>
        <v/>
      </c>
      <c r="G141" s="11" t="str">
        <f t="shared" si="4"/>
        <v/>
      </c>
      <c r="H141" s="12" t="str">
        <f>IF(ISBLANK(B141)=FALSE,IF(VLOOKUP(B141,Data_source!A:J,6,FALSE)="---","",VLOOKUP(B141,Data_source!A:J,6,FALSE)),"")</f>
        <v/>
      </c>
      <c r="I141" s="12" t="str">
        <f t="shared" si="5"/>
        <v/>
      </c>
      <c r="J141" s="46" t="str">
        <f>IF(ISBLANK(B141)=FALSE,IF(VLOOKUP(B141,Data_source!A:J,7,FALSE)=0,"",VLOOKUP(B141,Data_source!A:J,7,FALSE)),"")</f>
        <v/>
      </c>
      <c r="K141" s="46" t="str">
        <f>IF(ISBLANK(B141)=FALSE,IF(VLOOKUP(B141,Data_source!A:J,8,FALSE)=0,"",VLOOKUP(B141,Data_source!A:J,8,FALSE)),"")</f>
        <v/>
      </c>
      <c r="L141" s="46" t="str">
        <f>IF(ISBLANK(B141)=FALSE,IF(VLOOKUP(B141,Data_source!A:J,9,FALSE)=0,"",VLOOKUP(B141,Data_source!A:J,9,FALSE)),"")</f>
        <v/>
      </c>
      <c r="M141" s="23"/>
    </row>
    <row r="142" spans="1:13" x14ac:dyDescent="0.2">
      <c r="A142" s="13">
        <v>131</v>
      </c>
      <c r="B142" s="24"/>
      <c r="C142" s="10" t="str">
        <f>IF($E$5=1,IF(ISBLANK(B142)=FALSE,VLOOKUP(B142,Data_source!A:J,4,FALSE),""),IF(ISBLANK(B142)=FALSE,VLOOKUP(B142,Data_source!A:J,5,FALSE),""))</f>
        <v/>
      </c>
      <c r="D142" s="11" t="str">
        <f>IF(ISBLANK(B142)=FALSE,IF(VLOOKUP(B142,Data_source!A:J,2,FALSE)="---","",VLOOKUP(B142,Data_source!A:J,2,FALSE)),"")</f>
        <v/>
      </c>
      <c r="E142" s="11" t="str">
        <f t="shared" ref="E142:E205" si="6">IF(F142&lt;&gt;"",D142,IF(D142&gt;0,D142,IF(E141="",D142,E141+D142)))</f>
        <v/>
      </c>
      <c r="F142" s="11" t="str">
        <f>IF(ISBLANK(B142)=FALSE,IF(VLOOKUP(B142,Data_source!A:J,3,FALSE)="---","",VLOOKUP(B142,Data_source!A:J,3,FALSE)),"")</f>
        <v/>
      </c>
      <c r="G142" s="11" t="str">
        <f t="shared" ref="G142:G205" si="7">IF(F142&gt;0, F142, IF(F142="", "", IF(G141="", F142, G141+F142)))</f>
        <v/>
      </c>
      <c r="H142" s="12" t="str">
        <f>IF(ISBLANK(B142)=FALSE,IF(VLOOKUP(B142,Data_source!A:J,6,FALSE)="---","",VLOOKUP(B142,Data_source!A:J,6,FALSE)),"")</f>
        <v/>
      </c>
      <c r="I142" s="12" t="str">
        <f t="shared" ref="I142:I205" si="8">IF(H142="","",IF(H141="",H142,H142+I141))</f>
        <v/>
      </c>
      <c r="J142" s="46" t="str">
        <f>IF(ISBLANK(B142)=FALSE,IF(VLOOKUP(B142,Data_source!A:J,7,FALSE)=0,"",VLOOKUP(B142,Data_source!A:J,7,FALSE)),"")</f>
        <v/>
      </c>
      <c r="K142" s="46" t="str">
        <f>IF(ISBLANK(B142)=FALSE,IF(VLOOKUP(B142,Data_source!A:J,8,FALSE)=0,"",VLOOKUP(B142,Data_source!A:J,8,FALSE)),"")</f>
        <v/>
      </c>
      <c r="L142" s="46" t="str">
        <f>IF(ISBLANK(B142)=FALSE,IF(VLOOKUP(B142,Data_source!A:J,9,FALSE)=0,"",VLOOKUP(B142,Data_source!A:J,9,FALSE)),"")</f>
        <v/>
      </c>
      <c r="M142" s="23"/>
    </row>
    <row r="143" spans="1:13" x14ac:dyDescent="0.2">
      <c r="A143" s="13">
        <v>132</v>
      </c>
      <c r="B143" s="24"/>
      <c r="C143" s="10" t="str">
        <f>IF($E$5=1,IF(ISBLANK(B143)=FALSE,VLOOKUP(B143,Data_source!A:J,4,FALSE),""),IF(ISBLANK(B143)=FALSE,VLOOKUP(B143,Data_source!A:J,5,FALSE),""))</f>
        <v/>
      </c>
      <c r="D143" s="11" t="str">
        <f>IF(ISBLANK(B143)=FALSE,IF(VLOOKUP(B143,Data_source!A:J,2,FALSE)="---","",VLOOKUP(B143,Data_source!A:J,2,FALSE)),"")</f>
        <v/>
      </c>
      <c r="E143" s="11" t="str">
        <f t="shared" si="6"/>
        <v/>
      </c>
      <c r="F143" s="11" t="str">
        <f>IF(ISBLANK(B143)=FALSE,IF(VLOOKUP(B143,Data_source!A:J,3,FALSE)="---","",VLOOKUP(B143,Data_source!A:J,3,FALSE)),"")</f>
        <v/>
      </c>
      <c r="G143" s="11" t="str">
        <f t="shared" si="7"/>
        <v/>
      </c>
      <c r="H143" s="12" t="str">
        <f>IF(ISBLANK(B143)=FALSE,IF(VLOOKUP(B143,Data_source!A:J,6,FALSE)="---","",VLOOKUP(B143,Data_source!A:J,6,FALSE)),"")</f>
        <v/>
      </c>
      <c r="I143" s="12" t="str">
        <f t="shared" si="8"/>
        <v/>
      </c>
      <c r="J143" s="46" t="str">
        <f>IF(ISBLANK(B143)=FALSE,IF(VLOOKUP(B143,Data_source!A:J,7,FALSE)=0,"",VLOOKUP(B143,Data_source!A:J,7,FALSE)),"")</f>
        <v/>
      </c>
      <c r="K143" s="46" t="str">
        <f>IF(ISBLANK(B143)=FALSE,IF(VLOOKUP(B143,Data_source!A:J,8,FALSE)=0,"",VLOOKUP(B143,Data_source!A:J,8,FALSE)),"")</f>
        <v/>
      </c>
      <c r="L143" s="46" t="str">
        <f>IF(ISBLANK(B143)=FALSE,IF(VLOOKUP(B143,Data_source!A:J,9,FALSE)=0,"",VLOOKUP(B143,Data_source!A:J,9,FALSE)),"")</f>
        <v/>
      </c>
      <c r="M143" s="23"/>
    </row>
    <row r="144" spans="1:13" x14ac:dyDescent="0.2">
      <c r="A144" s="13">
        <v>133</v>
      </c>
      <c r="B144" s="23"/>
      <c r="C144" s="10" t="str">
        <f>IF($E$5=1,IF(ISBLANK(B144)=FALSE,VLOOKUP(B144,Data_source!A:J,4,FALSE),""),IF(ISBLANK(B144)=FALSE,VLOOKUP(B144,Data_source!A:J,5,FALSE),""))</f>
        <v/>
      </c>
      <c r="D144" s="11" t="str">
        <f>IF(ISBLANK(B144)=FALSE,IF(VLOOKUP(B144,Data_source!A:J,2,FALSE)="---","",VLOOKUP(B144,Data_source!A:J,2,FALSE)),"")</f>
        <v/>
      </c>
      <c r="E144" s="11" t="str">
        <f t="shared" si="6"/>
        <v/>
      </c>
      <c r="F144" s="11" t="str">
        <f>IF(ISBLANK(B144)=FALSE,IF(VLOOKUP(B144,Data_source!A:J,3,FALSE)="---","",VLOOKUP(B144,Data_source!A:J,3,FALSE)),"")</f>
        <v/>
      </c>
      <c r="G144" s="11" t="str">
        <f t="shared" si="7"/>
        <v/>
      </c>
      <c r="H144" s="12" t="str">
        <f>IF(ISBLANK(B144)=FALSE,IF(VLOOKUP(B144,Data_source!A:J,6,FALSE)="---","",VLOOKUP(B144,Data_source!A:J,6,FALSE)),"")</f>
        <v/>
      </c>
      <c r="I144" s="12" t="str">
        <f t="shared" si="8"/>
        <v/>
      </c>
      <c r="J144" s="46" t="str">
        <f>IF(ISBLANK(B144)=FALSE,IF(VLOOKUP(B144,Data_source!A:J,7,FALSE)=0,"",VLOOKUP(B144,Data_source!A:J,7,FALSE)),"")</f>
        <v/>
      </c>
      <c r="K144" s="46" t="str">
        <f>IF(ISBLANK(B144)=FALSE,IF(VLOOKUP(B144,Data_source!A:J,8,FALSE)=0,"",VLOOKUP(B144,Data_source!A:J,8,FALSE)),"")</f>
        <v/>
      </c>
      <c r="L144" s="46" t="str">
        <f>IF(ISBLANK(B144)=FALSE,IF(VLOOKUP(B144,Data_source!A:J,9,FALSE)=0,"",VLOOKUP(B144,Data_source!A:J,9,FALSE)),"")</f>
        <v/>
      </c>
      <c r="M144" s="23"/>
    </row>
    <row r="145" spans="1:13" x14ac:dyDescent="0.2">
      <c r="A145" s="13">
        <v>134</v>
      </c>
      <c r="B145" s="23"/>
      <c r="C145" s="10" t="str">
        <f>IF($E$5=1,IF(ISBLANK(B145)=FALSE,VLOOKUP(B145,Data_source!A:J,4,FALSE),""),IF(ISBLANK(B145)=FALSE,VLOOKUP(B145,Data_source!A:J,5,FALSE),""))</f>
        <v/>
      </c>
      <c r="D145" s="11" t="str">
        <f>IF(ISBLANK(B145)=FALSE,IF(VLOOKUP(B145,Data_source!A:J,2,FALSE)="---","",VLOOKUP(B145,Data_source!A:J,2,FALSE)),"")</f>
        <v/>
      </c>
      <c r="E145" s="11" t="str">
        <f t="shared" si="6"/>
        <v/>
      </c>
      <c r="F145" s="11" t="str">
        <f>IF(ISBLANK(B145)=FALSE,IF(VLOOKUP(B145,Data_source!A:J,3,FALSE)="---","",VLOOKUP(B145,Data_source!A:J,3,FALSE)),"")</f>
        <v/>
      </c>
      <c r="G145" s="11" t="str">
        <f t="shared" si="7"/>
        <v/>
      </c>
      <c r="H145" s="12" t="str">
        <f>IF(ISBLANK(B145)=FALSE,IF(VLOOKUP(B145,Data_source!A:J,6,FALSE)="---","",VLOOKUP(B145,Data_source!A:J,6,FALSE)),"")</f>
        <v/>
      </c>
      <c r="I145" s="12" t="str">
        <f t="shared" si="8"/>
        <v/>
      </c>
      <c r="J145" s="46" t="str">
        <f>IF(ISBLANK(B145)=FALSE,IF(VLOOKUP(B145,Data_source!A:J,7,FALSE)=0,"",VLOOKUP(B145,Data_source!A:J,7,FALSE)),"")</f>
        <v/>
      </c>
      <c r="K145" s="46" t="str">
        <f>IF(ISBLANK(B145)=FALSE,IF(VLOOKUP(B145,Data_source!A:J,8,FALSE)=0,"",VLOOKUP(B145,Data_source!A:J,8,FALSE)),"")</f>
        <v/>
      </c>
      <c r="L145" s="46" t="str">
        <f>IF(ISBLANK(B145)=FALSE,IF(VLOOKUP(B145,Data_source!A:J,9,FALSE)=0,"",VLOOKUP(B145,Data_source!A:J,9,FALSE)),"")</f>
        <v/>
      </c>
      <c r="M145" s="23"/>
    </row>
    <row r="146" spans="1:13" x14ac:dyDescent="0.2">
      <c r="A146" s="13">
        <v>135</v>
      </c>
      <c r="B146" s="23"/>
      <c r="C146" s="10" t="str">
        <f>IF($E$5=1,IF(ISBLANK(B146)=FALSE,VLOOKUP(B146,Data_source!A:J,4,FALSE),""),IF(ISBLANK(B146)=FALSE,VLOOKUP(B146,Data_source!A:J,5,FALSE),""))</f>
        <v/>
      </c>
      <c r="D146" s="11" t="str">
        <f>IF(ISBLANK(B146)=FALSE,IF(VLOOKUP(B146,Data_source!A:J,2,FALSE)="---","",VLOOKUP(B146,Data_source!A:J,2,FALSE)),"")</f>
        <v/>
      </c>
      <c r="E146" s="11" t="str">
        <f t="shared" si="6"/>
        <v/>
      </c>
      <c r="F146" s="11" t="str">
        <f>IF(ISBLANK(B146)=FALSE,IF(VLOOKUP(B146,Data_source!A:J,3,FALSE)="---","",VLOOKUP(B146,Data_source!A:J,3,FALSE)),"")</f>
        <v/>
      </c>
      <c r="G146" s="11" t="str">
        <f t="shared" si="7"/>
        <v/>
      </c>
      <c r="H146" s="12" t="str">
        <f>IF(ISBLANK(B146)=FALSE,IF(VLOOKUP(B146,Data_source!A:J,6,FALSE)="---","",VLOOKUP(B146,Data_source!A:J,6,FALSE)),"")</f>
        <v/>
      </c>
      <c r="I146" s="12" t="str">
        <f t="shared" si="8"/>
        <v/>
      </c>
      <c r="J146" s="46" t="str">
        <f>IF(ISBLANK(B146)=FALSE,IF(VLOOKUP(B146,Data_source!A:J,7,FALSE)=0,"",VLOOKUP(B146,Data_source!A:J,7,FALSE)),"")</f>
        <v/>
      </c>
      <c r="K146" s="46" t="str">
        <f>IF(ISBLANK(B146)=FALSE,IF(VLOOKUP(B146,Data_source!A:J,8,FALSE)=0,"",VLOOKUP(B146,Data_source!A:J,8,FALSE)),"")</f>
        <v/>
      </c>
      <c r="L146" s="46" t="str">
        <f>IF(ISBLANK(B146)=FALSE,IF(VLOOKUP(B146,Data_source!A:J,9,FALSE)=0,"",VLOOKUP(B146,Data_source!A:J,9,FALSE)),"")</f>
        <v/>
      </c>
      <c r="M146" s="23"/>
    </row>
    <row r="147" spans="1:13" x14ac:dyDescent="0.2">
      <c r="A147" s="13">
        <v>136</v>
      </c>
      <c r="B147" s="23"/>
      <c r="C147" s="10" t="str">
        <f>IF($E$5=1,IF(ISBLANK(B147)=FALSE,VLOOKUP(B147,Data_source!A:J,4,FALSE),""),IF(ISBLANK(B147)=FALSE,VLOOKUP(B147,Data_source!A:J,5,FALSE),""))</f>
        <v/>
      </c>
      <c r="D147" s="11" t="str">
        <f>IF(ISBLANK(B147)=FALSE,IF(VLOOKUP(B147,Data_source!A:J,2,FALSE)="---","",VLOOKUP(B147,Data_source!A:J,2,FALSE)),"")</f>
        <v/>
      </c>
      <c r="E147" s="11" t="str">
        <f t="shared" si="6"/>
        <v/>
      </c>
      <c r="F147" s="11" t="str">
        <f>IF(ISBLANK(B147)=FALSE,IF(VLOOKUP(B147,Data_source!A:J,3,FALSE)="---","",VLOOKUP(B147,Data_source!A:J,3,FALSE)),"")</f>
        <v/>
      </c>
      <c r="G147" s="11" t="str">
        <f t="shared" si="7"/>
        <v/>
      </c>
      <c r="H147" s="12" t="str">
        <f>IF(ISBLANK(B147)=FALSE,IF(VLOOKUP(B147,Data_source!A:J,6,FALSE)="---","",VLOOKUP(B147,Data_source!A:J,6,FALSE)),"")</f>
        <v/>
      </c>
      <c r="I147" s="12" t="str">
        <f t="shared" si="8"/>
        <v/>
      </c>
      <c r="J147" s="46" t="str">
        <f>IF(ISBLANK(B147)=FALSE,IF(VLOOKUP(B147,Data_source!A:J,7,FALSE)=0,"",VLOOKUP(B147,Data_source!A:J,7,FALSE)),"")</f>
        <v/>
      </c>
      <c r="K147" s="46" t="str">
        <f>IF(ISBLANK(B147)=FALSE,IF(VLOOKUP(B147,Data_source!A:J,8,FALSE)=0,"",VLOOKUP(B147,Data_source!A:J,8,FALSE)),"")</f>
        <v/>
      </c>
      <c r="L147" s="46" t="str">
        <f>IF(ISBLANK(B147)=FALSE,IF(VLOOKUP(B147,Data_source!A:J,9,FALSE)=0,"",VLOOKUP(B147,Data_source!A:J,9,FALSE)),"")</f>
        <v/>
      </c>
      <c r="M147" s="23"/>
    </row>
    <row r="148" spans="1:13" x14ac:dyDescent="0.2">
      <c r="A148" s="13">
        <v>137</v>
      </c>
      <c r="B148" s="24"/>
      <c r="C148" s="10" t="str">
        <f>IF($E$5=1,IF(ISBLANK(B148)=FALSE,VLOOKUP(B148,Data_source!A:J,4,FALSE),""),IF(ISBLANK(B148)=FALSE,VLOOKUP(B148,Data_source!A:J,5,FALSE),""))</f>
        <v/>
      </c>
      <c r="D148" s="11" t="str">
        <f>IF(ISBLANK(B148)=FALSE,IF(VLOOKUP(B148,Data_source!A:J,2,FALSE)="---","",VLOOKUP(B148,Data_source!A:J,2,FALSE)),"")</f>
        <v/>
      </c>
      <c r="E148" s="11" t="str">
        <f t="shared" si="6"/>
        <v/>
      </c>
      <c r="F148" s="11" t="str">
        <f>IF(ISBLANK(B148)=FALSE,IF(VLOOKUP(B148,Data_source!A:J,3,FALSE)="---","",VLOOKUP(B148,Data_source!A:J,3,FALSE)),"")</f>
        <v/>
      </c>
      <c r="G148" s="11" t="str">
        <f t="shared" si="7"/>
        <v/>
      </c>
      <c r="H148" s="12" t="str">
        <f>IF(ISBLANK(B148)=FALSE,IF(VLOOKUP(B148,Data_source!A:J,6,FALSE)="---","",VLOOKUP(B148,Data_source!A:J,6,FALSE)),"")</f>
        <v/>
      </c>
      <c r="I148" s="12" t="str">
        <f t="shared" si="8"/>
        <v/>
      </c>
      <c r="J148" s="46" t="str">
        <f>IF(ISBLANK(B148)=FALSE,IF(VLOOKUP(B148,Data_source!A:J,7,FALSE)=0,"",VLOOKUP(B148,Data_source!A:J,7,FALSE)),"")</f>
        <v/>
      </c>
      <c r="K148" s="46" t="str">
        <f>IF(ISBLANK(B148)=FALSE,IF(VLOOKUP(B148,Data_source!A:J,8,FALSE)=0,"",VLOOKUP(B148,Data_source!A:J,8,FALSE)),"")</f>
        <v/>
      </c>
      <c r="L148" s="46" t="str">
        <f>IF(ISBLANK(B148)=FALSE,IF(VLOOKUP(B148,Data_source!A:J,9,FALSE)=0,"",VLOOKUP(B148,Data_source!A:J,9,FALSE)),"")</f>
        <v/>
      </c>
      <c r="M148" s="23"/>
    </row>
    <row r="149" spans="1:13" x14ac:dyDescent="0.2">
      <c r="A149" s="13">
        <v>138</v>
      </c>
      <c r="B149" s="23"/>
      <c r="C149" s="10" t="str">
        <f>IF($E$5=1,IF(ISBLANK(B149)=FALSE,VLOOKUP(B149,Data_source!A:J,4,FALSE),""),IF(ISBLANK(B149)=FALSE,VLOOKUP(B149,Data_source!A:J,5,FALSE),""))</f>
        <v/>
      </c>
      <c r="D149" s="11" t="str">
        <f>IF(ISBLANK(B149)=FALSE,IF(VLOOKUP(B149,Data_source!A:J,2,FALSE)="---","",VLOOKUP(B149,Data_source!A:J,2,FALSE)),"")</f>
        <v/>
      </c>
      <c r="E149" s="11" t="str">
        <f t="shared" si="6"/>
        <v/>
      </c>
      <c r="F149" s="11" t="str">
        <f>IF(ISBLANK(B149)=FALSE,IF(VLOOKUP(B149,Data_source!A:J,3,FALSE)="---","",VLOOKUP(B149,Data_source!A:J,3,FALSE)),"")</f>
        <v/>
      </c>
      <c r="G149" s="11" t="str">
        <f t="shared" si="7"/>
        <v/>
      </c>
      <c r="H149" s="12" t="str">
        <f>IF(ISBLANK(B149)=FALSE,IF(VLOOKUP(B149,Data_source!A:J,6,FALSE)="---","",VLOOKUP(B149,Data_source!A:J,6,FALSE)),"")</f>
        <v/>
      </c>
      <c r="I149" s="12" t="str">
        <f t="shared" si="8"/>
        <v/>
      </c>
      <c r="J149" s="46" t="str">
        <f>IF(ISBLANK(B149)=FALSE,IF(VLOOKUP(B149,Data_source!A:J,7,FALSE)=0,"",VLOOKUP(B149,Data_source!A:J,7,FALSE)),"")</f>
        <v/>
      </c>
      <c r="K149" s="46" t="str">
        <f>IF(ISBLANK(B149)=FALSE,IF(VLOOKUP(B149,Data_source!A:J,8,FALSE)=0,"",VLOOKUP(B149,Data_source!A:J,8,FALSE)),"")</f>
        <v/>
      </c>
      <c r="L149" s="46" t="str">
        <f>IF(ISBLANK(B149)=FALSE,IF(VLOOKUP(B149,Data_source!A:J,9,FALSE)=0,"",VLOOKUP(B149,Data_source!A:J,9,FALSE)),"")</f>
        <v/>
      </c>
      <c r="M149" s="23"/>
    </row>
    <row r="150" spans="1:13" x14ac:dyDescent="0.2">
      <c r="A150" s="13">
        <v>139</v>
      </c>
      <c r="B150" s="23"/>
      <c r="C150" s="10" t="str">
        <f>IF($E$5=1,IF(ISBLANK(B150)=FALSE,VLOOKUP(B150,Data_source!A:J,4,FALSE),""),IF(ISBLANK(B150)=FALSE,VLOOKUP(B150,Data_source!A:J,5,FALSE),""))</f>
        <v/>
      </c>
      <c r="D150" s="11" t="str">
        <f>IF(ISBLANK(B150)=FALSE,IF(VLOOKUP(B150,Data_source!A:J,2,FALSE)="---","",VLOOKUP(B150,Data_source!A:J,2,FALSE)),"")</f>
        <v/>
      </c>
      <c r="E150" s="11" t="str">
        <f t="shared" si="6"/>
        <v/>
      </c>
      <c r="F150" s="11" t="str">
        <f>IF(ISBLANK(B150)=FALSE,IF(VLOOKUP(B150,Data_source!A:J,3,FALSE)="---","",VLOOKUP(B150,Data_source!A:J,3,FALSE)),"")</f>
        <v/>
      </c>
      <c r="G150" s="11" t="str">
        <f t="shared" si="7"/>
        <v/>
      </c>
      <c r="H150" s="12" t="str">
        <f>IF(ISBLANK(B150)=FALSE,IF(VLOOKUP(B150,Data_source!A:J,6,FALSE)="---","",VLOOKUP(B150,Data_source!A:J,6,FALSE)),"")</f>
        <v/>
      </c>
      <c r="I150" s="12" t="str">
        <f t="shared" si="8"/>
        <v/>
      </c>
      <c r="J150" s="46" t="str">
        <f>IF(ISBLANK(B150)=FALSE,IF(VLOOKUP(B150,Data_source!A:J,7,FALSE)=0,"",VLOOKUP(B150,Data_source!A:J,7,FALSE)),"")</f>
        <v/>
      </c>
      <c r="K150" s="46" t="str">
        <f>IF(ISBLANK(B150)=FALSE,IF(VLOOKUP(B150,Data_source!A:J,8,FALSE)=0,"",VLOOKUP(B150,Data_source!A:J,8,FALSE)),"")</f>
        <v/>
      </c>
      <c r="L150" s="46" t="str">
        <f>IF(ISBLANK(B150)=FALSE,IF(VLOOKUP(B150,Data_source!A:J,9,FALSE)=0,"",VLOOKUP(B150,Data_source!A:J,9,FALSE)),"")</f>
        <v/>
      </c>
      <c r="M150" s="23"/>
    </row>
    <row r="151" spans="1:13" x14ac:dyDescent="0.2">
      <c r="A151" s="13">
        <v>140</v>
      </c>
      <c r="B151" s="23"/>
      <c r="C151" s="10" t="str">
        <f>IF($E$5=1,IF(ISBLANK(B151)=FALSE,VLOOKUP(B151,Data_source!A:J,4,FALSE),""),IF(ISBLANK(B151)=FALSE,VLOOKUP(B151,Data_source!A:J,5,FALSE),""))</f>
        <v/>
      </c>
      <c r="D151" s="11" t="str">
        <f>IF(ISBLANK(B151)=FALSE,IF(VLOOKUP(B151,Data_source!A:J,2,FALSE)="---","",VLOOKUP(B151,Data_source!A:J,2,FALSE)),"")</f>
        <v/>
      </c>
      <c r="E151" s="11" t="str">
        <f t="shared" si="6"/>
        <v/>
      </c>
      <c r="F151" s="11" t="str">
        <f>IF(ISBLANK(B151)=FALSE,IF(VLOOKUP(B151,Data_source!A:J,3,FALSE)="---","",VLOOKUP(B151,Data_source!A:J,3,FALSE)),"")</f>
        <v/>
      </c>
      <c r="G151" s="11" t="str">
        <f t="shared" si="7"/>
        <v/>
      </c>
      <c r="H151" s="12" t="str">
        <f>IF(ISBLANK(B151)=FALSE,IF(VLOOKUP(B151,Data_source!A:J,6,FALSE)="---","",VLOOKUP(B151,Data_source!A:J,6,FALSE)),"")</f>
        <v/>
      </c>
      <c r="I151" s="12" t="str">
        <f t="shared" si="8"/>
        <v/>
      </c>
      <c r="J151" s="46" t="str">
        <f>IF(ISBLANK(B151)=FALSE,IF(VLOOKUP(B151,Data_source!A:J,7,FALSE)=0,"",VLOOKUP(B151,Data_source!A:J,7,FALSE)),"")</f>
        <v/>
      </c>
      <c r="K151" s="46" t="str">
        <f>IF(ISBLANK(B151)=FALSE,IF(VLOOKUP(B151,Data_source!A:J,8,FALSE)=0,"",VLOOKUP(B151,Data_source!A:J,8,FALSE)),"")</f>
        <v/>
      </c>
      <c r="L151" s="46" t="str">
        <f>IF(ISBLANK(B151)=FALSE,IF(VLOOKUP(B151,Data_source!A:J,9,FALSE)=0,"",VLOOKUP(B151,Data_source!A:J,9,FALSE)),"")</f>
        <v/>
      </c>
      <c r="M151" s="23"/>
    </row>
    <row r="152" spans="1:13" x14ac:dyDescent="0.2">
      <c r="A152" s="13">
        <v>141</v>
      </c>
      <c r="B152" s="23"/>
      <c r="C152" s="10" t="str">
        <f>IF($E$5=1,IF(ISBLANK(B152)=FALSE,VLOOKUP(B152,Data_source!A:J,4,FALSE),""),IF(ISBLANK(B152)=FALSE,VLOOKUP(B152,Data_source!A:J,5,FALSE),""))</f>
        <v/>
      </c>
      <c r="D152" s="11" t="str">
        <f>IF(ISBLANK(B152)=FALSE,IF(VLOOKUP(B152,Data_source!A:J,2,FALSE)="---","",VLOOKUP(B152,Data_source!A:J,2,FALSE)),"")</f>
        <v/>
      </c>
      <c r="E152" s="11" t="str">
        <f t="shared" si="6"/>
        <v/>
      </c>
      <c r="F152" s="11" t="str">
        <f>IF(ISBLANK(B152)=FALSE,IF(VLOOKUP(B152,Data_source!A:J,3,FALSE)="---","",VLOOKUP(B152,Data_source!A:J,3,FALSE)),"")</f>
        <v/>
      </c>
      <c r="G152" s="11" t="str">
        <f t="shared" si="7"/>
        <v/>
      </c>
      <c r="H152" s="12" t="str">
        <f>IF(ISBLANK(B152)=FALSE,IF(VLOOKUP(B152,Data_source!A:J,6,FALSE)="---","",VLOOKUP(B152,Data_source!A:J,6,FALSE)),"")</f>
        <v/>
      </c>
      <c r="I152" s="12" t="str">
        <f t="shared" si="8"/>
        <v/>
      </c>
      <c r="J152" s="46" t="str">
        <f>IF(ISBLANK(B152)=FALSE,IF(VLOOKUP(B152,Data_source!A:J,7,FALSE)=0,"",VLOOKUP(B152,Data_source!A:J,7,FALSE)),"")</f>
        <v/>
      </c>
      <c r="K152" s="46" t="str">
        <f>IF(ISBLANK(B152)=FALSE,IF(VLOOKUP(B152,Data_source!A:J,8,FALSE)=0,"",VLOOKUP(B152,Data_source!A:J,8,FALSE)),"")</f>
        <v/>
      </c>
      <c r="L152" s="46" t="str">
        <f>IF(ISBLANK(B152)=FALSE,IF(VLOOKUP(B152,Data_source!A:J,9,FALSE)=0,"",VLOOKUP(B152,Data_source!A:J,9,FALSE)),"")</f>
        <v/>
      </c>
      <c r="M152" s="23"/>
    </row>
    <row r="153" spans="1:13" x14ac:dyDescent="0.2">
      <c r="A153" s="13">
        <v>142</v>
      </c>
      <c r="B153" s="23"/>
      <c r="C153" s="10" t="str">
        <f>IF($E$5=1,IF(ISBLANK(B153)=FALSE,VLOOKUP(B153,Data_source!A:J,4,FALSE),""),IF(ISBLANK(B153)=FALSE,VLOOKUP(B153,Data_source!A:J,5,FALSE),""))</f>
        <v/>
      </c>
      <c r="D153" s="11" t="str">
        <f>IF(ISBLANK(B153)=FALSE,IF(VLOOKUP(B153,Data_source!A:J,2,FALSE)="---","",VLOOKUP(B153,Data_source!A:J,2,FALSE)),"")</f>
        <v/>
      </c>
      <c r="E153" s="11" t="str">
        <f t="shared" si="6"/>
        <v/>
      </c>
      <c r="F153" s="11" t="str">
        <f>IF(ISBLANK(B153)=FALSE,IF(VLOOKUP(B153,Data_source!A:J,3,FALSE)="---","",VLOOKUP(B153,Data_source!A:J,3,FALSE)),"")</f>
        <v/>
      </c>
      <c r="G153" s="11" t="str">
        <f t="shared" si="7"/>
        <v/>
      </c>
      <c r="H153" s="12" t="str">
        <f>IF(ISBLANK(B153)=FALSE,IF(VLOOKUP(B153,Data_source!A:J,6,FALSE)="---","",VLOOKUP(B153,Data_source!A:J,6,FALSE)),"")</f>
        <v/>
      </c>
      <c r="I153" s="12" t="str">
        <f t="shared" si="8"/>
        <v/>
      </c>
      <c r="J153" s="46" t="str">
        <f>IF(ISBLANK(B153)=FALSE,IF(VLOOKUP(B153,Data_source!A:J,7,FALSE)=0,"",VLOOKUP(B153,Data_source!A:J,7,FALSE)),"")</f>
        <v/>
      </c>
      <c r="K153" s="46" t="str">
        <f>IF(ISBLANK(B153)=FALSE,IF(VLOOKUP(B153,Data_source!A:J,8,FALSE)=0,"",VLOOKUP(B153,Data_source!A:J,8,FALSE)),"")</f>
        <v/>
      </c>
      <c r="L153" s="46" t="str">
        <f>IF(ISBLANK(B153)=FALSE,IF(VLOOKUP(B153,Data_source!A:J,9,FALSE)=0,"",VLOOKUP(B153,Data_source!A:J,9,FALSE)),"")</f>
        <v/>
      </c>
      <c r="M153" s="23"/>
    </row>
    <row r="154" spans="1:13" x14ac:dyDescent="0.2">
      <c r="A154" s="13">
        <v>143</v>
      </c>
      <c r="B154" s="23"/>
      <c r="C154" s="10" t="str">
        <f>IF($E$5=1,IF(ISBLANK(B154)=FALSE,VLOOKUP(B154,Data_source!A:J,4,FALSE),""),IF(ISBLANK(B154)=FALSE,VLOOKUP(B154,Data_source!A:J,5,FALSE),""))</f>
        <v/>
      </c>
      <c r="D154" s="11" t="str">
        <f>IF(ISBLANK(B154)=FALSE,IF(VLOOKUP(B154,Data_source!A:J,2,FALSE)="---","",VLOOKUP(B154,Data_source!A:J,2,FALSE)),"")</f>
        <v/>
      </c>
      <c r="E154" s="11" t="str">
        <f t="shared" si="6"/>
        <v/>
      </c>
      <c r="F154" s="11" t="str">
        <f>IF(ISBLANK(B154)=FALSE,IF(VLOOKUP(B154,Data_source!A:J,3,FALSE)="---","",VLOOKUP(B154,Data_source!A:J,3,FALSE)),"")</f>
        <v/>
      </c>
      <c r="G154" s="11" t="str">
        <f t="shared" si="7"/>
        <v/>
      </c>
      <c r="H154" s="12" t="str">
        <f>IF(ISBLANK(B154)=FALSE,IF(VLOOKUP(B154,Data_source!A:J,6,FALSE)="---","",VLOOKUP(B154,Data_source!A:J,6,FALSE)),"")</f>
        <v/>
      </c>
      <c r="I154" s="12" t="str">
        <f t="shared" si="8"/>
        <v/>
      </c>
      <c r="J154" s="46" t="str">
        <f>IF(ISBLANK(B154)=FALSE,IF(VLOOKUP(B154,Data_source!A:J,7,FALSE)=0,"",VLOOKUP(B154,Data_source!A:J,7,FALSE)),"")</f>
        <v/>
      </c>
      <c r="K154" s="46" t="str">
        <f>IF(ISBLANK(B154)=FALSE,IF(VLOOKUP(B154,Data_source!A:J,8,FALSE)=0,"",VLOOKUP(B154,Data_source!A:J,8,FALSE)),"")</f>
        <v/>
      </c>
      <c r="L154" s="46" t="str">
        <f>IF(ISBLANK(B154)=FALSE,IF(VLOOKUP(B154,Data_source!A:J,9,FALSE)=0,"",VLOOKUP(B154,Data_source!A:J,9,FALSE)),"")</f>
        <v/>
      </c>
      <c r="M154" s="23"/>
    </row>
    <row r="155" spans="1:13" x14ac:dyDescent="0.2">
      <c r="A155" s="13">
        <v>144</v>
      </c>
      <c r="B155" s="26"/>
      <c r="C155" s="10" t="str">
        <f>IF($E$5=1,IF(ISBLANK(B155)=FALSE,VLOOKUP(B155,Data_source!A:J,4,FALSE),""),IF(ISBLANK(B155)=FALSE,VLOOKUP(B155,Data_source!A:J,5,FALSE),""))</f>
        <v/>
      </c>
      <c r="D155" s="11" t="str">
        <f>IF(ISBLANK(B155)=FALSE,IF(VLOOKUP(B155,Data_source!A:J,2,FALSE)="---","",VLOOKUP(B155,Data_source!A:J,2,FALSE)),"")</f>
        <v/>
      </c>
      <c r="E155" s="11" t="str">
        <f t="shared" si="6"/>
        <v/>
      </c>
      <c r="F155" s="11" t="str">
        <f>IF(ISBLANK(B155)=FALSE,IF(VLOOKUP(B155,Data_source!A:J,3,FALSE)="---","",VLOOKUP(B155,Data_source!A:J,3,FALSE)),"")</f>
        <v/>
      </c>
      <c r="G155" s="11" t="str">
        <f t="shared" si="7"/>
        <v/>
      </c>
      <c r="H155" s="12" t="str">
        <f>IF(ISBLANK(B155)=FALSE,IF(VLOOKUP(B155,Data_source!A:J,6,FALSE)="---","",VLOOKUP(B155,Data_source!A:J,6,FALSE)),"")</f>
        <v/>
      </c>
      <c r="I155" s="12" t="str">
        <f t="shared" si="8"/>
        <v/>
      </c>
      <c r="J155" s="46" t="str">
        <f>IF(ISBLANK(B155)=FALSE,IF(VLOOKUP(B155,Data_source!A:J,7,FALSE)=0,"",VLOOKUP(B155,Data_source!A:J,7,FALSE)),"")</f>
        <v/>
      </c>
      <c r="K155" s="46" t="str">
        <f>IF(ISBLANK(B155)=FALSE,IF(VLOOKUP(B155,Data_source!A:J,8,FALSE)=0,"",VLOOKUP(B155,Data_source!A:J,8,FALSE)),"")</f>
        <v/>
      </c>
      <c r="L155" s="46" t="str">
        <f>IF(ISBLANK(B155)=FALSE,IF(VLOOKUP(B155,Data_source!A:J,9,FALSE)=0,"",VLOOKUP(B155,Data_source!A:J,9,FALSE)),"")</f>
        <v/>
      </c>
      <c r="M155" s="23"/>
    </row>
    <row r="156" spans="1:13" x14ac:dyDescent="0.2">
      <c r="A156" s="13">
        <v>145</v>
      </c>
      <c r="B156" s="23"/>
      <c r="C156" s="10" t="str">
        <f>IF($E$5=1,IF(ISBLANK(B156)=FALSE,VLOOKUP(B156,Data_source!A:J,4,FALSE),""),IF(ISBLANK(B156)=FALSE,VLOOKUP(B156,Data_source!A:J,5,FALSE),""))</f>
        <v/>
      </c>
      <c r="D156" s="11" t="str">
        <f>IF(ISBLANK(B156)=FALSE,IF(VLOOKUP(B156,Data_source!A:J,2,FALSE)="---","",VLOOKUP(B156,Data_source!A:J,2,FALSE)),"")</f>
        <v/>
      </c>
      <c r="E156" s="11" t="str">
        <f t="shared" si="6"/>
        <v/>
      </c>
      <c r="F156" s="11" t="str">
        <f>IF(ISBLANK(B156)=FALSE,IF(VLOOKUP(B156,Data_source!A:J,3,FALSE)="---","",VLOOKUP(B156,Data_source!A:J,3,FALSE)),"")</f>
        <v/>
      </c>
      <c r="G156" s="11" t="str">
        <f t="shared" si="7"/>
        <v/>
      </c>
      <c r="H156" s="12" t="str">
        <f>IF(ISBLANK(B156)=FALSE,IF(VLOOKUP(B156,Data_source!A:J,6,FALSE)="---","",VLOOKUP(B156,Data_source!A:J,6,FALSE)),"")</f>
        <v/>
      </c>
      <c r="I156" s="12" t="str">
        <f t="shared" si="8"/>
        <v/>
      </c>
      <c r="J156" s="46" t="str">
        <f>IF(ISBLANK(B156)=FALSE,IF(VLOOKUP(B156,Data_source!A:J,7,FALSE)=0,"",VLOOKUP(B156,Data_source!A:J,7,FALSE)),"")</f>
        <v/>
      </c>
      <c r="K156" s="46" t="str">
        <f>IF(ISBLANK(B156)=FALSE,IF(VLOOKUP(B156,Data_source!A:J,8,FALSE)=0,"",VLOOKUP(B156,Data_source!A:J,8,FALSE)),"")</f>
        <v/>
      </c>
      <c r="L156" s="46" t="str">
        <f>IF(ISBLANK(B156)=FALSE,IF(VLOOKUP(B156,Data_source!A:J,9,FALSE)=0,"",VLOOKUP(B156,Data_source!A:J,9,FALSE)),"")</f>
        <v/>
      </c>
      <c r="M156" s="23"/>
    </row>
    <row r="157" spans="1:13" x14ac:dyDescent="0.2">
      <c r="A157" s="13">
        <v>146</v>
      </c>
      <c r="B157" s="23"/>
      <c r="C157" s="10" t="str">
        <f>IF($E$5=1,IF(ISBLANK(B157)=FALSE,VLOOKUP(B157,Data_source!A:J,4,FALSE),""),IF(ISBLANK(B157)=FALSE,VLOOKUP(B157,Data_source!A:J,5,FALSE),""))</f>
        <v/>
      </c>
      <c r="D157" s="11" t="str">
        <f>IF(ISBLANK(B157)=FALSE,IF(VLOOKUP(B157,Data_source!A:J,2,FALSE)="---","",VLOOKUP(B157,Data_source!A:J,2,FALSE)),"")</f>
        <v/>
      </c>
      <c r="E157" s="11" t="str">
        <f t="shared" si="6"/>
        <v/>
      </c>
      <c r="F157" s="11" t="str">
        <f>IF(ISBLANK(B157)=FALSE,IF(VLOOKUP(B157,Data_source!A:J,3,FALSE)="---","",VLOOKUP(B157,Data_source!A:J,3,FALSE)),"")</f>
        <v/>
      </c>
      <c r="G157" s="11" t="str">
        <f t="shared" si="7"/>
        <v/>
      </c>
      <c r="H157" s="12" t="str">
        <f>IF(ISBLANK(B157)=FALSE,IF(VLOOKUP(B157,Data_source!A:J,6,FALSE)="---","",VLOOKUP(B157,Data_source!A:J,6,FALSE)),"")</f>
        <v/>
      </c>
      <c r="I157" s="12" t="str">
        <f t="shared" si="8"/>
        <v/>
      </c>
      <c r="J157" s="46" t="str">
        <f>IF(ISBLANK(B157)=FALSE,IF(VLOOKUP(B157,Data_source!A:J,7,FALSE)=0,"",VLOOKUP(B157,Data_source!A:J,7,FALSE)),"")</f>
        <v/>
      </c>
      <c r="K157" s="46" t="str">
        <f>IF(ISBLANK(B157)=FALSE,IF(VLOOKUP(B157,Data_source!A:J,8,FALSE)=0,"",VLOOKUP(B157,Data_source!A:J,8,FALSE)),"")</f>
        <v/>
      </c>
      <c r="L157" s="46" t="str">
        <f>IF(ISBLANK(B157)=FALSE,IF(VLOOKUP(B157,Data_source!A:J,9,FALSE)=0,"",VLOOKUP(B157,Data_source!A:J,9,FALSE)),"")</f>
        <v/>
      </c>
      <c r="M157" s="23"/>
    </row>
    <row r="158" spans="1:13" x14ac:dyDescent="0.2">
      <c r="A158" s="13">
        <v>147</v>
      </c>
      <c r="B158" s="23"/>
      <c r="C158" s="10" t="str">
        <f>IF($E$5=1,IF(ISBLANK(B158)=FALSE,VLOOKUP(B158,Data_source!A:J,4,FALSE),""),IF(ISBLANK(B158)=FALSE,VLOOKUP(B158,Data_source!A:J,5,FALSE),""))</f>
        <v/>
      </c>
      <c r="D158" s="11" t="str">
        <f>IF(ISBLANK(B158)=FALSE,IF(VLOOKUP(B158,Data_source!A:J,2,FALSE)="---","",VLOOKUP(B158,Data_source!A:J,2,FALSE)),"")</f>
        <v/>
      </c>
      <c r="E158" s="11" t="str">
        <f t="shared" si="6"/>
        <v/>
      </c>
      <c r="F158" s="11" t="str">
        <f>IF(ISBLANK(B158)=FALSE,IF(VLOOKUP(B158,Data_source!A:J,3,FALSE)="---","",VLOOKUP(B158,Data_source!A:J,3,FALSE)),"")</f>
        <v/>
      </c>
      <c r="G158" s="11" t="str">
        <f t="shared" si="7"/>
        <v/>
      </c>
      <c r="H158" s="12" t="str">
        <f>IF(ISBLANK(B158)=FALSE,IF(VLOOKUP(B158,Data_source!A:J,6,FALSE)="---","",VLOOKUP(B158,Data_source!A:J,6,FALSE)),"")</f>
        <v/>
      </c>
      <c r="I158" s="12" t="str">
        <f t="shared" si="8"/>
        <v/>
      </c>
      <c r="J158" s="46" t="str">
        <f>IF(ISBLANK(B158)=FALSE,IF(VLOOKUP(B158,Data_source!A:J,7,FALSE)=0,"",VLOOKUP(B158,Data_source!A:J,7,FALSE)),"")</f>
        <v/>
      </c>
      <c r="K158" s="46" t="str">
        <f>IF(ISBLANK(B158)=FALSE,IF(VLOOKUP(B158,Data_source!A:J,8,FALSE)=0,"",VLOOKUP(B158,Data_source!A:J,8,FALSE)),"")</f>
        <v/>
      </c>
      <c r="L158" s="46" t="str">
        <f>IF(ISBLANK(B158)=FALSE,IF(VLOOKUP(B158,Data_source!A:J,9,FALSE)=0,"",VLOOKUP(B158,Data_source!A:J,9,FALSE)),"")</f>
        <v/>
      </c>
      <c r="M158" s="23"/>
    </row>
    <row r="159" spans="1:13" x14ac:dyDescent="0.2">
      <c r="A159" s="13">
        <v>148</v>
      </c>
      <c r="B159" s="23"/>
      <c r="C159" s="10" t="str">
        <f>IF($E$5=1,IF(ISBLANK(B159)=FALSE,VLOOKUP(B159,Data_source!A:J,4,FALSE),""),IF(ISBLANK(B159)=FALSE,VLOOKUP(B159,Data_source!A:J,5,FALSE),""))</f>
        <v/>
      </c>
      <c r="D159" s="11" t="str">
        <f>IF(ISBLANK(B159)=FALSE,IF(VLOOKUP(B159,Data_source!A:J,2,FALSE)="---","",VLOOKUP(B159,Data_source!A:J,2,FALSE)),"")</f>
        <v/>
      </c>
      <c r="E159" s="11" t="str">
        <f t="shared" si="6"/>
        <v/>
      </c>
      <c r="F159" s="11" t="str">
        <f>IF(ISBLANK(B159)=FALSE,IF(VLOOKUP(B159,Data_source!A:J,3,FALSE)="---","",VLOOKUP(B159,Data_source!A:J,3,FALSE)),"")</f>
        <v/>
      </c>
      <c r="G159" s="11" t="str">
        <f t="shared" si="7"/>
        <v/>
      </c>
      <c r="H159" s="12" t="str">
        <f>IF(ISBLANK(B159)=FALSE,IF(VLOOKUP(B159,Data_source!A:J,6,FALSE)="---","",VLOOKUP(B159,Data_source!A:J,6,FALSE)),"")</f>
        <v/>
      </c>
      <c r="I159" s="12" t="str">
        <f t="shared" si="8"/>
        <v/>
      </c>
      <c r="J159" s="46" t="str">
        <f>IF(ISBLANK(B159)=FALSE,IF(VLOOKUP(B159,Data_source!A:J,7,FALSE)=0,"",VLOOKUP(B159,Data_source!A:J,7,FALSE)),"")</f>
        <v/>
      </c>
      <c r="K159" s="46" t="str">
        <f>IF(ISBLANK(B159)=FALSE,IF(VLOOKUP(B159,Data_source!A:J,8,FALSE)=0,"",VLOOKUP(B159,Data_source!A:J,8,FALSE)),"")</f>
        <v/>
      </c>
      <c r="L159" s="46" t="str">
        <f>IF(ISBLANK(B159)=FALSE,IF(VLOOKUP(B159,Data_source!A:J,9,FALSE)=0,"",VLOOKUP(B159,Data_source!A:J,9,FALSE)),"")</f>
        <v/>
      </c>
      <c r="M159" s="23"/>
    </row>
    <row r="160" spans="1:13" x14ac:dyDescent="0.2">
      <c r="A160" s="13">
        <v>149</v>
      </c>
      <c r="B160" s="23"/>
      <c r="C160" s="10" t="str">
        <f>IF($E$5=1,IF(ISBLANK(B160)=FALSE,VLOOKUP(B160,Data_source!A:J,4,FALSE),""),IF(ISBLANK(B160)=FALSE,VLOOKUP(B160,Data_source!A:J,5,FALSE),""))</f>
        <v/>
      </c>
      <c r="D160" s="11" t="str">
        <f>IF(ISBLANK(B160)=FALSE,IF(VLOOKUP(B160,Data_source!A:J,2,FALSE)="---","",VLOOKUP(B160,Data_source!A:J,2,FALSE)),"")</f>
        <v/>
      </c>
      <c r="E160" s="11" t="str">
        <f t="shared" si="6"/>
        <v/>
      </c>
      <c r="F160" s="11" t="str">
        <f>IF(ISBLANK(B160)=FALSE,IF(VLOOKUP(B160,Data_source!A:J,3,FALSE)="---","",VLOOKUP(B160,Data_source!A:J,3,FALSE)),"")</f>
        <v/>
      </c>
      <c r="G160" s="11" t="str">
        <f t="shared" si="7"/>
        <v/>
      </c>
      <c r="H160" s="12" t="str">
        <f>IF(ISBLANK(B160)=FALSE,IF(VLOOKUP(B160,Data_source!A:J,6,FALSE)="---","",VLOOKUP(B160,Data_source!A:J,6,FALSE)),"")</f>
        <v/>
      </c>
      <c r="I160" s="12" t="str">
        <f t="shared" si="8"/>
        <v/>
      </c>
      <c r="J160" s="46" t="str">
        <f>IF(ISBLANK(B160)=FALSE,IF(VLOOKUP(B160,Data_source!A:J,7,FALSE)=0,"",VLOOKUP(B160,Data_source!A:J,7,FALSE)),"")</f>
        <v/>
      </c>
      <c r="K160" s="46" t="str">
        <f>IF(ISBLANK(B160)=FALSE,IF(VLOOKUP(B160,Data_source!A:J,8,FALSE)=0,"",VLOOKUP(B160,Data_source!A:J,8,FALSE)),"")</f>
        <v/>
      </c>
      <c r="L160" s="46" t="str">
        <f>IF(ISBLANK(B160)=FALSE,IF(VLOOKUP(B160,Data_source!A:J,9,FALSE)=0,"",VLOOKUP(B160,Data_source!A:J,9,FALSE)),"")</f>
        <v/>
      </c>
      <c r="M160" s="23"/>
    </row>
    <row r="161" spans="1:13" x14ac:dyDescent="0.2">
      <c r="A161" s="13">
        <v>150</v>
      </c>
      <c r="B161" s="23"/>
      <c r="C161" s="10" t="str">
        <f>IF($E$5=1,IF(ISBLANK(B161)=FALSE,VLOOKUP(B161,Data_source!A:J,4,FALSE),""),IF(ISBLANK(B161)=FALSE,VLOOKUP(B161,Data_source!A:J,5,FALSE),""))</f>
        <v/>
      </c>
      <c r="D161" s="11" t="str">
        <f>IF(ISBLANK(B161)=FALSE,IF(VLOOKUP(B161,Data_source!A:J,2,FALSE)="---","",VLOOKUP(B161,Data_source!A:J,2,FALSE)),"")</f>
        <v/>
      </c>
      <c r="E161" s="11" t="str">
        <f t="shared" si="6"/>
        <v/>
      </c>
      <c r="F161" s="11" t="str">
        <f>IF(ISBLANK(B161)=FALSE,IF(VLOOKUP(B161,Data_source!A:J,3,FALSE)="---","",VLOOKUP(B161,Data_source!A:J,3,FALSE)),"")</f>
        <v/>
      </c>
      <c r="G161" s="11" t="str">
        <f t="shared" si="7"/>
        <v/>
      </c>
      <c r="H161" s="12" t="str">
        <f>IF(ISBLANK(B161)=FALSE,IF(VLOOKUP(B161,Data_source!A:J,6,FALSE)="---","",VLOOKUP(B161,Data_source!A:J,6,FALSE)),"")</f>
        <v/>
      </c>
      <c r="I161" s="12" t="str">
        <f t="shared" si="8"/>
        <v/>
      </c>
      <c r="J161" s="46" t="str">
        <f>IF(ISBLANK(B161)=FALSE,IF(VLOOKUP(B161,Data_source!A:J,7,FALSE)=0,"",VLOOKUP(B161,Data_source!A:J,7,FALSE)),"")</f>
        <v/>
      </c>
      <c r="K161" s="46" t="str">
        <f>IF(ISBLANK(B161)=FALSE,IF(VLOOKUP(B161,Data_source!A:J,8,FALSE)=0,"",VLOOKUP(B161,Data_source!A:J,8,FALSE)),"")</f>
        <v/>
      </c>
      <c r="L161" s="46" t="str">
        <f>IF(ISBLANK(B161)=FALSE,IF(VLOOKUP(B161,Data_source!A:J,9,FALSE)=0,"",VLOOKUP(B161,Data_source!A:J,9,FALSE)),"")</f>
        <v/>
      </c>
      <c r="M161" s="23"/>
    </row>
    <row r="162" spans="1:13" x14ac:dyDescent="0.2">
      <c r="A162" s="13">
        <v>151</v>
      </c>
      <c r="B162" s="23"/>
      <c r="C162" s="10" t="str">
        <f>IF($E$5=1,IF(ISBLANK(B162)=FALSE,VLOOKUP(B162,Data_source!A:J,4,FALSE),""),IF(ISBLANK(B162)=FALSE,VLOOKUP(B162,Data_source!A:J,5,FALSE),""))</f>
        <v/>
      </c>
      <c r="D162" s="11" t="str">
        <f>IF(ISBLANK(B162)=FALSE,IF(VLOOKUP(B162,Data_source!A:J,2,FALSE)="---","",VLOOKUP(B162,Data_source!A:J,2,FALSE)),"")</f>
        <v/>
      </c>
      <c r="E162" s="11" t="str">
        <f t="shared" si="6"/>
        <v/>
      </c>
      <c r="F162" s="11" t="str">
        <f>IF(ISBLANK(B162)=FALSE,IF(VLOOKUP(B162,Data_source!A:J,3,FALSE)="---","",VLOOKUP(B162,Data_source!A:J,3,FALSE)),"")</f>
        <v/>
      </c>
      <c r="G162" s="11" t="str">
        <f t="shared" si="7"/>
        <v/>
      </c>
      <c r="H162" s="12" t="str">
        <f>IF(ISBLANK(B162)=FALSE,IF(VLOOKUP(B162,Data_source!A:J,6,FALSE)="---","",VLOOKUP(B162,Data_source!A:J,6,FALSE)),"")</f>
        <v/>
      </c>
      <c r="I162" s="12" t="str">
        <f t="shared" si="8"/>
        <v/>
      </c>
      <c r="J162" s="46" t="str">
        <f>IF(ISBLANK(B162)=FALSE,IF(VLOOKUP(B162,Data_source!A:J,7,FALSE)=0,"",VLOOKUP(B162,Data_source!A:J,7,FALSE)),"")</f>
        <v/>
      </c>
      <c r="K162" s="46" t="str">
        <f>IF(ISBLANK(B162)=FALSE,IF(VLOOKUP(B162,Data_source!A:J,8,FALSE)=0,"",VLOOKUP(B162,Data_source!A:J,8,FALSE)),"")</f>
        <v/>
      </c>
      <c r="L162" s="46" t="str">
        <f>IF(ISBLANK(B162)=FALSE,IF(VLOOKUP(B162,Data_source!A:J,9,FALSE)=0,"",VLOOKUP(B162,Data_source!A:J,9,FALSE)),"")</f>
        <v/>
      </c>
      <c r="M162" s="23"/>
    </row>
    <row r="163" spans="1:13" x14ac:dyDescent="0.2">
      <c r="A163" s="13">
        <v>152</v>
      </c>
      <c r="B163" s="23"/>
      <c r="C163" s="10" t="str">
        <f>IF($E$5=1,IF(ISBLANK(B163)=FALSE,VLOOKUP(B163,Data_source!A:J,4,FALSE),""),IF(ISBLANK(B163)=FALSE,VLOOKUP(B163,Data_source!A:J,5,FALSE),""))</f>
        <v/>
      </c>
      <c r="D163" s="11" t="str">
        <f>IF(ISBLANK(B163)=FALSE,IF(VLOOKUP(B163,Data_source!A:J,2,FALSE)="---","",VLOOKUP(B163,Data_source!A:J,2,FALSE)),"")</f>
        <v/>
      </c>
      <c r="E163" s="11" t="str">
        <f t="shared" si="6"/>
        <v/>
      </c>
      <c r="F163" s="11" t="str">
        <f>IF(ISBLANK(B163)=FALSE,IF(VLOOKUP(B163,Data_source!A:J,3,FALSE)="---","",VLOOKUP(B163,Data_source!A:J,3,FALSE)),"")</f>
        <v/>
      </c>
      <c r="G163" s="11" t="str">
        <f t="shared" si="7"/>
        <v/>
      </c>
      <c r="H163" s="12" t="str">
        <f>IF(ISBLANK(B163)=FALSE,IF(VLOOKUP(B163,Data_source!A:J,6,FALSE)="---","",VLOOKUP(B163,Data_source!A:J,6,FALSE)),"")</f>
        <v/>
      </c>
      <c r="I163" s="12" t="str">
        <f t="shared" si="8"/>
        <v/>
      </c>
      <c r="J163" s="46" t="str">
        <f>IF(ISBLANK(B163)=FALSE,IF(VLOOKUP(B163,Data_source!A:J,7,FALSE)=0,"",VLOOKUP(B163,Data_source!A:J,7,FALSE)),"")</f>
        <v/>
      </c>
      <c r="K163" s="46" t="str">
        <f>IF(ISBLANK(B163)=FALSE,IF(VLOOKUP(B163,Data_source!A:J,8,FALSE)=0,"",VLOOKUP(B163,Data_source!A:J,8,FALSE)),"")</f>
        <v/>
      </c>
      <c r="L163" s="46" t="str">
        <f>IF(ISBLANK(B163)=FALSE,IF(VLOOKUP(B163,Data_source!A:J,9,FALSE)=0,"",VLOOKUP(B163,Data_source!A:J,9,FALSE)),"")</f>
        <v/>
      </c>
      <c r="M163" s="23"/>
    </row>
    <row r="164" spans="1:13" x14ac:dyDescent="0.2">
      <c r="A164" s="13">
        <v>153</v>
      </c>
      <c r="B164" s="23"/>
      <c r="C164" s="10" t="str">
        <f>IF($E$5=1,IF(ISBLANK(B164)=FALSE,VLOOKUP(B164,Data_source!A:J,4,FALSE),""),IF(ISBLANK(B164)=FALSE,VLOOKUP(B164,Data_source!A:J,5,FALSE),""))</f>
        <v/>
      </c>
      <c r="D164" s="11" t="str">
        <f>IF(ISBLANK(B164)=FALSE,IF(VLOOKUP(B164,Data_source!A:J,2,FALSE)="---","",VLOOKUP(B164,Data_source!A:J,2,FALSE)),"")</f>
        <v/>
      </c>
      <c r="E164" s="11" t="str">
        <f t="shared" si="6"/>
        <v/>
      </c>
      <c r="F164" s="11" t="str">
        <f>IF(ISBLANK(B164)=FALSE,IF(VLOOKUP(B164,Data_source!A:J,3,FALSE)="---","",VLOOKUP(B164,Data_source!A:J,3,FALSE)),"")</f>
        <v/>
      </c>
      <c r="G164" s="11" t="str">
        <f t="shared" si="7"/>
        <v/>
      </c>
      <c r="H164" s="12" t="str">
        <f>IF(ISBLANK(B164)=FALSE,IF(VLOOKUP(B164,Data_source!A:J,6,FALSE)="---","",VLOOKUP(B164,Data_source!A:J,6,FALSE)),"")</f>
        <v/>
      </c>
      <c r="I164" s="12" t="str">
        <f t="shared" si="8"/>
        <v/>
      </c>
      <c r="J164" s="46" t="str">
        <f>IF(ISBLANK(B164)=FALSE,IF(VLOOKUP(B164,Data_source!A:J,7,FALSE)=0,"",VLOOKUP(B164,Data_source!A:J,7,FALSE)),"")</f>
        <v/>
      </c>
      <c r="K164" s="46" t="str">
        <f>IF(ISBLANK(B164)=FALSE,IF(VLOOKUP(B164,Data_source!A:J,8,FALSE)=0,"",VLOOKUP(B164,Data_source!A:J,8,FALSE)),"")</f>
        <v/>
      </c>
      <c r="L164" s="46" t="str">
        <f>IF(ISBLANK(B164)=FALSE,IF(VLOOKUP(B164,Data_source!A:J,9,FALSE)=0,"",VLOOKUP(B164,Data_source!A:J,9,FALSE)),"")</f>
        <v/>
      </c>
      <c r="M164" s="23"/>
    </row>
    <row r="165" spans="1:13" x14ac:dyDescent="0.2">
      <c r="A165" s="13">
        <v>154</v>
      </c>
      <c r="B165" s="23"/>
      <c r="C165" s="10" t="str">
        <f>IF($E$5=1,IF(ISBLANK(B165)=FALSE,VLOOKUP(B165,Data_source!A:J,4,FALSE),""),IF(ISBLANK(B165)=FALSE,VLOOKUP(B165,Data_source!A:J,5,FALSE),""))</f>
        <v/>
      </c>
      <c r="D165" s="11" t="str">
        <f>IF(ISBLANK(B165)=FALSE,IF(VLOOKUP(B165,Data_source!A:J,2,FALSE)="---","",VLOOKUP(B165,Data_source!A:J,2,FALSE)),"")</f>
        <v/>
      </c>
      <c r="E165" s="11" t="str">
        <f t="shared" si="6"/>
        <v/>
      </c>
      <c r="F165" s="11" t="str">
        <f>IF(ISBLANK(B165)=FALSE,IF(VLOOKUP(B165,Data_source!A:J,3,FALSE)="---","",VLOOKUP(B165,Data_source!A:J,3,FALSE)),"")</f>
        <v/>
      </c>
      <c r="G165" s="11" t="str">
        <f t="shared" si="7"/>
        <v/>
      </c>
      <c r="H165" s="12" t="str">
        <f>IF(ISBLANK(B165)=FALSE,IF(VLOOKUP(B165,Data_source!A:J,6,FALSE)="---","",VLOOKUP(B165,Data_source!A:J,6,FALSE)),"")</f>
        <v/>
      </c>
      <c r="I165" s="12" t="str">
        <f t="shared" si="8"/>
        <v/>
      </c>
      <c r="J165" s="46" t="str">
        <f>IF(ISBLANK(B165)=FALSE,IF(VLOOKUP(B165,Data_source!A:J,7,FALSE)=0,"",VLOOKUP(B165,Data_source!A:J,7,FALSE)),"")</f>
        <v/>
      </c>
      <c r="K165" s="46" t="str">
        <f>IF(ISBLANK(B165)=FALSE,IF(VLOOKUP(B165,Data_source!A:J,8,FALSE)=0,"",VLOOKUP(B165,Data_source!A:J,8,FALSE)),"")</f>
        <v/>
      </c>
      <c r="L165" s="46" t="str">
        <f>IF(ISBLANK(B165)=FALSE,IF(VLOOKUP(B165,Data_source!A:J,9,FALSE)=0,"",VLOOKUP(B165,Data_source!A:J,9,FALSE)),"")</f>
        <v/>
      </c>
      <c r="M165" s="23"/>
    </row>
    <row r="166" spans="1:13" x14ac:dyDescent="0.2">
      <c r="A166" s="13">
        <v>155</v>
      </c>
      <c r="B166" s="23"/>
      <c r="C166" s="10" t="str">
        <f>IF($E$5=1,IF(ISBLANK(B166)=FALSE,VLOOKUP(B166,Data_source!A:J,4,FALSE),""),IF(ISBLANK(B166)=FALSE,VLOOKUP(B166,Data_source!A:J,5,FALSE),""))</f>
        <v/>
      </c>
      <c r="D166" s="11" t="str">
        <f>IF(ISBLANK(B166)=FALSE,IF(VLOOKUP(B166,Data_source!A:J,2,FALSE)="---","",VLOOKUP(B166,Data_source!A:J,2,FALSE)),"")</f>
        <v/>
      </c>
      <c r="E166" s="11" t="str">
        <f t="shared" si="6"/>
        <v/>
      </c>
      <c r="F166" s="11" t="str">
        <f>IF(ISBLANK(B166)=FALSE,IF(VLOOKUP(B166,Data_source!A:J,3,FALSE)="---","",VLOOKUP(B166,Data_source!A:J,3,FALSE)),"")</f>
        <v/>
      </c>
      <c r="G166" s="11" t="str">
        <f t="shared" si="7"/>
        <v/>
      </c>
      <c r="H166" s="12" t="str">
        <f>IF(ISBLANK(B166)=FALSE,IF(VLOOKUP(B166,Data_source!A:J,6,FALSE)="---","",VLOOKUP(B166,Data_source!A:J,6,FALSE)),"")</f>
        <v/>
      </c>
      <c r="I166" s="12" t="str">
        <f t="shared" si="8"/>
        <v/>
      </c>
      <c r="J166" s="46" t="str">
        <f>IF(ISBLANK(B166)=FALSE,IF(VLOOKUP(B166,Data_source!A:J,7,FALSE)=0,"",VLOOKUP(B166,Data_source!A:J,7,FALSE)),"")</f>
        <v/>
      </c>
      <c r="K166" s="46" t="str">
        <f>IF(ISBLANK(B166)=FALSE,IF(VLOOKUP(B166,Data_source!A:J,8,FALSE)=0,"",VLOOKUP(B166,Data_source!A:J,8,FALSE)),"")</f>
        <v/>
      </c>
      <c r="L166" s="46" t="str">
        <f>IF(ISBLANK(B166)=FALSE,IF(VLOOKUP(B166,Data_source!A:J,9,FALSE)=0,"",VLOOKUP(B166,Data_source!A:J,9,FALSE)),"")</f>
        <v/>
      </c>
      <c r="M166" s="23"/>
    </row>
    <row r="167" spans="1:13" x14ac:dyDescent="0.2">
      <c r="A167" s="13">
        <v>156</v>
      </c>
      <c r="B167" s="26"/>
      <c r="C167" s="10" t="str">
        <f>IF($E$5=1,IF(ISBLANK(B167)=FALSE,VLOOKUP(B167,Data_source!A:J,4,FALSE),""),IF(ISBLANK(B167)=FALSE,VLOOKUP(B167,Data_source!A:J,5,FALSE),""))</f>
        <v/>
      </c>
      <c r="D167" s="11" t="str">
        <f>IF(ISBLANK(B167)=FALSE,IF(VLOOKUP(B167,Data_source!A:J,2,FALSE)="---","",VLOOKUP(B167,Data_source!A:J,2,FALSE)),"")</f>
        <v/>
      </c>
      <c r="E167" s="11" t="str">
        <f t="shared" si="6"/>
        <v/>
      </c>
      <c r="F167" s="11" t="str">
        <f>IF(ISBLANK(B167)=FALSE,IF(VLOOKUP(B167,Data_source!A:J,3,FALSE)="---","",VLOOKUP(B167,Data_source!A:J,3,FALSE)),"")</f>
        <v/>
      </c>
      <c r="G167" s="11" t="str">
        <f t="shared" si="7"/>
        <v/>
      </c>
      <c r="H167" s="12" t="str">
        <f>IF(ISBLANK(B167)=FALSE,IF(VLOOKUP(B167,Data_source!A:J,6,FALSE)="---","",VLOOKUP(B167,Data_source!A:J,6,FALSE)),"")</f>
        <v/>
      </c>
      <c r="I167" s="12" t="str">
        <f t="shared" si="8"/>
        <v/>
      </c>
      <c r="J167" s="46" t="str">
        <f>IF(ISBLANK(B167)=FALSE,IF(VLOOKUP(B167,Data_source!A:J,7,FALSE)=0,"",VLOOKUP(B167,Data_source!A:J,7,FALSE)),"")</f>
        <v/>
      </c>
      <c r="K167" s="46" t="str">
        <f>IF(ISBLANK(B167)=FALSE,IF(VLOOKUP(B167,Data_source!A:J,8,FALSE)=0,"",VLOOKUP(B167,Data_source!A:J,8,FALSE)),"")</f>
        <v/>
      </c>
      <c r="L167" s="46" t="str">
        <f>IF(ISBLANK(B167)=FALSE,IF(VLOOKUP(B167,Data_source!A:J,9,FALSE)=0,"",VLOOKUP(B167,Data_source!A:J,9,FALSE)),"")</f>
        <v/>
      </c>
      <c r="M167" s="23"/>
    </row>
    <row r="168" spans="1:13" x14ac:dyDescent="0.2">
      <c r="A168" s="13">
        <v>157</v>
      </c>
      <c r="B168" s="23"/>
      <c r="C168" s="10" t="str">
        <f>IF($E$5=1,IF(ISBLANK(B168)=FALSE,VLOOKUP(B168,Data_source!A:J,4,FALSE),""),IF(ISBLANK(B168)=FALSE,VLOOKUP(B168,Data_source!A:J,5,FALSE),""))</f>
        <v/>
      </c>
      <c r="D168" s="11" t="str">
        <f>IF(ISBLANK(B168)=FALSE,IF(VLOOKUP(B168,Data_source!A:J,2,FALSE)="---","",VLOOKUP(B168,Data_source!A:J,2,FALSE)),"")</f>
        <v/>
      </c>
      <c r="E168" s="11" t="str">
        <f t="shared" si="6"/>
        <v/>
      </c>
      <c r="F168" s="11" t="str">
        <f>IF(ISBLANK(B168)=FALSE,IF(VLOOKUP(B168,Data_source!A:J,3,FALSE)="---","",VLOOKUP(B168,Data_source!A:J,3,FALSE)),"")</f>
        <v/>
      </c>
      <c r="G168" s="11" t="str">
        <f t="shared" si="7"/>
        <v/>
      </c>
      <c r="H168" s="12" t="str">
        <f>IF(ISBLANK(B168)=FALSE,IF(VLOOKUP(B168,Data_source!A:J,6,FALSE)="---","",VLOOKUP(B168,Data_source!A:J,6,FALSE)),"")</f>
        <v/>
      </c>
      <c r="I168" s="12" t="str">
        <f t="shared" si="8"/>
        <v/>
      </c>
      <c r="J168" s="46" t="str">
        <f>IF(ISBLANK(B168)=FALSE,IF(VLOOKUP(B168,Data_source!A:J,7,FALSE)=0,"",VLOOKUP(B168,Data_source!A:J,7,FALSE)),"")</f>
        <v/>
      </c>
      <c r="K168" s="46" t="str">
        <f>IF(ISBLANK(B168)=FALSE,IF(VLOOKUP(B168,Data_source!A:J,8,FALSE)=0,"",VLOOKUP(B168,Data_source!A:J,8,FALSE)),"")</f>
        <v/>
      </c>
      <c r="L168" s="46" t="str">
        <f>IF(ISBLANK(B168)=FALSE,IF(VLOOKUP(B168,Data_source!A:J,9,FALSE)=0,"",VLOOKUP(B168,Data_source!A:J,9,FALSE)),"")</f>
        <v/>
      </c>
      <c r="M168" s="23"/>
    </row>
    <row r="169" spans="1:13" x14ac:dyDescent="0.2">
      <c r="A169" s="13">
        <v>158</v>
      </c>
      <c r="B169" s="23"/>
      <c r="C169" s="10" t="str">
        <f>IF($E$5=1,IF(ISBLANK(B169)=FALSE,VLOOKUP(B169,Data_source!A:J,4,FALSE),""),IF(ISBLANK(B169)=FALSE,VLOOKUP(B169,Data_source!A:J,5,FALSE),""))</f>
        <v/>
      </c>
      <c r="D169" s="11" t="str">
        <f>IF(ISBLANK(B169)=FALSE,IF(VLOOKUP(B169,Data_source!A:J,2,FALSE)="---","",VLOOKUP(B169,Data_source!A:J,2,FALSE)),"")</f>
        <v/>
      </c>
      <c r="E169" s="11" t="str">
        <f t="shared" si="6"/>
        <v/>
      </c>
      <c r="F169" s="11" t="str">
        <f>IF(ISBLANK(B169)=FALSE,IF(VLOOKUP(B169,Data_source!A:J,3,FALSE)="---","",VLOOKUP(B169,Data_source!A:J,3,FALSE)),"")</f>
        <v/>
      </c>
      <c r="G169" s="11" t="str">
        <f t="shared" si="7"/>
        <v/>
      </c>
      <c r="H169" s="12" t="str">
        <f>IF(ISBLANK(B169)=FALSE,IF(VLOOKUP(B169,Data_source!A:J,6,FALSE)="---","",VLOOKUP(B169,Data_source!A:J,6,FALSE)),"")</f>
        <v/>
      </c>
      <c r="I169" s="12" t="str">
        <f t="shared" si="8"/>
        <v/>
      </c>
      <c r="J169" s="46" t="str">
        <f>IF(ISBLANK(B169)=FALSE,IF(VLOOKUP(B169,Data_source!A:J,7,FALSE)=0,"",VLOOKUP(B169,Data_source!A:J,7,FALSE)),"")</f>
        <v/>
      </c>
      <c r="K169" s="46" t="str">
        <f>IF(ISBLANK(B169)=FALSE,IF(VLOOKUP(B169,Data_source!A:J,8,FALSE)=0,"",VLOOKUP(B169,Data_source!A:J,8,FALSE)),"")</f>
        <v/>
      </c>
      <c r="L169" s="46" t="str">
        <f>IF(ISBLANK(B169)=FALSE,IF(VLOOKUP(B169,Data_source!A:J,9,FALSE)=0,"",VLOOKUP(B169,Data_source!A:J,9,FALSE)),"")</f>
        <v/>
      </c>
      <c r="M169" s="23"/>
    </row>
    <row r="170" spans="1:13" x14ac:dyDescent="0.2">
      <c r="A170" s="13">
        <v>159</v>
      </c>
      <c r="B170" s="23"/>
      <c r="C170" s="10" t="str">
        <f>IF($E$5=1,IF(ISBLANK(B170)=FALSE,VLOOKUP(B170,Data_source!A:J,4,FALSE),""),IF(ISBLANK(B170)=FALSE,VLOOKUP(B170,Data_source!A:J,5,FALSE),""))</f>
        <v/>
      </c>
      <c r="D170" s="11" t="str">
        <f>IF(ISBLANK(B170)=FALSE,IF(VLOOKUP(B170,Data_source!A:J,2,FALSE)="---","",VLOOKUP(B170,Data_source!A:J,2,FALSE)),"")</f>
        <v/>
      </c>
      <c r="E170" s="11" t="str">
        <f t="shared" si="6"/>
        <v/>
      </c>
      <c r="F170" s="11" t="str">
        <f>IF(ISBLANK(B170)=FALSE,IF(VLOOKUP(B170,Data_source!A:J,3,FALSE)="---","",VLOOKUP(B170,Data_source!A:J,3,FALSE)),"")</f>
        <v/>
      </c>
      <c r="G170" s="11" t="str">
        <f t="shared" si="7"/>
        <v/>
      </c>
      <c r="H170" s="12" t="str">
        <f>IF(ISBLANK(B170)=FALSE,IF(VLOOKUP(B170,Data_source!A:J,6,FALSE)="---","",VLOOKUP(B170,Data_source!A:J,6,FALSE)),"")</f>
        <v/>
      </c>
      <c r="I170" s="12" t="str">
        <f t="shared" si="8"/>
        <v/>
      </c>
      <c r="J170" s="46" t="str">
        <f>IF(ISBLANK(B170)=FALSE,IF(VLOOKUP(B170,Data_source!A:J,7,FALSE)=0,"",VLOOKUP(B170,Data_source!A:J,7,FALSE)),"")</f>
        <v/>
      </c>
      <c r="K170" s="46" t="str">
        <f>IF(ISBLANK(B170)=FALSE,IF(VLOOKUP(B170,Data_source!A:J,8,FALSE)=0,"",VLOOKUP(B170,Data_source!A:J,8,FALSE)),"")</f>
        <v/>
      </c>
      <c r="L170" s="46" t="str">
        <f>IF(ISBLANK(B170)=FALSE,IF(VLOOKUP(B170,Data_source!A:J,9,FALSE)=0,"",VLOOKUP(B170,Data_source!A:J,9,FALSE)),"")</f>
        <v/>
      </c>
      <c r="M170" s="23"/>
    </row>
    <row r="171" spans="1:13" x14ac:dyDescent="0.2">
      <c r="A171" s="13">
        <v>160</v>
      </c>
      <c r="B171" s="23"/>
      <c r="C171" s="10" t="str">
        <f>IF($E$5=1,IF(ISBLANK(B171)=FALSE,VLOOKUP(B171,Data_source!A:J,4,FALSE),""),IF(ISBLANK(B171)=FALSE,VLOOKUP(B171,Data_source!A:J,5,FALSE),""))</f>
        <v/>
      </c>
      <c r="D171" s="11" t="str">
        <f>IF(ISBLANK(B171)=FALSE,IF(VLOOKUP(B171,Data_source!A:J,2,FALSE)="---","",VLOOKUP(B171,Data_source!A:J,2,FALSE)),"")</f>
        <v/>
      </c>
      <c r="E171" s="11" t="str">
        <f t="shared" si="6"/>
        <v/>
      </c>
      <c r="F171" s="11" t="str">
        <f>IF(ISBLANK(B171)=FALSE,IF(VLOOKUP(B171,Data_source!A:J,3,FALSE)="---","",VLOOKUP(B171,Data_source!A:J,3,FALSE)),"")</f>
        <v/>
      </c>
      <c r="G171" s="11" t="str">
        <f t="shared" si="7"/>
        <v/>
      </c>
      <c r="H171" s="12" t="str">
        <f>IF(ISBLANK(B171)=FALSE,IF(VLOOKUP(B171,Data_source!A:J,6,FALSE)="---","",VLOOKUP(B171,Data_source!A:J,6,FALSE)),"")</f>
        <v/>
      </c>
      <c r="I171" s="12" t="str">
        <f t="shared" si="8"/>
        <v/>
      </c>
      <c r="J171" s="46" t="str">
        <f>IF(ISBLANK(B171)=FALSE,IF(VLOOKUP(B171,Data_source!A:J,7,FALSE)=0,"",VLOOKUP(B171,Data_source!A:J,7,FALSE)),"")</f>
        <v/>
      </c>
      <c r="K171" s="46" t="str">
        <f>IF(ISBLANK(B171)=FALSE,IF(VLOOKUP(B171,Data_source!A:J,8,FALSE)=0,"",VLOOKUP(B171,Data_source!A:J,8,FALSE)),"")</f>
        <v/>
      </c>
      <c r="L171" s="46" t="str">
        <f>IF(ISBLANK(B171)=FALSE,IF(VLOOKUP(B171,Data_source!A:J,9,FALSE)=0,"",VLOOKUP(B171,Data_source!A:J,9,FALSE)),"")</f>
        <v/>
      </c>
      <c r="M171" s="23"/>
    </row>
    <row r="172" spans="1:13" x14ac:dyDescent="0.2">
      <c r="A172" s="13">
        <v>161</v>
      </c>
      <c r="B172" s="23"/>
      <c r="C172" s="10" t="str">
        <f>IF($E$5=1,IF(ISBLANK(B172)=FALSE,VLOOKUP(B172,Data_source!A:J,4,FALSE),""),IF(ISBLANK(B172)=FALSE,VLOOKUP(B172,Data_source!A:J,5,FALSE),""))</f>
        <v/>
      </c>
      <c r="D172" s="11" t="str">
        <f>IF(ISBLANK(B172)=FALSE,IF(VLOOKUP(B172,Data_source!A:J,2,FALSE)="---","",VLOOKUP(B172,Data_source!A:J,2,FALSE)),"")</f>
        <v/>
      </c>
      <c r="E172" s="11" t="str">
        <f t="shared" si="6"/>
        <v/>
      </c>
      <c r="F172" s="11" t="str">
        <f>IF(ISBLANK(B172)=FALSE,IF(VLOOKUP(B172,Data_source!A:J,3,FALSE)="---","",VLOOKUP(B172,Data_source!A:J,3,FALSE)),"")</f>
        <v/>
      </c>
      <c r="G172" s="11" t="str">
        <f t="shared" si="7"/>
        <v/>
      </c>
      <c r="H172" s="12" t="str">
        <f>IF(ISBLANK(B172)=FALSE,IF(VLOOKUP(B172,Data_source!A:J,6,FALSE)="---","",VLOOKUP(B172,Data_source!A:J,6,FALSE)),"")</f>
        <v/>
      </c>
      <c r="I172" s="12" t="str">
        <f t="shared" si="8"/>
        <v/>
      </c>
      <c r="J172" s="46" t="str">
        <f>IF(ISBLANK(B172)=FALSE,IF(VLOOKUP(B172,Data_source!A:J,7,FALSE)=0,"",VLOOKUP(B172,Data_source!A:J,7,FALSE)),"")</f>
        <v/>
      </c>
      <c r="K172" s="46" t="str">
        <f>IF(ISBLANK(B172)=FALSE,IF(VLOOKUP(B172,Data_source!A:J,8,FALSE)=0,"",VLOOKUP(B172,Data_source!A:J,8,FALSE)),"")</f>
        <v/>
      </c>
      <c r="L172" s="46" t="str">
        <f>IF(ISBLANK(B172)=FALSE,IF(VLOOKUP(B172,Data_source!A:J,9,FALSE)=0,"",VLOOKUP(B172,Data_source!A:J,9,FALSE)),"")</f>
        <v/>
      </c>
      <c r="M172" s="23"/>
    </row>
    <row r="173" spans="1:13" x14ac:dyDescent="0.2">
      <c r="A173" s="13">
        <v>162</v>
      </c>
      <c r="B173" s="23"/>
      <c r="C173" s="10" t="str">
        <f>IF($E$5=1,IF(ISBLANK(B173)=FALSE,VLOOKUP(B173,Data_source!A:J,4,FALSE),""),IF(ISBLANK(B173)=FALSE,VLOOKUP(B173,Data_source!A:J,5,FALSE),""))</f>
        <v/>
      </c>
      <c r="D173" s="11" t="str">
        <f>IF(ISBLANK(B173)=FALSE,IF(VLOOKUP(B173,Data_source!A:J,2,FALSE)="---","",VLOOKUP(B173,Data_source!A:J,2,FALSE)),"")</f>
        <v/>
      </c>
      <c r="E173" s="11" t="str">
        <f t="shared" si="6"/>
        <v/>
      </c>
      <c r="F173" s="11" t="str">
        <f>IF(ISBLANK(B173)=FALSE,IF(VLOOKUP(B173,Data_source!A:J,3,FALSE)="---","",VLOOKUP(B173,Data_source!A:J,3,FALSE)),"")</f>
        <v/>
      </c>
      <c r="G173" s="11" t="str">
        <f t="shared" si="7"/>
        <v/>
      </c>
      <c r="H173" s="12" t="str">
        <f>IF(ISBLANK(B173)=FALSE,IF(VLOOKUP(B173,Data_source!A:J,6,FALSE)="---","",VLOOKUP(B173,Data_source!A:J,6,FALSE)),"")</f>
        <v/>
      </c>
      <c r="I173" s="12" t="str">
        <f t="shared" si="8"/>
        <v/>
      </c>
      <c r="J173" s="46" t="str">
        <f>IF(ISBLANK(B173)=FALSE,IF(VLOOKUP(B173,Data_source!A:J,7,FALSE)=0,"",VLOOKUP(B173,Data_source!A:J,7,FALSE)),"")</f>
        <v/>
      </c>
      <c r="K173" s="46" t="str">
        <f>IF(ISBLANK(B173)=FALSE,IF(VLOOKUP(B173,Data_source!A:J,8,FALSE)=0,"",VLOOKUP(B173,Data_source!A:J,8,FALSE)),"")</f>
        <v/>
      </c>
      <c r="L173" s="46" t="str">
        <f>IF(ISBLANK(B173)=FALSE,IF(VLOOKUP(B173,Data_source!A:J,9,FALSE)=0,"",VLOOKUP(B173,Data_source!A:J,9,FALSE)),"")</f>
        <v/>
      </c>
      <c r="M173" s="23"/>
    </row>
    <row r="174" spans="1:13" x14ac:dyDescent="0.2">
      <c r="A174" s="13">
        <v>163</v>
      </c>
      <c r="B174" s="23"/>
      <c r="C174" s="10" t="str">
        <f>IF($E$5=1,IF(ISBLANK(B174)=FALSE,VLOOKUP(B174,Data_source!A:J,4,FALSE),""),IF(ISBLANK(B174)=FALSE,VLOOKUP(B174,Data_source!A:J,5,FALSE),""))</f>
        <v/>
      </c>
      <c r="D174" s="11" t="str">
        <f>IF(ISBLANK(B174)=FALSE,IF(VLOOKUP(B174,Data_source!A:J,2,FALSE)="---","",VLOOKUP(B174,Data_source!A:J,2,FALSE)),"")</f>
        <v/>
      </c>
      <c r="E174" s="11" t="str">
        <f t="shared" si="6"/>
        <v/>
      </c>
      <c r="F174" s="11" t="str">
        <f>IF(ISBLANK(B174)=FALSE,IF(VLOOKUP(B174,Data_source!A:J,3,FALSE)="---","",VLOOKUP(B174,Data_source!A:J,3,FALSE)),"")</f>
        <v/>
      </c>
      <c r="G174" s="11" t="str">
        <f t="shared" si="7"/>
        <v/>
      </c>
      <c r="H174" s="12" t="str">
        <f>IF(ISBLANK(B174)=FALSE,IF(VLOOKUP(B174,Data_source!A:J,6,FALSE)="---","",VLOOKUP(B174,Data_source!A:J,6,FALSE)),"")</f>
        <v/>
      </c>
      <c r="I174" s="12" t="str">
        <f t="shared" si="8"/>
        <v/>
      </c>
      <c r="J174" s="46" t="str">
        <f>IF(ISBLANK(B174)=FALSE,IF(VLOOKUP(B174,Data_source!A:J,7,FALSE)=0,"",VLOOKUP(B174,Data_source!A:J,7,FALSE)),"")</f>
        <v/>
      </c>
      <c r="K174" s="46" t="str">
        <f>IF(ISBLANK(B174)=FALSE,IF(VLOOKUP(B174,Data_source!A:J,8,FALSE)=0,"",VLOOKUP(B174,Data_source!A:J,8,FALSE)),"")</f>
        <v/>
      </c>
      <c r="L174" s="46" t="str">
        <f>IF(ISBLANK(B174)=FALSE,IF(VLOOKUP(B174,Data_source!A:J,9,FALSE)=0,"",VLOOKUP(B174,Data_source!A:J,9,FALSE)),"")</f>
        <v/>
      </c>
      <c r="M174" s="23"/>
    </row>
    <row r="175" spans="1:13" x14ac:dyDescent="0.2">
      <c r="A175" s="13">
        <v>164</v>
      </c>
      <c r="B175" s="23"/>
      <c r="C175" s="10" t="str">
        <f>IF($E$5=1,IF(ISBLANK(B175)=FALSE,VLOOKUP(B175,Data_source!A:J,4,FALSE),""),IF(ISBLANK(B175)=FALSE,VLOOKUP(B175,Data_source!A:J,5,FALSE),""))</f>
        <v/>
      </c>
      <c r="D175" s="11" t="str">
        <f>IF(ISBLANK(B175)=FALSE,IF(VLOOKUP(B175,Data_source!A:J,2,FALSE)="---","",VLOOKUP(B175,Data_source!A:J,2,FALSE)),"")</f>
        <v/>
      </c>
      <c r="E175" s="11" t="str">
        <f t="shared" si="6"/>
        <v/>
      </c>
      <c r="F175" s="11" t="str">
        <f>IF(ISBLANK(B175)=FALSE,IF(VLOOKUP(B175,Data_source!A:J,3,FALSE)="---","",VLOOKUP(B175,Data_source!A:J,3,FALSE)),"")</f>
        <v/>
      </c>
      <c r="G175" s="11" t="str">
        <f t="shared" si="7"/>
        <v/>
      </c>
      <c r="H175" s="12" t="str">
        <f>IF(ISBLANK(B175)=FALSE,IF(VLOOKUP(B175,Data_source!A:J,6,FALSE)="---","",VLOOKUP(B175,Data_source!A:J,6,FALSE)),"")</f>
        <v/>
      </c>
      <c r="I175" s="12" t="str">
        <f t="shared" si="8"/>
        <v/>
      </c>
      <c r="J175" s="46" t="str">
        <f>IF(ISBLANK(B175)=FALSE,IF(VLOOKUP(B175,Data_source!A:J,7,FALSE)=0,"",VLOOKUP(B175,Data_source!A:J,7,FALSE)),"")</f>
        <v/>
      </c>
      <c r="K175" s="46" t="str">
        <f>IF(ISBLANK(B175)=FALSE,IF(VLOOKUP(B175,Data_source!A:J,8,FALSE)=0,"",VLOOKUP(B175,Data_source!A:J,8,FALSE)),"")</f>
        <v/>
      </c>
      <c r="L175" s="46" t="str">
        <f>IF(ISBLANK(B175)=FALSE,IF(VLOOKUP(B175,Data_source!A:J,9,FALSE)=0,"",VLOOKUP(B175,Data_source!A:J,9,FALSE)),"")</f>
        <v/>
      </c>
      <c r="M175" s="23"/>
    </row>
    <row r="176" spans="1:13" x14ac:dyDescent="0.2">
      <c r="A176" s="13">
        <v>165</v>
      </c>
      <c r="B176" s="23"/>
      <c r="C176" s="10" t="str">
        <f>IF($E$5=1,IF(ISBLANK(B176)=FALSE,VLOOKUP(B176,Data_source!A:J,4,FALSE),""),IF(ISBLANK(B176)=FALSE,VLOOKUP(B176,Data_source!A:J,5,FALSE),""))</f>
        <v/>
      </c>
      <c r="D176" s="11" t="str">
        <f>IF(ISBLANK(B176)=FALSE,IF(VLOOKUP(B176,Data_source!A:J,2,FALSE)="---","",VLOOKUP(B176,Data_source!A:J,2,FALSE)),"")</f>
        <v/>
      </c>
      <c r="E176" s="11" t="str">
        <f t="shared" si="6"/>
        <v/>
      </c>
      <c r="F176" s="11" t="str">
        <f>IF(ISBLANK(B176)=FALSE,IF(VLOOKUP(B176,Data_source!A:J,3,FALSE)="---","",VLOOKUP(B176,Data_source!A:J,3,FALSE)),"")</f>
        <v/>
      </c>
      <c r="G176" s="11" t="str">
        <f t="shared" si="7"/>
        <v/>
      </c>
      <c r="H176" s="12" t="str">
        <f>IF(ISBLANK(B176)=FALSE,IF(VLOOKUP(B176,Data_source!A:J,6,FALSE)="---","",VLOOKUP(B176,Data_source!A:J,6,FALSE)),"")</f>
        <v/>
      </c>
      <c r="I176" s="12" t="str">
        <f t="shared" si="8"/>
        <v/>
      </c>
      <c r="J176" s="46" t="str">
        <f>IF(ISBLANK(B176)=FALSE,IF(VLOOKUP(B176,Data_source!A:J,7,FALSE)=0,"",VLOOKUP(B176,Data_source!A:J,7,FALSE)),"")</f>
        <v/>
      </c>
      <c r="K176" s="46" t="str">
        <f>IF(ISBLANK(B176)=FALSE,IF(VLOOKUP(B176,Data_source!A:J,8,FALSE)=0,"",VLOOKUP(B176,Data_source!A:J,8,FALSE)),"")</f>
        <v/>
      </c>
      <c r="L176" s="46" t="str">
        <f>IF(ISBLANK(B176)=FALSE,IF(VLOOKUP(B176,Data_source!A:J,9,FALSE)=0,"",VLOOKUP(B176,Data_source!A:J,9,FALSE)),"")</f>
        <v/>
      </c>
      <c r="M176" s="23"/>
    </row>
    <row r="177" spans="1:13" x14ac:dyDescent="0.2">
      <c r="A177" s="13">
        <v>166</v>
      </c>
      <c r="B177" s="23"/>
      <c r="C177" s="10" t="str">
        <f>IF($E$5=1,IF(ISBLANK(B177)=FALSE,VLOOKUP(B177,Data_source!A:J,4,FALSE),""),IF(ISBLANK(B177)=FALSE,VLOOKUP(B177,Data_source!A:J,5,FALSE),""))</f>
        <v/>
      </c>
      <c r="D177" s="11" t="str">
        <f>IF(ISBLANK(B177)=FALSE,IF(VLOOKUP(B177,Data_source!A:J,2,FALSE)="---","",VLOOKUP(B177,Data_source!A:J,2,FALSE)),"")</f>
        <v/>
      </c>
      <c r="E177" s="11" t="str">
        <f t="shared" si="6"/>
        <v/>
      </c>
      <c r="F177" s="11" t="str">
        <f>IF(ISBLANK(B177)=FALSE,IF(VLOOKUP(B177,Data_source!A:J,3,FALSE)="---","",VLOOKUP(B177,Data_source!A:J,3,FALSE)),"")</f>
        <v/>
      </c>
      <c r="G177" s="11" t="str">
        <f t="shared" si="7"/>
        <v/>
      </c>
      <c r="H177" s="12" t="str">
        <f>IF(ISBLANK(B177)=FALSE,IF(VLOOKUP(B177,Data_source!A:J,6,FALSE)="---","",VLOOKUP(B177,Data_source!A:J,6,FALSE)),"")</f>
        <v/>
      </c>
      <c r="I177" s="12" t="str">
        <f t="shared" si="8"/>
        <v/>
      </c>
      <c r="J177" s="46" t="str">
        <f>IF(ISBLANK(B177)=FALSE,IF(VLOOKUP(B177,Data_source!A:J,7,FALSE)=0,"",VLOOKUP(B177,Data_source!A:J,7,FALSE)),"")</f>
        <v/>
      </c>
      <c r="K177" s="46" t="str">
        <f>IF(ISBLANK(B177)=FALSE,IF(VLOOKUP(B177,Data_source!A:J,8,FALSE)=0,"",VLOOKUP(B177,Data_source!A:J,8,FALSE)),"")</f>
        <v/>
      </c>
      <c r="L177" s="46" t="str">
        <f>IF(ISBLANK(B177)=FALSE,IF(VLOOKUP(B177,Data_source!A:J,9,FALSE)=0,"",VLOOKUP(B177,Data_source!A:J,9,FALSE)),"")</f>
        <v/>
      </c>
      <c r="M177" s="23"/>
    </row>
    <row r="178" spans="1:13" x14ac:dyDescent="0.2">
      <c r="A178" s="13">
        <v>167</v>
      </c>
      <c r="B178" s="23"/>
      <c r="C178" s="10" t="str">
        <f>IF($E$5=1,IF(ISBLANK(B178)=FALSE,VLOOKUP(B178,Data_source!A:J,4,FALSE),""),IF(ISBLANK(B178)=FALSE,VLOOKUP(B178,Data_source!A:J,5,FALSE),""))</f>
        <v/>
      </c>
      <c r="D178" s="11" t="str">
        <f>IF(ISBLANK(B178)=FALSE,IF(VLOOKUP(B178,Data_source!A:J,2,FALSE)="---","",VLOOKUP(B178,Data_source!A:J,2,FALSE)),"")</f>
        <v/>
      </c>
      <c r="E178" s="11" t="str">
        <f t="shared" si="6"/>
        <v/>
      </c>
      <c r="F178" s="11" t="str">
        <f>IF(ISBLANK(B178)=FALSE,IF(VLOOKUP(B178,Data_source!A:J,3,FALSE)="---","",VLOOKUP(B178,Data_source!A:J,3,FALSE)),"")</f>
        <v/>
      </c>
      <c r="G178" s="11" t="str">
        <f t="shared" si="7"/>
        <v/>
      </c>
      <c r="H178" s="12" t="str">
        <f>IF(ISBLANK(B178)=FALSE,IF(VLOOKUP(B178,Data_source!A:J,6,FALSE)="---","",VLOOKUP(B178,Data_source!A:J,6,FALSE)),"")</f>
        <v/>
      </c>
      <c r="I178" s="12" t="str">
        <f t="shared" si="8"/>
        <v/>
      </c>
      <c r="J178" s="46" t="str">
        <f>IF(ISBLANK(B178)=FALSE,IF(VLOOKUP(B178,Data_source!A:J,7,FALSE)=0,"",VLOOKUP(B178,Data_source!A:J,7,FALSE)),"")</f>
        <v/>
      </c>
      <c r="K178" s="46" t="str">
        <f>IF(ISBLANK(B178)=FALSE,IF(VLOOKUP(B178,Data_source!A:J,8,FALSE)=0,"",VLOOKUP(B178,Data_source!A:J,8,FALSE)),"")</f>
        <v/>
      </c>
      <c r="L178" s="46" t="str">
        <f>IF(ISBLANK(B178)=FALSE,IF(VLOOKUP(B178,Data_source!A:J,9,FALSE)=0,"",VLOOKUP(B178,Data_source!A:J,9,FALSE)),"")</f>
        <v/>
      </c>
      <c r="M178" s="23"/>
    </row>
    <row r="179" spans="1:13" x14ac:dyDescent="0.2">
      <c r="A179" s="13">
        <v>168</v>
      </c>
      <c r="B179" s="23"/>
      <c r="C179" s="10" t="str">
        <f>IF($E$5=1,IF(ISBLANK(B179)=FALSE,VLOOKUP(B179,Data_source!A:J,4,FALSE),""),IF(ISBLANK(B179)=FALSE,VLOOKUP(B179,Data_source!A:J,5,FALSE),""))</f>
        <v/>
      </c>
      <c r="D179" s="11" t="str">
        <f>IF(ISBLANK(B179)=FALSE,IF(VLOOKUP(B179,Data_source!A:J,2,FALSE)="---","",VLOOKUP(B179,Data_source!A:J,2,FALSE)),"")</f>
        <v/>
      </c>
      <c r="E179" s="11" t="str">
        <f t="shared" si="6"/>
        <v/>
      </c>
      <c r="F179" s="11" t="str">
        <f>IF(ISBLANK(B179)=FALSE,IF(VLOOKUP(B179,Data_source!A:J,3,FALSE)="---","",VLOOKUP(B179,Data_source!A:J,3,FALSE)),"")</f>
        <v/>
      </c>
      <c r="G179" s="11" t="str">
        <f t="shared" si="7"/>
        <v/>
      </c>
      <c r="H179" s="12" t="str">
        <f>IF(ISBLANK(B179)=FALSE,IF(VLOOKUP(B179,Data_source!A:J,6,FALSE)="---","",VLOOKUP(B179,Data_source!A:J,6,FALSE)),"")</f>
        <v/>
      </c>
      <c r="I179" s="12" t="str">
        <f t="shared" si="8"/>
        <v/>
      </c>
      <c r="J179" s="46" t="str">
        <f>IF(ISBLANK(B179)=FALSE,IF(VLOOKUP(B179,Data_source!A:J,7,FALSE)=0,"",VLOOKUP(B179,Data_source!A:J,7,FALSE)),"")</f>
        <v/>
      </c>
      <c r="K179" s="46" t="str">
        <f>IF(ISBLANK(B179)=FALSE,IF(VLOOKUP(B179,Data_source!A:J,8,FALSE)=0,"",VLOOKUP(B179,Data_source!A:J,8,FALSE)),"")</f>
        <v/>
      </c>
      <c r="L179" s="46" t="str">
        <f>IF(ISBLANK(B179)=FALSE,IF(VLOOKUP(B179,Data_source!A:J,9,FALSE)=0,"",VLOOKUP(B179,Data_source!A:J,9,FALSE)),"")</f>
        <v/>
      </c>
      <c r="M179" s="23"/>
    </row>
    <row r="180" spans="1:13" x14ac:dyDescent="0.2">
      <c r="A180" s="13">
        <v>169</v>
      </c>
      <c r="B180" s="23"/>
      <c r="C180" s="10" t="str">
        <f>IF($E$5=1,IF(ISBLANK(B180)=FALSE,VLOOKUP(B180,Data_source!A:J,4,FALSE),""),IF(ISBLANK(B180)=FALSE,VLOOKUP(B180,Data_source!A:J,5,FALSE),""))</f>
        <v/>
      </c>
      <c r="D180" s="11" t="str">
        <f>IF(ISBLANK(B180)=FALSE,IF(VLOOKUP(B180,Data_source!A:J,2,FALSE)="---","",VLOOKUP(B180,Data_source!A:J,2,FALSE)),"")</f>
        <v/>
      </c>
      <c r="E180" s="11" t="str">
        <f t="shared" si="6"/>
        <v/>
      </c>
      <c r="F180" s="11" t="str">
        <f>IF(ISBLANK(B180)=FALSE,IF(VLOOKUP(B180,Data_source!A:J,3,FALSE)="---","",VLOOKUP(B180,Data_source!A:J,3,FALSE)),"")</f>
        <v/>
      </c>
      <c r="G180" s="11" t="str">
        <f t="shared" si="7"/>
        <v/>
      </c>
      <c r="H180" s="12" t="str">
        <f>IF(ISBLANK(B180)=FALSE,IF(VLOOKUP(B180,Data_source!A:J,6,FALSE)="---","",VLOOKUP(B180,Data_source!A:J,6,FALSE)),"")</f>
        <v/>
      </c>
      <c r="I180" s="12" t="str">
        <f t="shared" si="8"/>
        <v/>
      </c>
      <c r="J180" s="46" t="str">
        <f>IF(ISBLANK(B180)=FALSE,IF(VLOOKUP(B180,Data_source!A:J,7,FALSE)=0,"",VLOOKUP(B180,Data_source!A:J,7,FALSE)),"")</f>
        <v/>
      </c>
      <c r="K180" s="46" t="str">
        <f>IF(ISBLANK(B180)=FALSE,IF(VLOOKUP(B180,Data_source!A:J,8,FALSE)=0,"",VLOOKUP(B180,Data_source!A:J,8,FALSE)),"")</f>
        <v/>
      </c>
      <c r="L180" s="46" t="str">
        <f>IF(ISBLANK(B180)=FALSE,IF(VLOOKUP(B180,Data_source!A:J,9,FALSE)=0,"",VLOOKUP(B180,Data_source!A:J,9,FALSE)),"")</f>
        <v/>
      </c>
      <c r="M180" s="23"/>
    </row>
    <row r="181" spans="1:13" x14ac:dyDescent="0.2">
      <c r="A181" s="13">
        <v>170</v>
      </c>
      <c r="B181" s="23"/>
      <c r="C181" s="10" t="str">
        <f>IF($E$5=1,IF(ISBLANK(B181)=FALSE,VLOOKUP(B181,Data_source!A:J,4,FALSE),""),IF(ISBLANK(B181)=FALSE,VLOOKUP(B181,Data_source!A:J,5,FALSE),""))</f>
        <v/>
      </c>
      <c r="D181" s="11" t="str">
        <f>IF(ISBLANK(B181)=FALSE,IF(VLOOKUP(B181,Data_source!A:J,2,FALSE)="---","",VLOOKUP(B181,Data_source!A:J,2,FALSE)),"")</f>
        <v/>
      </c>
      <c r="E181" s="11" t="str">
        <f t="shared" si="6"/>
        <v/>
      </c>
      <c r="F181" s="11" t="str">
        <f>IF(ISBLANK(B181)=FALSE,IF(VLOOKUP(B181,Data_source!A:J,3,FALSE)="---","",VLOOKUP(B181,Data_source!A:J,3,FALSE)),"")</f>
        <v/>
      </c>
      <c r="G181" s="11" t="str">
        <f t="shared" si="7"/>
        <v/>
      </c>
      <c r="H181" s="12" t="str">
        <f>IF(ISBLANK(B181)=FALSE,IF(VLOOKUP(B181,Data_source!A:J,6,FALSE)="---","",VLOOKUP(B181,Data_source!A:J,6,FALSE)),"")</f>
        <v/>
      </c>
      <c r="I181" s="12" t="str">
        <f t="shared" si="8"/>
        <v/>
      </c>
      <c r="J181" s="46" t="str">
        <f>IF(ISBLANK(B181)=FALSE,IF(VLOOKUP(B181,Data_source!A:J,7,FALSE)=0,"",VLOOKUP(B181,Data_source!A:J,7,FALSE)),"")</f>
        <v/>
      </c>
      <c r="K181" s="46" t="str">
        <f>IF(ISBLANK(B181)=FALSE,IF(VLOOKUP(B181,Data_source!A:J,8,FALSE)=0,"",VLOOKUP(B181,Data_source!A:J,8,FALSE)),"")</f>
        <v/>
      </c>
      <c r="L181" s="46" t="str">
        <f>IF(ISBLANK(B181)=FALSE,IF(VLOOKUP(B181,Data_source!A:J,9,FALSE)=0,"",VLOOKUP(B181,Data_source!A:J,9,FALSE)),"")</f>
        <v/>
      </c>
      <c r="M181" s="23"/>
    </row>
    <row r="182" spans="1:13" x14ac:dyDescent="0.2">
      <c r="A182" s="13">
        <v>171</v>
      </c>
      <c r="B182" s="23"/>
      <c r="C182" s="10" t="str">
        <f>IF($E$5=1,IF(ISBLANK(B182)=FALSE,VLOOKUP(B182,Data_source!A:J,4,FALSE),""),IF(ISBLANK(B182)=FALSE,VLOOKUP(B182,Data_source!A:J,5,FALSE),""))</f>
        <v/>
      </c>
      <c r="D182" s="11" t="str">
        <f>IF(ISBLANK(B182)=FALSE,IF(VLOOKUP(B182,Data_source!A:J,2,FALSE)="---","",VLOOKUP(B182,Data_source!A:J,2,FALSE)),"")</f>
        <v/>
      </c>
      <c r="E182" s="11" t="str">
        <f t="shared" si="6"/>
        <v/>
      </c>
      <c r="F182" s="11" t="str">
        <f>IF(ISBLANK(B182)=FALSE,IF(VLOOKUP(B182,Data_source!A:J,3,FALSE)="---","",VLOOKUP(B182,Data_source!A:J,3,FALSE)),"")</f>
        <v/>
      </c>
      <c r="G182" s="11" t="str">
        <f t="shared" si="7"/>
        <v/>
      </c>
      <c r="H182" s="12" t="str">
        <f>IF(ISBLANK(B182)=FALSE,IF(VLOOKUP(B182,Data_source!A:J,6,FALSE)="---","",VLOOKUP(B182,Data_source!A:J,6,FALSE)),"")</f>
        <v/>
      </c>
      <c r="I182" s="12" t="str">
        <f t="shared" si="8"/>
        <v/>
      </c>
      <c r="J182" s="46" t="str">
        <f>IF(ISBLANK(B182)=FALSE,IF(VLOOKUP(B182,Data_source!A:J,7,FALSE)=0,"",VLOOKUP(B182,Data_source!A:J,7,FALSE)),"")</f>
        <v/>
      </c>
      <c r="K182" s="46" t="str">
        <f>IF(ISBLANK(B182)=FALSE,IF(VLOOKUP(B182,Data_source!A:J,8,FALSE)=0,"",VLOOKUP(B182,Data_source!A:J,8,FALSE)),"")</f>
        <v/>
      </c>
      <c r="L182" s="46" t="str">
        <f>IF(ISBLANK(B182)=FALSE,IF(VLOOKUP(B182,Data_source!A:J,9,FALSE)=0,"",VLOOKUP(B182,Data_source!A:J,9,FALSE)),"")</f>
        <v/>
      </c>
      <c r="M182" s="23"/>
    </row>
    <row r="183" spans="1:13" x14ac:dyDescent="0.2">
      <c r="A183" s="13">
        <v>172</v>
      </c>
      <c r="B183" s="23"/>
      <c r="C183" s="10" t="str">
        <f>IF($E$5=1,IF(ISBLANK(B183)=FALSE,VLOOKUP(B183,Data_source!A:J,4,FALSE),""),IF(ISBLANK(B183)=FALSE,VLOOKUP(B183,Data_source!A:J,5,FALSE),""))</f>
        <v/>
      </c>
      <c r="D183" s="11" t="str">
        <f>IF(ISBLANK(B183)=FALSE,IF(VLOOKUP(B183,Data_source!A:J,2,FALSE)="---","",VLOOKUP(B183,Data_source!A:J,2,FALSE)),"")</f>
        <v/>
      </c>
      <c r="E183" s="11" t="str">
        <f t="shared" si="6"/>
        <v/>
      </c>
      <c r="F183" s="11" t="str">
        <f>IF(ISBLANK(B183)=FALSE,IF(VLOOKUP(B183,Data_source!A:J,3,FALSE)="---","",VLOOKUP(B183,Data_source!A:J,3,FALSE)),"")</f>
        <v/>
      </c>
      <c r="G183" s="11" t="str">
        <f t="shared" si="7"/>
        <v/>
      </c>
      <c r="H183" s="12" t="str">
        <f>IF(ISBLANK(B183)=FALSE,IF(VLOOKUP(B183,Data_source!A:J,6,FALSE)="---","",VLOOKUP(B183,Data_source!A:J,6,FALSE)),"")</f>
        <v/>
      </c>
      <c r="I183" s="12" t="str">
        <f t="shared" si="8"/>
        <v/>
      </c>
      <c r="J183" s="46" t="str">
        <f>IF(ISBLANK(B183)=FALSE,IF(VLOOKUP(B183,Data_source!A:J,7,FALSE)=0,"",VLOOKUP(B183,Data_source!A:J,7,FALSE)),"")</f>
        <v/>
      </c>
      <c r="K183" s="46" t="str">
        <f>IF(ISBLANK(B183)=FALSE,IF(VLOOKUP(B183,Data_source!A:J,8,FALSE)=0,"",VLOOKUP(B183,Data_source!A:J,8,FALSE)),"")</f>
        <v/>
      </c>
      <c r="L183" s="46" t="str">
        <f>IF(ISBLANK(B183)=FALSE,IF(VLOOKUP(B183,Data_source!A:J,9,FALSE)=0,"",VLOOKUP(B183,Data_source!A:J,9,FALSE)),"")</f>
        <v/>
      </c>
      <c r="M183" s="23"/>
    </row>
    <row r="184" spans="1:13" x14ac:dyDescent="0.2">
      <c r="A184" s="13">
        <v>173</v>
      </c>
      <c r="B184" s="23"/>
      <c r="C184" s="10" t="str">
        <f>IF($E$5=1,IF(ISBLANK(B184)=FALSE,VLOOKUP(B184,Data_source!A:J,4,FALSE),""),IF(ISBLANK(B184)=FALSE,VLOOKUP(B184,Data_source!A:J,5,FALSE),""))</f>
        <v/>
      </c>
      <c r="D184" s="11" t="str">
        <f>IF(ISBLANK(B184)=FALSE,IF(VLOOKUP(B184,Data_source!A:J,2,FALSE)="---","",VLOOKUP(B184,Data_source!A:J,2,FALSE)),"")</f>
        <v/>
      </c>
      <c r="E184" s="11" t="str">
        <f t="shared" si="6"/>
        <v/>
      </c>
      <c r="F184" s="11" t="str">
        <f>IF(ISBLANK(B184)=FALSE,IF(VLOOKUP(B184,Data_source!A:J,3,FALSE)="---","",VLOOKUP(B184,Data_source!A:J,3,FALSE)),"")</f>
        <v/>
      </c>
      <c r="G184" s="11" t="str">
        <f t="shared" si="7"/>
        <v/>
      </c>
      <c r="H184" s="12" t="str">
        <f>IF(ISBLANK(B184)=FALSE,IF(VLOOKUP(B184,Data_source!A:J,6,FALSE)="---","",VLOOKUP(B184,Data_source!A:J,6,FALSE)),"")</f>
        <v/>
      </c>
      <c r="I184" s="12" t="str">
        <f t="shared" si="8"/>
        <v/>
      </c>
      <c r="J184" s="46" t="str">
        <f>IF(ISBLANK(B184)=FALSE,IF(VLOOKUP(B184,Data_source!A:J,7,FALSE)=0,"",VLOOKUP(B184,Data_source!A:J,7,FALSE)),"")</f>
        <v/>
      </c>
      <c r="K184" s="46" t="str">
        <f>IF(ISBLANK(B184)=FALSE,IF(VLOOKUP(B184,Data_source!A:J,8,FALSE)=0,"",VLOOKUP(B184,Data_source!A:J,8,FALSE)),"")</f>
        <v/>
      </c>
      <c r="L184" s="46" t="str">
        <f>IF(ISBLANK(B184)=FALSE,IF(VLOOKUP(B184,Data_source!A:J,9,FALSE)=0,"",VLOOKUP(B184,Data_source!A:J,9,FALSE)),"")</f>
        <v/>
      </c>
      <c r="M184" s="23"/>
    </row>
    <row r="185" spans="1:13" x14ac:dyDescent="0.2">
      <c r="A185" s="13">
        <v>174</v>
      </c>
      <c r="B185" s="23"/>
      <c r="C185" s="10" t="str">
        <f>IF($E$5=1,IF(ISBLANK(B185)=FALSE,VLOOKUP(B185,Data_source!A:J,4,FALSE),""),IF(ISBLANK(B185)=FALSE,VLOOKUP(B185,Data_source!A:J,5,FALSE),""))</f>
        <v/>
      </c>
      <c r="D185" s="11" t="str">
        <f>IF(ISBLANK(B185)=FALSE,IF(VLOOKUP(B185,Data_source!A:J,2,FALSE)="---","",VLOOKUP(B185,Data_source!A:J,2,FALSE)),"")</f>
        <v/>
      </c>
      <c r="E185" s="11" t="str">
        <f t="shared" si="6"/>
        <v/>
      </c>
      <c r="F185" s="11" t="str">
        <f>IF(ISBLANK(B185)=FALSE,IF(VLOOKUP(B185,Data_source!A:J,3,FALSE)="---","",VLOOKUP(B185,Data_source!A:J,3,FALSE)),"")</f>
        <v/>
      </c>
      <c r="G185" s="11" t="str">
        <f t="shared" si="7"/>
        <v/>
      </c>
      <c r="H185" s="12" t="str">
        <f>IF(ISBLANK(B185)=FALSE,IF(VLOOKUP(B185,Data_source!A:J,6,FALSE)="---","",VLOOKUP(B185,Data_source!A:J,6,FALSE)),"")</f>
        <v/>
      </c>
      <c r="I185" s="12" t="str">
        <f t="shared" si="8"/>
        <v/>
      </c>
      <c r="J185" s="46" t="str">
        <f>IF(ISBLANK(B185)=FALSE,IF(VLOOKUP(B185,Data_source!A:J,7,FALSE)=0,"",VLOOKUP(B185,Data_source!A:J,7,FALSE)),"")</f>
        <v/>
      </c>
      <c r="K185" s="46" t="str">
        <f>IF(ISBLANK(B185)=FALSE,IF(VLOOKUP(B185,Data_source!A:J,8,FALSE)=0,"",VLOOKUP(B185,Data_source!A:J,8,FALSE)),"")</f>
        <v/>
      </c>
      <c r="L185" s="46" t="str">
        <f>IF(ISBLANK(B185)=FALSE,IF(VLOOKUP(B185,Data_source!A:J,9,FALSE)=0,"",VLOOKUP(B185,Data_source!A:J,9,FALSE)),"")</f>
        <v/>
      </c>
      <c r="M185" s="23"/>
    </row>
    <row r="186" spans="1:13" x14ac:dyDescent="0.2">
      <c r="A186" s="13">
        <v>175</v>
      </c>
      <c r="B186" s="23"/>
      <c r="C186" s="10" t="str">
        <f>IF($E$5=1,IF(ISBLANK(B186)=FALSE,VLOOKUP(B186,Data_source!A:J,4,FALSE),""),IF(ISBLANK(B186)=FALSE,VLOOKUP(B186,Data_source!A:J,5,FALSE),""))</f>
        <v/>
      </c>
      <c r="D186" s="11" t="str">
        <f>IF(ISBLANK(B186)=FALSE,IF(VLOOKUP(B186,Data_source!A:J,2,FALSE)="---","",VLOOKUP(B186,Data_source!A:J,2,FALSE)),"")</f>
        <v/>
      </c>
      <c r="E186" s="11" t="str">
        <f t="shared" si="6"/>
        <v/>
      </c>
      <c r="F186" s="11" t="str">
        <f>IF(ISBLANK(B186)=FALSE,IF(VLOOKUP(B186,Data_source!A:J,3,FALSE)="---","",VLOOKUP(B186,Data_source!A:J,3,FALSE)),"")</f>
        <v/>
      </c>
      <c r="G186" s="11" t="str">
        <f t="shared" si="7"/>
        <v/>
      </c>
      <c r="H186" s="12" t="str">
        <f>IF(ISBLANK(B186)=FALSE,IF(VLOOKUP(B186,Data_source!A:J,6,FALSE)="---","",VLOOKUP(B186,Data_source!A:J,6,FALSE)),"")</f>
        <v/>
      </c>
      <c r="I186" s="12" t="str">
        <f t="shared" si="8"/>
        <v/>
      </c>
      <c r="J186" s="46" t="str">
        <f>IF(ISBLANK(B186)=FALSE,IF(VLOOKUP(B186,Data_source!A:J,7,FALSE)=0,"",VLOOKUP(B186,Data_source!A:J,7,FALSE)),"")</f>
        <v/>
      </c>
      <c r="K186" s="46" t="str">
        <f>IF(ISBLANK(B186)=FALSE,IF(VLOOKUP(B186,Data_source!A:J,8,FALSE)=0,"",VLOOKUP(B186,Data_source!A:J,8,FALSE)),"")</f>
        <v/>
      </c>
      <c r="L186" s="46" t="str">
        <f>IF(ISBLANK(B186)=FALSE,IF(VLOOKUP(B186,Data_source!A:J,9,FALSE)=0,"",VLOOKUP(B186,Data_source!A:J,9,FALSE)),"")</f>
        <v/>
      </c>
      <c r="M186" s="23"/>
    </row>
    <row r="187" spans="1:13" x14ac:dyDescent="0.2">
      <c r="A187" s="13">
        <v>176</v>
      </c>
      <c r="B187" s="23"/>
      <c r="C187" s="10" t="str">
        <f>IF($E$5=1,IF(ISBLANK(B187)=FALSE,VLOOKUP(B187,Data_source!A:J,4,FALSE),""),IF(ISBLANK(B187)=FALSE,VLOOKUP(B187,Data_source!A:J,5,FALSE),""))</f>
        <v/>
      </c>
      <c r="D187" s="11" t="str">
        <f>IF(ISBLANK(B187)=FALSE,IF(VLOOKUP(B187,Data_source!A:J,2,FALSE)="---","",VLOOKUP(B187,Data_source!A:J,2,FALSE)),"")</f>
        <v/>
      </c>
      <c r="E187" s="11" t="str">
        <f t="shared" si="6"/>
        <v/>
      </c>
      <c r="F187" s="11" t="str">
        <f>IF(ISBLANK(B187)=FALSE,IF(VLOOKUP(B187,Data_source!A:J,3,FALSE)="---","",VLOOKUP(B187,Data_source!A:J,3,FALSE)),"")</f>
        <v/>
      </c>
      <c r="G187" s="11" t="str">
        <f t="shared" si="7"/>
        <v/>
      </c>
      <c r="H187" s="12" t="str">
        <f>IF(ISBLANK(B187)=FALSE,IF(VLOOKUP(B187,Data_source!A:J,6,FALSE)="---","",VLOOKUP(B187,Data_source!A:J,6,FALSE)),"")</f>
        <v/>
      </c>
      <c r="I187" s="12" t="str">
        <f t="shared" si="8"/>
        <v/>
      </c>
      <c r="J187" s="46" t="str">
        <f>IF(ISBLANK(B187)=FALSE,IF(VLOOKUP(B187,Data_source!A:J,7,FALSE)=0,"",VLOOKUP(B187,Data_source!A:J,7,FALSE)),"")</f>
        <v/>
      </c>
      <c r="K187" s="46" t="str">
        <f>IF(ISBLANK(B187)=FALSE,IF(VLOOKUP(B187,Data_source!A:J,8,FALSE)=0,"",VLOOKUP(B187,Data_source!A:J,8,FALSE)),"")</f>
        <v/>
      </c>
      <c r="L187" s="46" t="str">
        <f>IF(ISBLANK(B187)=FALSE,IF(VLOOKUP(B187,Data_source!A:J,9,FALSE)=0,"",VLOOKUP(B187,Data_source!A:J,9,FALSE)),"")</f>
        <v/>
      </c>
      <c r="M187" s="23"/>
    </row>
    <row r="188" spans="1:13" x14ac:dyDescent="0.2">
      <c r="A188" s="13">
        <v>177</v>
      </c>
      <c r="B188" s="23"/>
      <c r="C188" s="10" t="str">
        <f>IF($E$5=1,IF(ISBLANK(B188)=FALSE,VLOOKUP(B188,Data_source!A:J,4,FALSE),""),IF(ISBLANK(B188)=FALSE,VLOOKUP(B188,Data_source!A:J,5,FALSE),""))</f>
        <v/>
      </c>
      <c r="D188" s="11" t="str">
        <f>IF(ISBLANK(B188)=FALSE,IF(VLOOKUP(B188,Data_source!A:J,2,FALSE)="---","",VLOOKUP(B188,Data_source!A:J,2,FALSE)),"")</f>
        <v/>
      </c>
      <c r="E188" s="11" t="str">
        <f t="shared" si="6"/>
        <v/>
      </c>
      <c r="F188" s="11" t="str">
        <f>IF(ISBLANK(B188)=FALSE,IF(VLOOKUP(B188,Data_source!A:J,3,FALSE)="---","",VLOOKUP(B188,Data_source!A:J,3,FALSE)),"")</f>
        <v/>
      </c>
      <c r="G188" s="11" t="str">
        <f t="shared" si="7"/>
        <v/>
      </c>
      <c r="H188" s="12" t="str">
        <f>IF(ISBLANK(B188)=FALSE,IF(VLOOKUP(B188,Data_source!A:J,6,FALSE)="---","",VLOOKUP(B188,Data_source!A:J,6,FALSE)),"")</f>
        <v/>
      </c>
      <c r="I188" s="12" t="str">
        <f t="shared" si="8"/>
        <v/>
      </c>
      <c r="J188" s="46" t="str">
        <f>IF(ISBLANK(B188)=FALSE,IF(VLOOKUP(B188,Data_source!A:J,7,FALSE)=0,"",VLOOKUP(B188,Data_source!A:J,7,FALSE)),"")</f>
        <v/>
      </c>
      <c r="K188" s="46" t="str">
        <f>IF(ISBLANK(B188)=FALSE,IF(VLOOKUP(B188,Data_source!A:J,8,FALSE)=0,"",VLOOKUP(B188,Data_source!A:J,8,FALSE)),"")</f>
        <v/>
      </c>
      <c r="L188" s="46" t="str">
        <f>IF(ISBLANK(B188)=FALSE,IF(VLOOKUP(B188,Data_source!A:J,9,FALSE)=0,"",VLOOKUP(B188,Data_source!A:J,9,FALSE)),"")</f>
        <v/>
      </c>
      <c r="M188" s="23"/>
    </row>
    <row r="189" spans="1:13" x14ac:dyDescent="0.2">
      <c r="A189" s="13">
        <v>178</v>
      </c>
      <c r="B189" s="23"/>
      <c r="C189" s="10" t="str">
        <f>IF($E$5=1,IF(ISBLANK(B189)=FALSE,VLOOKUP(B189,Data_source!A:J,4,FALSE),""),IF(ISBLANK(B189)=FALSE,VLOOKUP(B189,Data_source!A:J,5,FALSE),""))</f>
        <v/>
      </c>
      <c r="D189" s="11" t="str">
        <f>IF(ISBLANK(B189)=FALSE,IF(VLOOKUP(B189,Data_source!A:J,2,FALSE)="---","",VLOOKUP(B189,Data_source!A:J,2,FALSE)),"")</f>
        <v/>
      </c>
      <c r="E189" s="11" t="str">
        <f t="shared" si="6"/>
        <v/>
      </c>
      <c r="F189" s="11" t="str">
        <f>IF(ISBLANK(B189)=FALSE,IF(VLOOKUP(B189,Data_source!A:J,3,FALSE)="---","",VLOOKUP(B189,Data_source!A:J,3,FALSE)),"")</f>
        <v/>
      </c>
      <c r="G189" s="11" t="str">
        <f t="shared" si="7"/>
        <v/>
      </c>
      <c r="H189" s="12" t="str">
        <f>IF(ISBLANK(B189)=FALSE,IF(VLOOKUP(B189,Data_source!A:J,6,FALSE)="---","",VLOOKUP(B189,Data_source!A:J,6,FALSE)),"")</f>
        <v/>
      </c>
      <c r="I189" s="12" t="str">
        <f t="shared" si="8"/>
        <v/>
      </c>
      <c r="J189" s="46" t="str">
        <f>IF(ISBLANK(B189)=FALSE,IF(VLOOKUP(B189,Data_source!A:J,7,FALSE)=0,"",VLOOKUP(B189,Data_source!A:J,7,FALSE)),"")</f>
        <v/>
      </c>
      <c r="K189" s="46" t="str">
        <f>IF(ISBLANK(B189)=FALSE,IF(VLOOKUP(B189,Data_source!A:J,8,FALSE)=0,"",VLOOKUP(B189,Data_source!A:J,8,FALSE)),"")</f>
        <v/>
      </c>
      <c r="L189" s="46" t="str">
        <f>IF(ISBLANK(B189)=FALSE,IF(VLOOKUP(B189,Data_source!A:J,9,FALSE)=0,"",VLOOKUP(B189,Data_source!A:J,9,FALSE)),"")</f>
        <v/>
      </c>
      <c r="M189" s="23"/>
    </row>
    <row r="190" spans="1:13" x14ac:dyDescent="0.2">
      <c r="A190" s="13">
        <v>179</v>
      </c>
      <c r="B190" s="23"/>
      <c r="C190" s="10" t="str">
        <f>IF($E$5=1,IF(ISBLANK(B190)=FALSE,VLOOKUP(B190,Data_source!A:J,4,FALSE),""),IF(ISBLANK(B190)=FALSE,VLOOKUP(B190,Data_source!A:J,5,FALSE),""))</f>
        <v/>
      </c>
      <c r="D190" s="11" t="str">
        <f>IF(ISBLANK(B190)=FALSE,IF(VLOOKUP(B190,Data_source!A:J,2,FALSE)="---","",VLOOKUP(B190,Data_source!A:J,2,FALSE)),"")</f>
        <v/>
      </c>
      <c r="E190" s="11" t="str">
        <f t="shared" si="6"/>
        <v/>
      </c>
      <c r="F190" s="11" t="str">
        <f>IF(ISBLANK(B190)=FALSE,IF(VLOOKUP(B190,Data_source!A:J,3,FALSE)="---","",VLOOKUP(B190,Data_source!A:J,3,FALSE)),"")</f>
        <v/>
      </c>
      <c r="G190" s="11" t="str">
        <f t="shared" si="7"/>
        <v/>
      </c>
      <c r="H190" s="12" t="str">
        <f>IF(ISBLANK(B190)=FALSE,IF(VLOOKUP(B190,Data_source!A:J,6,FALSE)="---","",VLOOKUP(B190,Data_source!A:J,6,FALSE)),"")</f>
        <v/>
      </c>
      <c r="I190" s="12" t="str">
        <f t="shared" si="8"/>
        <v/>
      </c>
      <c r="J190" s="46" t="str">
        <f>IF(ISBLANK(B190)=FALSE,IF(VLOOKUP(B190,Data_source!A:J,7,FALSE)=0,"",VLOOKUP(B190,Data_source!A:J,7,FALSE)),"")</f>
        <v/>
      </c>
      <c r="K190" s="46" t="str">
        <f>IF(ISBLANK(B190)=FALSE,IF(VLOOKUP(B190,Data_source!A:J,8,FALSE)=0,"",VLOOKUP(B190,Data_source!A:J,8,FALSE)),"")</f>
        <v/>
      </c>
      <c r="L190" s="46" t="str">
        <f>IF(ISBLANK(B190)=FALSE,IF(VLOOKUP(B190,Data_source!A:J,9,FALSE)=0,"",VLOOKUP(B190,Data_source!A:J,9,FALSE)),"")</f>
        <v/>
      </c>
      <c r="M190" s="23"/>
    </row>
    <row r="191" spans="1:13" x14ac:dyDescent="0.2">
      <c r="A191" s="13">
        <v>180</v>
      </c>
      <c r="B191" s="23"/>
      <c r="C191" s="10" t="str">
        <f>IF($E$5=1,IF(ISBLANK(B191)=FALSE,VLOOKUP(B191,Data_source!A:J,4,FALSE),""),IF(ISBLANK(B191)=FALSE,VLOOKUP(B191,Data_source!A:J,5,FALSE),""))</f>
        <v/>
      </c>
      <c r="D191" s="11" t="str">
        <f>IF(ISBLANK(B191)=FALSE,IF(VLOOKUP(B191,Data_source!A:J,2,FALSE)="---","",VLOOKUP(B191,Data_source!A:J,2,FALSE)),"")</f>
        <v/>
      </c>
      <c r="E191" s="11" t="str">
        <f t="shared" si="6"/>
        <v/>
      </c>
      <c r="F191" s="11" t="str">
        <f>IF(ISBLANK(B191)=FALSE,IF(VLOOKUP(B191,Data_source!A:J,3,FALSE)="---","",VLOOKUP(B191,Data_source!A:J,3,FALSE)),"")</f>
        <v/>
      </c>
      <c r="G191" s="11" t="str">
        <f t="shared" si="7"/>
        <v/>
      </c>
      <c r="H191" s="12" t="str">
        <f>IF(ISBLANK(B191)=FALSE,IF(VLOOKUP(B191,Data_source!A:J,6,FALSE)="---","",VLOOKUP(B191,Data_source!A:J,6,FALSE)),"")</f>
        <v/>
      </c>
      <c r="I191" s="12" t="str">
        <f t="shared" si="8"/>
        <v/>
      </c>
      <c r="J191" s="46" t="str">
        <f>IF(ISBLANK(B191)=FALSE,IF(VLOOKUP(B191,Data_source!A:J,7,FALSE)=0,"",VLOOKUP(B191,Data_source!A:J,7,FALSE)),"")</f>
        <v/>
      </c>
      <c r="K191" s="46" t="str">
        <f>IF(ISBLANK(B191)=FALSE,IF(VLOOKUP(B191,Data_source!A:J,8,FALSE)=0,"",VLOOKUP(B191,Data_source!A:J,8,FALSE)),"")</f>
        <v/>
      </c>
      <c r="L191" s="46" t="str">
        <f>IF(ISBLANK(B191)=FALSE,IF(VLOOKUP(B191,Data_source!A:J,9,FALSE)=0,"",VLOOKUP(B191,Data_source!A:J,9,FALSE)),"")</f>
        <v/>
      </c>
      <c r="M191" s="23"/>
    </row>
    <row r="192" spans="1:13" x14ac:dyDescent="0.2">
      <c r="A192" s="13">
        <v>181</v>
      </c>
      <c r="B192" s="23"/>
      <c r="C192" s="10" t="str">
        <f>IF($E$5=1,IF(ISBLANK(B192)=FALSE,VLOOKUP(B192,Data_source!A:J,4,FALSE),""),IF(ISBLANK(B192)=FALSE,VLOOKUP(B192,Data_source!A:J,5,FALSE),""))</f>
        <v/>
      </c>
      <c r="D192" s="11" t="str">
        <f>IF(ISBLANK(B192)=FALSE,IF(VLOOKUP(B192,Data_source!A:J,2,FALSE)="---","",VLOOKUP(B192,Data_source!A:J,2,FALSE)),"")</f>
        <v/>
      </c>
      <c r="E192" s="11" t="str">
        <f t="shared" si="6"/>
        <v/>
      </c>
      <c r="F192" s="11" t="str">
        <f>IF(ISBLANK(B192)=FALSE,IF(VLOOKUP(B192,Data_source!A:J,3,FALSE)="---","",VLOOKUP(B192,Data_source!A:J,3,FALSE)),"")</f>
        <v/>
      </c>
      <c r="G192" s="11" t="str">
        <f t="shared" si="7"/>
        <v/>
      </c>
      <c r="H192" s="12" t="str">
        <f>IF(ISBLANK(B192)=FALSE,IF(VLOOKUP(B192,Data_source!A:J,6,FALSE)="---","",VLOOKUP(B192,Data_source!A:J,6,FALSE)),"")</f>
        <v/>
      </c>
      <c r="I192" s="12" t="str">
        <f t="shared" si="8"/>
        <v/>
      </c>
      <c r="J192" s="46" t="str">
        <f>IF(ISBLANK(B192)=FALSE,IF(VLOOKUP(B192,Data_source!A:J,7,FALSE)=0,"",VLOOKUP(B192,Data_source!A:J,7,FALSE)),"")</f>
        <v/>
      </c>
      <c r="K192" s="46" t="str">
        <f>IF(ISBLANK(B192)=FALSE,IF(VLOOKUP(B192,Data_source!A:J,8,FALSE)=0,"",VLOOKUP(B192,Data_source!A:J,8,FALSE)),"")</f>
        <v/>
      </c>
      <c r="L192" s="46" t="str">
        <f>IF(ISBLANK(B192)=FALSE,IF(VLOOKUP(B192,Data_source!A:J,9,FALSE)=0,"",VLOOKUP(B192,Data_source!A:J,9,FALSE)),"")</f>
        <v/>
      </c>
      <c r="M192" s="23"/>
    </row>
    <row r="193" spans="1:13" x14ac:dyDescent="0.2">
      <c r="A193" s="13">
        <v>182</v>
      </c>
      <c r="B193" s="23"/>
      <c r="C193" s="10" t="str">
        <f>IF($E$5=1,IF(ISBLANK(B193)=FALSE,VLOOKUP(B193,Data_source!A:J,4,FALSE),""),IF(ISBLANK(B193)=FALSE,VLOOKUP(B193,Data_source!A:J,5,FALSE),""))</f>
        <v/>
      </c>
      <c r="D193" s="11" t="str">
        <f>IF(ISBLANK(B193)=FALSE,IF(VLOOKUP(B193,Data_source!A:J,2,FALSE)="---","",VLOOKUP(B193,Data_source!A:J,2,FALSE)),"")</f>
        <v/>
      </c>
      <c r="E193" s="11" t="str">
        <f t="shared" si="6"/>
        <v/>
      </c>
      <c r="F193" s="11" t="str">
        <f>IF(ISBLANK(B193)=FALSE,IF(VLOOKUP(B193,Data_source!A:J,3,FALSE)="---","",VLOOKUP(B193,Data_source!A:J,3,FALSE)),"")</f>
        <v/>
      </c>
      <c r="G193" s="11" t="str">
        <f t="shared" si="7"/>
        <v/>
      </c>
      <c r="H193" s="12" t="str">
        <f>IF(ISBLANK(B193)=FALSE,IF(VLOOKUP(B193,Data_source!A:J,6,FALSE)="---","",VLOOKUP(B193,Data_source!A:J,6,FALSE)),"")</f>
        <v/>
      </c>
      <c r="I193" s="12" t="str">
        <f t="shared" si="8"/>
        <v/>
      </c>
      <c r="J193" s="46" t="str">
        <f>IF(ISBLANK(B193)=FALSE,IF(VLOOKUP(B193,Data_source!A:J,7,FALSE)=0,"",VLOOKUP(B193,Data_source!A:J,7,FALSE)),"")</f>
        <v/>
      </c>
      <c r="K193" s="46" t="str">
        <f>IF(ISBLANK(B193)=FALSE,IF(VLOOKUP(B193,Data_source!A:J,8,FALSE)=0,"",VLOOKUP(B193,Data_source!A:J,8,FALSE)),"")</f>
        <v/>
      </c>
      <c r="L193" s="46" t="str">
        <f>IF(ISBLANK(B193)=FALSE,IF(VLOOKUP(B193,Data_source!A:J,9,FALSE)=0,"",VLOOKUP(B193,Data_source!A:J,9,FALSE)),"")</f>
        <v/>
      </c>
      <c r="M193" s="23"/>
    </row>
    <row r="194" spans="1:13" x14ac:dyDescent="0.2">
      <c r="A194" s="13">
        <v>183</v>
      </c>
      <c r="B194" s="23"/>
      <c r="C194" s="10" t="str">
        <f>IF($E$5=1,IF(ISBLANK(B194)=FALSE,VLOOKUP(B194,Data_source!A:J,4,FALSE),""),IF(ISBLANK(B194)=FALSE,VLOOKUP(B194,Data_source!A:J,5,FALSE),""))</f>
        <v/>
      </c>
      <c r="D194" s="11" t="str">
        <f>IF(ISBLANK(B194)=FALSE,IF(VLOOKUP(B194,Data_source!A:J,2,FALSE)="---","",VLOOKUP(B194,Data_source!A:J,2,FALSE)),"")</f>
        <v/>
      </c>
      <c r="E194" s="11" t="str">
        <f t="shared" si="6"/>
        <v/>
      </c>
      <c r="F194" s="11" t="str">
        <f>IF(ISBLANK(B194)=FALSE,IF(VLOOKUP(B194,Data_source!A:J,3,FALSE)="---","",VLOOKUP(B194,Data_source!A:J,3,FALSE)),"")</f>
        <v/>
      </c>
      <c r="G194" s="11" t="str">
        <f t="shared" si="7"/>
        <v/>
      </c>
      <c r="H194" s="12" t="str">
        <f>IF(ISBLANK(B194)=FALSE,IF(VLOOKUP(B194,Data_source!A:J,6,FALSE)="---","",VLOOKUP(B194,Data_source!A:J,6,FALSE)),"")</f>
        <v/>
      </c>
      <c r="I194" s="12" t="str">
        <f t="shared" si="8"/>
        <v/>
      </c>
      <c r="J194" s="46" t="str">
        <f>IF(ISBLANK(B194)=FALSE,IF(VLOOKUP(B194,Data_source!A:J,7,FALSE)=0,"",VLOOKUP(B194,Data_source!A:J,7,FALSE)),"")</f>
        <v/>
      </c>
      <c r="K194" s="46" t="str">
        <f>IF(ISBLANK(B194)=FALSE,IF(VLOOKUP(B194,Data_source!A:J,8,FALSE)=0,"",VLOOKUP(B194,Data_source!A:J,8,FALSE)),"")</f>
        <v/>
      </c>
      <c r="L194" s="46" t="str">
        <f>IF(ISBLANK(B194)=FALSE,IF(VLOOKUP(B194,Data_source!A:J,9,FALSE)=0,"",VLOOKUP(B194,Data_source!A:J,9,FALSE)),"")</f>
        <v/>
      </c>
      <c r="M194" s="23"/>
    </row>
    <row r="195" spans="1:13" x14ac:dyDescent="0.2">
      <c r="A195" s="13">
        <v>184</v>
      </c>
      <c r="B195" s="23"/>
      <c r="C195" s="10" t="str">
        <f>IF($E$5=1,IF(ISBLANK(B195)=FALSE,VLOOKUP(B195,Data_source!A:J,4,FALSE),""),IF(ISBLANK(B195)=FALSE,VLOOKUP(B195,Data_source!A:J,5,FALSE),""))</f>
        <v/>
      </c>
      <c r="D195" s="11" t="str">
        <f>IF(ISBLANK(B195)=FALSE,IF(VLOOKUP(B195,Data_source!A:J,2,FALSE)="---","",VLOOKUP(B195,Data_source!A:J,2,FALSE)),"")</f>
        <v/>
      </c>
      <c r="E195" s="11" t="str">
        <f t="shared" si="6"/>
        <v/>
      </c>
      <c r="F195" s="11" t="str">
        <f>IF(ISBLANK(B195)=FALSE,IF(VLOOKUP(B195,Data_source!A:J,3,FALSE)="---","",VLOOKUP(B195,Data_source!A:J,3,FALSE)),"")</f>
        <v/>
      </c>
      <c r="G195" s="11" t="str">
        <f t="shared" si="7"/>
        <v/>
      </c>
      <c r="H195" s="12" t="str">
        <f>IF(ISBLANK(B195)=FALSE,IF(VLOOKUP(B195,Data_source!A:J,6,FALSE)="---","",VLOOKUP(B195,Data_source!A:J,6,FALSE)),"")</f>
        <v/>
      </c>
      <c r="I195" s="12" t="str">
        <f t="shared" si="8"/>
        <v/>
      </c>
      <c r="J195" s="46" t="str">
        <f>IF(ISBLANK(B195)=FALSE,IF(VLOOKUP(B195,Data_source!A:J,7,FALSE)=0,"",VLOOKUP(B195,Data_source!A:J,7,FALSE)),"")</f>
        <v/>
      </c>
      <c r="K195" s="46" t="str">
        <f>IF(ISBLANK(B195)=FALSE,IF(VLOOKUP(B195,Data_source!A:J,8,FALSE)=0,"",VLOOKUP(B195,Data_source!A:J,8,FALSE)),"")</f>
        <v/>
      </c>
      <c r="L195" s="46" t="str">
        <f>IF(ISBLANK(B195)=FALSE,IF(VLOOKUP(B195,Data_source!A:J,9,FALSE)=0,"",VLOOKUP(B195,Data_source!A:J,9,FALSE)),"")</f>
        <v/>
      </c>
      <c r="M195" s="23"/>
    </row>
    <row r="196" spans="1:13" x14ac:dyDescent="0.2">
      <c r="A196" s="13">
        <v>185</v>
      </c>
      <c r="B196" s="23"/>
      <c r="C196" s="10" t="str">
        <f>IF($E$5=1,IF(ISBLANK(B196)=FALSE,VLOOKUP(B196,Data_source!A:J,4,FALSE),""),IF(ISBLANK(B196)=FALSE,VLOOKUP(B196,Data_source!A:J,5,FALSE),""))</f>
        <v/>
      </c>
      <c r="D196" s="11" t="str">
        <f>IF(ISBLANK(B196)=FALSE,IF(VLOOKUP(B196,Data_source!A:J,2,FALSE)="---","",VLOOKUP(B196,Data_source!A:J,2,FALSE)),"")</f>
        <v/>
      </c>
      <c r="E196" s="11" t="str">
        <f t="shared" si="6"/>
        <v/>
      </c>
      <c r="F196" s="11" t="str">
        <f>IF(ISBLANK(B196)=FALSE,IF(VLOOKUP(B196,Data_source!A:J,3,FALSE)="---","",VLOOKUP(B196,Data_source!A:J,3,FALSE)),"")</f>
        <v/>
      </c>
      <c r="G196" s="11" t="str">
        <f t="shared" si="7"/>
        <v/>
      </c>
      <c r="H196" s="12" t="str">
        <f>IF(ISBLANK(B196)=FALSE,IF(VLOOKUP(B196,Data_source!A:J,6,FALSE)="---","",VLOOKUP(B196,Data_source!A:J,6,FALSE)),"")</f>
        <v/>
      </c>
      <c r="I196" s="12" t="str">
        <f t="shared" si="8"/>
        <v/>
      </c>
      <c r="J196" s="46" t="str">
        <f>IF(ISBLANK(B196)=FALSE,IF(VLOOKUP(B196,Data_source!A:J,7,FALSE)=0,"",VLOOKUP(B196,Data_source!A:J,7,FALSE)),"")</f>
        <v/>
      </c>
      <c r="K196" s="46" t="str">
        <f>IF(ISBLANK(B196)=FALSE,IF(VLOOKUP(B196,Data_source!A:J,8,FALSE)=0,"",VLOOKUP(B196,Data_source!A:J,8,FALSE)),"")</f>
        <v/>
      </c>
      <c r="L196" s="46" t="str">
        <f>IF(ISBLANK(B196)=FALSE,IF(VLOOKUP(B196,Data_source!A:J,9,FALSE)=0,"",VLOOKUP(B196,Data_source!A:J,9,FALSE)),"")</f>
        <v/>
      </c>
      <c r="M196" s="23"/>
    </row>
    <row r="197" spans="1:13" x14ac:dyDescent="0.2">
      <c r="A197" s="13">
        <v>186</v>
      </c>
      <c r="B197" s="23"/>
      <c r="C197" s="10" t="str">
        <f>IF($E$5=1,IF(ISBLANK(B197)=FALSE,VLOOKUP(B197,Data_source!A:J,4,FALSE),""),IF(ISBLANK(B197)=FALSE,VLOOKUP(B197,Data_source!A:J,5,FALSE),""))</f>
        <v/>
      </c>
      <c r="D197" s="11" t="str">
        <f>IF(ISBLANK(B197)=FALSE,IF(VLOOKUP(B197,Data_source!A:J,2,FALSE)="---","",VLOOKUP(B197,Data_source!A:J,2,FALSE)),"")</f>
        <v/>
      </c>
      <c r="E197" s="11" t="str">
        <f t="shared" si="6"/>
        <v/>
      </c>
      <c r="F197" s="11" t="str">
        <f>IF(ISBLANK(B197)=FALSE,IF(VLOOKUP(B197,Data_source!A:J,3,FALSE)="---","",VLOOKUP(B197,Data_source!A:J,3,FALSE)),"")</f>
        <v/>
      </c>
      <c r="G197" s="11" t="str">
        <f t="shared" si="7"/>
        <v/>
      </c>
      <c r="H197" s="12" t="str">
        <f>IF(ISBLANK(B197)=FALSE,IF(VLOOKUP(B197,Data_source!A:J,6,FALSE)="---","",VLOOKUP(B197,Data_source!A:J,6,FALSE)),"")</f>
        <v/>
      </c>
      <c r="I197" s="12" t="str">
        <f t="shared" si="8"/>
        <v/>
      </c>
      <c r="J197" s="46" t="str">
        <f>IF(ISBLANK(B197)=FALSE,IF(VLOOKUP(B197,Data_source!A:J,7,FALSE)=0,"",VLOOKUP(B197,Data_source!A:J,7,FALSE)),"")</f>
        <v/>
      </c>
      <c r="K197" s="46" t="str">
        <f>IF(ISBLANK(B197)=FALSE,IF(VLOOKUP(B197,Data_source!A:J,8,FALSE)=0,"",VLOOKUP(B197,Data_source!A:J,8,FALSE)),"")</f>
        <v/>
      </c>
      <c r="L197" s="46" t="str">
        <f>IF(ISBLANK(B197)=FALSE,IF(VLOOKUP(B197,Data_source!A:J,9,FALSE)=0,"",VLOOKUP(B197,Data_source!A:J,9,FALSE)),"")</f>
        <v/>
      </c>
      <c r="M197" s="23"/>
    </row>
    <row r="198" spans="1:13" x14ac:dyDescent="0.2">
      <c r="A198" s="13">
        <v>187</v>
      </c>
      <c r="B198" s="23"/>
      <c r="C198" s="10" t="str">
        <f>IF($E$5=1,IF(ISBLANK(B198)=FALSE,VLOOKUP(B198,Data_source!A:J,4,FALSE),""),IF(ISBLANK(B198)=FALSE,VLOOKUP(B198,Data_source!A:J,5,FALSE),""))</f>
        <v/>
      </c>
      <c r="D198" s="11" t="str">
        <f>IF(ISBLANK(B198)=FALSE,IF(VLOOKUP(B198,Data_source!A:J,2,FALSE)="---","",VLOOKUP(B198,Data_source!A:J,2,FALSE)),"")</f>
        <v/>
      </c>
      <c r="E198" s="11" t="str">
        <f t="shared" si="6"/>
        <v/>
      </c>
      <c r="F198" s="11" t="str">
        <f>IF(ISBLANK(B198)=FALSE,IF(VLOOKUP(B198,Data_source!A:J,3,FALSE)="---","",VLOOKUP(B198,Data_source!A:J,3,FALSE)),"")</f>
        <v/>
      </c>
      <c r="G198" s="11" t="str">
        <f t="shared" si="7"/>
        <v/>
      </c>
      <c r="H198" s="12" t="str">
        <f>IF(ISBLANK(B198)=FALSE,IF(VLOOKUP(B198,Data_source!A:J,6,FALSE)="---","",VLOOKUP(B198,Data_source!A:J,6,FALSE)),"")</f>
        <v/>
      </c>
      <c r="I198" s="12" t="str">
        <f t="shared" si="8"/>
        <v/>
      </c>
      <c r="J198" s="46" t="str">
        <f>IF(ISBLANK(B198)=FALSE,IF(VLOOKUP(B198,Data_source!A:J,7,FALSE)=0,"",VLOOKUP(B198,Data_source!A:J,7,FALSE)),"")</f>
        <v/>
      </c>
      <c r="K198" s="46" t="str">
        <f>IF(ISBLANK(B198)=FALSE,IF(VLOOKUP(B198,Data_source!A:J,8,FALSE)=0,"",VLOOKUP(B198,Data_source!A:J,8,FALSE)),"")</f>
        <v/>
      </c>
      <c r="L198" s="46" t="str">
        <f>IF(ISBLANK(B198)=FALSE,IF(VLOOKUP(B198,Data_source!A:J,9,FALSE)=0,"",VLOOKUP(B198,Data_source!A:J,9,FALSE)),"")</f>
        <v/>
      </c>
      <c r="M198" s="23"/>
    </row>
    <row r="199" spans="1:13" x14ac:dyDescent="0.2">
      <c r="A199" s="13">
        <v>188</v>
      </c>
      <c r="B199" s="23"/>
      <c r="C199" s="10" t="str">
        <f>IF($E$5=1,IF(ISBLANK(B199)=FALSE,VLOOKUP(B199,Data_source!A:J,4,FALSE),""),IF(ISBLANK(B199)=FALSE,VLOOKUP(B199,Data_source!A:J,5,FALSE),""))</f>
        <v/>
      </c>
      <c r="D199" s="11" t="str">
        <f>IF(ISBLANK(B199)=FALSE,IF(VLOOKUP(B199,Data_source!A:J,2,FALSE)="---","",VLOOKUP(B199,Data_source!A:J,2,FALSE)),"")</f>
        <v/>
      </c>
      <c r="E199" s="11" t="str">
        <f t="shared" si="6"/>
        <v/>
      </c>
      <c r="F199" s="11" t="str">
        <f>IF(ISBLANK(B199)=FALSE,IF(VLOOKUP(B199,Data_source!A:J,3,FALSE)="---","",VLOOKUP(B199,Data_source!A:J,3,FALSE)),"")</f>
        <v/>
      </c>
      <c r="G199" s="11" t="str">
        <f t="shared" si="7"/>
        <v/>
      </c>
      <c r="H199" s="12" t="str">
        <f>IF(ISBLANK(B199)=FALSE,IF(VLOOKUP(B199,Data_source!A:J,6,FALSE)="---","",VLOOKUP(B199,Data_source!A:J,6,FALSE)),"")</f>
        <v/>
      </c>
      <c r="I199" s="12" t="str">
        <f t="shared" si="8"/>
        <v/>
      </c>
      <c r="J199" s="46" t="str">
        <f>IF(ISBLANK(B199)=FALSE,IF(VLOOKUP(B199,Data_source!A:J,7,FALSE)=0,"",VLOOKUP(B199,Data_source!A:J,7,FALSE)),"")</f>
        <v/>
      </c>
      <c r="K199" s="46" t="str">
        <f>IF(ISBLANK(B199)=FALSE,IF(VLOOKUP(B199,Data_source!A:J,8,FALSE)=0,"",VLOOKUP(B199,Data_source!A:J,8,FALSE)),"")</f>
        <v/>
      </c>
      <c r="L199" s="46" t="str">
        <f>IF(ISBLANK(B199)=FALSE,IF(VLOOKUP(B199,Data_source!A:J,9,FALSE)=0,"",VLOOKUP(B199,Data_source!A:J,9,FALSE)),"")</f>
        <v/>
      </c>
      <c r="M199" s="23"/>
    </row>
    <row r="200" spans="1:13" x14ac:dyDescent="0.2">
      <c r="A200" s="13">
        <v>189</v>
      </c>
      <c r="B200" s="23"/>
      <c r="C200" s="10" t="str">
        <f>IF($E$5=1,IF(ISBLANK(B200)=FALSE,VLOOKUP(B200,Data_source!A:J,4,FALSE),""),IF(ISBLANK(B200)=FALSE,VLOOKUP(B200,Data_source!A:J,5,FALSE),""))</f>
        <v/>
      </c>
      <c r="D200" s="11" t="str">
        <f>IF(ISBLANK(B200)=FALSE,IF(VLOOKUP(B200,Data_source!A:J,2,FALSE)="---","",VLOOKUP(B200,Data_source!A:J,2,FALSE)),"")</f>
        <v/>
      </c>
      <c r="E200" s="11" t="str">
        <f t="shared" si="6"/>
        <v/>
      </c>
      <c r="F200" s="11" t="str">
        <f>IF(ISBLANK(B200)=FALSE,IF(VLOOKUP(B200,Data_source!A:J,3,FALSE)="---","",VLOOKUP(B200,Data_source!A:J,3,FALSE)),"")</f>
        <v/>
      </c>
      <c r="G200" s="11" t="str">
        <f t="shared" si="7"/>
        <v/>
      </c>
      <c r="H200" s="12" t="str">
        <f>IF(ISBLANK(B200)=FALSE,IF(VLOOKUP(B200,Data_source!A:J,6,FALSE)="---","",VLOOKUP(B200,Data_source!A:J,6,FALSE)),"")</f>
        <v/>
      </c>
      <c r="I200" s="12" t="str">
        <f t="shared" si="8"/>
        <v/>
      </c>
      <c r="J200" s="46" t="str">
        <f>IF(ISBLANK(B200)=FALSE,IF(VLOOKUP(B200,Data_source!A:J,7,FALSE)=0,"",VLOOKUP(B200,Data_source!A:J,7,FALSE)),"")</f>
        <v/>
      </c>
      <c r="K200" s="46" t="str">
        <f>IF(ISBLANK(B200)=FALSE,IF(VLOOKUP(B200,Data_source!A:J,8,FALSE)=0,"",VLOOKUP(B200,Data_source!A:J,8,FALSE)),"")</f>
        <v/>
      </c>
      <c r="L200" s="46" t="str">
        <f>IF(ISBLANK(B200)=FALSE,IF(VLOOKUP(B200,Data_source!A:J,9,FALSE)=0,"",VLOOKUP(B200,Data_source!A:J,9,FALSE)),"")</f>
        <v/>
      </c>
      <c r="M200" s="23"/>
    </row>
    <row r="201" spans="1:13" x14ac:dyDescent="0.2">
      <c r="A201" s="13">
        <v>190</v>
      </c>
      <c r="B201" s="23"/>
      <c r="C201" s="10" t="str">
        <f>IF($E$5=1,IF(ISBLANK(B201)=FALSE,VLOOKUP(B201,Data_source!A:J,4,FALSE),""),IF(ISBLANK(B201)=FALSE,VLOOKUP(B201,Data_source!A:J,5,FALSE),""))</f>
        <v/>
      </c>
      <c r="D201" s="11" t="str">
        <f>IF(ISBLANK(B201)=FALSE,IF(VLOOKUP(B201,Data_source!A:J,2,FALSE)="---","",VLOOKUP(B201,Data_source!A:J,2,FALSE)),"")</f>
        <v/>
      </c>
      <c r="E201" s="11" t="str">
        <f t="shared" si="6"/>
        <v/>
      </c>
      <c r="F201" s="11" t="str">
        <f>IF(ISBLANK(B201)=FALSE,IF(VLOOKUP(B201,Data_source!A:J,3,FALSE)="---","",VLOOKUP(B201,Data_source!A:J,3,FALSE)),"")</f>
        <v/>
      </c>
      <c r="G201" s="11" t="str">
        <f t="shared" si="7"/>
        <v/>
      </c>
      <c r="H201" s="12" t="str">
        <f>IF(ISBLANK(B201)=FALSE,IF(VLOOKUP(B201,Data_source!A:J,6,FALSE)="---","",VLOOKUP(B201,Data_source!A:J,6,FALSE)),"")</f>
        <v/>
      </c>
      <c r="I201" s="12" t="str">
        <f t="shared" si="8"/>
        <v/>
      </c>
      <c r="J201" s="46" t="str">
        <f>IF(ISBLANK(B201)=FALSE,IF(VLOOKUP(B201,Data_source!A:J,7,FALSE)=0,"",VLOOKUP(B201,Data_source!A:J,7,FALSE)),"")</f>
        <v/>
      </c>
      <c r="K201" s="46" t="str">
        <f>IF(ISBLANK(B201)=FALSE,IF(VLOOKUP(B201,Data_source!A:J,8,FALSE)=0,"",VLOOKUP(B201,Data_source!A:J,8,FALSE)),"")</f>
        <v/>
      </c>
      <c r="L201" s="46" t="str">
        <f>IF(ISBLANK(B201)=FALSE,IF(VLOOKUP(B201,Data_source!A:J,9,FALSE)=0,"",VLOOKUP(B201,Data_source!A:J,9,FALSE)),"")</f>
        <v/>
      </c>
      <c r="M201" s="23"/>
    </row>
    <row r="202" spans="1:13" x14ac:dyDescent="0.2">
      <c r="A202" s="13">
        <v>191</v>
      </c>
      <c r="B202" s="23"/>
      <c r="C202" s="10" t="str">
        <f>IF($E$5=1,IF(ISBLANK(B202)=FALSE,VLOOKUP(B202,Data_source!A:J,4,FALSE),""),IF(ISBLANK(B202)=FALSE,VLOOKUP(B202,Data_source!A:J,5,FALSE),""))</f>
        <v/>
      </c>
      <c r="D202" s="11" t="str">
        <f>IF(ISBLANK(B202)=FALSE,IF(VLOOKUP(B202,Data_source!A:J,2,FALSE)="---","",VLOOKUP(B202,Data_source!A:J,2,FALSE)),"")</f>
        <v/>
      </c>
      <c r="E202" s="11" t="str">
        <f t="shared" si="6"/>
        <v/>
      </c>
      <c r="F202" s="11" t="str">
        <f>IF(ISBLANK(B202)=FALSE,IF(VLOOKUP(B202,Data_source!A:J,3,FALSE)="---","",VLOOKUP(B202,Data_source!A:J,3,FALSE)),"")</f>
        <v/>
      </c>
      <c r="G202" s="11" t="str">
        <f t="shared" si="7"/>
        <v/>
      </c>
      <c r="H202" s="12" t="str">
        <f>IF(ISBLANK(B202)=FALSE,IF(VLOOKUP(B202,Data_source!A:J,6,FALSE)="---","",VLOOKUP(B202,Data_source!A:J,6,FALSE)),"")</f>
        <v/>
      </c>
      <c r="I202" s="12" t="str">
        <f t="shared" si="8"/>
        <v/>
      </c>
      <c r="J202" s="46" t="str">
        <f>IF(ISBLANK(B202)=FALSE,IF(VLOOKUP(B202,Data_source!A:J,7,FALSE)=0,"",VLOOKUP(B202,Data_source!A:J,7,FALSE)),"")</f>
        <v/>
      </c>
      <c r="K202" s="46" t="str">
        <f>IF(ISBLANK(B202)=FALSE,IF(VLOOKUP(B202,Data_source!A:J,8,FALSE)=0,"",VLOOKUP(B202,Data_source!A:J,8,FALSE)),"")</f>
        <v/>
      </c>
      <c r="L202" s="46" t="str">
        <f>IF(ISBLANK(B202)=FALSE,IF(VLOOKUP(B202,Data_source!A:J,9,FALSE)=0,"",VLOOKUP(B202,Data_source!A:J,9,FALSE)),"")</f>
        <v/>
      </c>
      <c r="M202" s="23"/>
    </row>
    <row r="203" spans="1:13" x14ac:dyDescent="0.2">
      <c r="A203" s="13">
        <v>192</v>
      </c>
      <c r="B203" s="23"/>
      <c r="C203" s="10" t="str">
        <f>IF($E$5=1,IF(ISBLANK(B203)=FALSE,VLOOKUP(B203,Data_source!A:J,4,FALSE),""),IF(ISBLANK(B203)=FALSE,VLOOKUP(B203,Data_source!A:J,5,FALSE),""))</f>
        <v/>
      </c>
      <c r="D203" s="11" t="str">
        <f>IF(ISBLANK(B203)=FALSE,IF(VLOOKUP(B203,Data_source!A:J,2,FALSE)="---","",VLOOKUP(B203,Data_source!A:J,2,FALSE)),"")</f>
        <v/>
      </c>
      <c r="E203" s="11" t="str">
        <f t="shared" si="6"/>
        <v/>
      </c>
      <c r="F203" s="11" t="str">
        <f>IF(ISBLANK(B203)=FALSE,IF(VLOOKUP(B203,Data_source!A:J,3,FALSE)="---","",VLOOKUP(B203,Data_source!A:J,3,FALSE)),"")</f>
        <v/>
      </c>
      <c r="G203" s="11" t="str">
        <f t="shared" si="7"/>
        <v/>
      </c>
      <c r="H203" s="12" t="str">
        <f>IF(ISBLANK(B203)=FALSE,IF(VLOOKUP(B203,Data_source!A:J,6,FALSE)="---","",VLOOKUP(B203,Data_source!A:J,6,FALSE)),"")</f>
        <v/>
      </c>
      <c r="I203" s="12" t="str">
        <f t="shared" si="8"/>
        <v/>
      </c>
      <c r="J203" s="46" t="str">
        <f>IF(ISBLANK(B203)=FALSE,IF(VLOOKUP(B203,Data_source!A:J,7,FALSE)=0,"",VLOOKUP(B203,Data_source!A:J,7,FALSE)),"")</f>
        <v/>
      </c>
      <c r="K203" s="46" t="str">
        <f>IF(ISBLANK(B203)=FALSE,IF(VLOOKUP(B203,Data_source!A:J,8,FALSE)=0,"",VLOOKUP(B203,Data_source!A:J,8,FALSE)),"")</f>
        <v/>
      </c>
      <c r="L203" s="46" t="str">
        <f>IF(ISBLANK(B203)=FALSE,IF(VLOOKUP(B203,Data_source!A:J,9,FALSE)=0,"",VLOOKUP(B203,Data_source!A:J,9,FALSE)),"")</f>
        <v/>
      </c>
      <c r="M203" s="23"/>
    </row>
    <row r="204" spans="1:13" x14ac:dyDescent="0.2">
      <c r="A204" s="13">
        <v>193</v>
      </c>
      <c r="B204" s="23"/>
      <c r="C204" s="10" t="str">
        <f>IF($E$5=1,IF(ISBLANK(B204)=FALSE,VLOOKUP(B204,Data_source!A:J,4,FALSE),""),IF(ISBLANK(B204)=FALSE,VLOOKUP(B204,Data_source!A:J,5,FALSE),""))</f>
        <v/>
      </c>
      <c r="D204" s="11" t="str">
        <f>IF(ISBLANK(B204)=FALSE,IF(VLOOKUP(B204,Data_source!A:J,2,FALSE)="---","",VLOOKUP(B204,Data_source!A:J,2,FALSE)),"")</f>
        <v/>
      </c>
      <c r="E204" s="11" t="str">
        <f t="shared" si="6"/>
        <v/>
      </c>
      <c r="F204" s="11" t="str">
        <f>IF(ISBLANK(B204)=FALSE,IF(VLOOKUP(B204,Data_source!A:J,3,FALSE)="---","",VLOOKUP(B204,Data_source!A:J,3,FALSE)),"")</f>
        <v/>
      </c>
      <c r="G204" s="11" t="str">
        <f t="shared" si="7"/>
        <v/>
      </c>
      <c r="H204" s="12" t="str">
        <f>IF(ISBLANK(B204)=FALSE,IF(VLOOKUP(B204,Data_source!A:J,6,FALSE)="---","",VLOOKUP(B204,Data_source!A:J,6,FALSE)),"")</f>
        <v/>
      </c>
      <c r="I204" s="12" t="str">
        <f t="shared" si="8"/>
        <v/>
      </c>
      <c r="J204" s="46" t="str">
        <f>IF(ISBLANK(B204)=FALSE,IF(VLOOKUP(B204,Data_source!A:J,7,FALSE)=0,"",VLOOKUP(B204,Data_source!A:J,7,FALSE)),"")</f>
        <v/>
      </c>
      <c r="K204" s="46" t="str">
        <f>IF(ISBLANK(B204)=FALSE,IF(VLOOKUP(B204,Data_source!A:J,8,FALSE)=0,"",VLOOKUP(B204,Data_source!A:J,8,FALSE)),"")</f>
        <v/>
      </c>
      <c r="L204" s="46" t="str">
        <f>IF(ISBLANK(B204)=FALSE,IF(VLOOKUP(B204,Data_source!A:J,9,FALSE)=0,"",VLOOKUP(B204,Data_source!A:J,9,FALSE)),"")</f>
        <v/>
      </c>
      <c r="M204" s="23"/>
    </row>
    <row r="205" spans="1:13" x14ac:dyDescent="0.2">
      <c r="A205" s="13">
        <v>194</v>
      </c>
      <c r="B205" s="23"/>
      <c r="C205" s="10" t="str">
        <f>IF($E$5=1,IF(ISBLANK(B205)=FALSE,VLOOKUP(B205,Data_source!A:J,4,FALSE),""),IF(ISBLANK(B205)=FALSE,VLOOKUP(B205,Data_source!A:J,5,FALSE),""))</f>
        <v/>
      </c>
      <c r="D205" s="11" t="str">
        <f>IF(ISBLANK(B205)=FALSE,IF(VLOOKUP(B205,Data_source!A:J,2,FALSE)="---","",VLOOKUP(B205,Data_source!A:J,2,FALSE)),"")</f>
        <v/>
      </c>
      <c r="E205" s="11" t="str">
        <f t="shared" si="6"/>
        <v/>
      </c>
      <c r="F205" s="11" t="str">
        <f>IF(ISBLANK(B205)=FALSE,IF(VLOOKUP(B205,Data_source!A:J,3,FALSE)="---","",VLOOKUP(B205,Data_source!A:J,3,FALSE)),"")</f>
        <v/>
      </c>
      <c r="G205" s="11" t="str">
        <f t="shared" si="7"/>
        <v/>
      </c>
      <c r="H205" s="12" t="str">
        <f>IF(ISBLANK(B205)=FALSE,IF(VLOOKUP(B205,Data_source!A:J,6,FALSE)="---","",VLOOKUP(B205,Data_source!A:J,6,FALSE)),"")</f>
        <v/>
      </c>
      <c r="I205" s="12" t="str">
        <f t="shared" si="8"/>
        <v/>
      </c>
      <c r="J205" s="46" t="str">
        <f>IF(ISBLANK(B205)=FALSE,IF(VLOOKUP(B205,Data_source!A:J,7,FALSE)=0,"",VLOOKUP(B205,Data_source!A:J,7,FALSE)),"")</f>
        <v/>
      </c>
      <c r="K205" s="46" t="str">
        <f>IF(ISBLANK(B205)=FALSE,IF(VLOOKUP(B205,Data_source!A:J,8,FALSE)=0,"",VLOOKUP(B205,Data_source!A:J,8,FALSE)),"")</f>
        <v/>
      </c>
      <c r="L205" s="46" t="str">
        <f>IF(ISBLANK(B205)=FALSE,IF(VLOOKUP(B205,Data_source!A:J,9,FALSE)=0,"",VLOOKUP(B205,Data_source!A:J,9,FALSE)),"")</f>
        <v/>
      </c>
      <c r="M205" s="23"/>
    </row>
    <row r="206" spans="1:13" x14ac:dyDescent="0.2">
      <c r="A206" s="13">
        <v>195</v>
      </c>
      <c r="B206" s="23"/>
      <c r="C206" s="10" t="str">
        <f>IF($E$5=1,IF(ISBLANK(B206)=FALSE,VLOOKUP(B206,Data_source!A:J,4,FALSE),""),IF(ISBLANK(B206)=FALSE,VLOOKUP(B206,Data_source!A:J,5,FALSE),""))</f>
        <v/>
      </c>
      <c r="D206" s="11" t="str">
        <f>IF(ISBLANK(B206)=FALSE,IF(VLOOKUP(B206,Data_source!A:J,2,FALSE)="---","",VLOOKUP(B206,Data_source!A:J,2,FALSE)),"")</f>
        <v/>
      </c>
      <c r="E206" s="11" t="str">
        <f t="shared" ref="E206:E269" si="9">IF(F206&lt;&gt;"",D206,IF(D206&gt;0,D206,IF(E205="",D206,E205+D206)))</f>
        <v/>
      </c>
      <c r="F206" s="11" t="str">
        <f>IF(ISBLANK(B206)=FALSE,IF(VLOOKUP(B206,Data_source!A:J,3,FALSE)="---","",VLOOKUP(B206,Data_source!A:J,3,FALSE)),"")</f>
        <v/>
      </c>
      <c r="G206" s="11" t="str">
        <f t="shared" ref="G206:G269" si="10">IF(F206&gt;0, F206, IF(F206="", "", IF(G205="", F206, G205+F206)))</f>
        <v/>
      </c>
      <c r="H206" s="12" t="str">
        <f>IF(ISBLANK(B206)=FALSE,IF(VLOOKUP(B206,Data_source!A:J,6,FALSE)="---","",VLOOKUP(B206,Data_source!A:J,6,FALSE)),"")</f>
        <v/>
      </c>
      <c r="I206" s="12" t="str">
        <f t="shared" ref="I206:I269" si="11">IF(H206="","",IF(H205="",H206,H206+I205))</f>
        <v/>
      </c>
      <c r="J206" s="46" t="str">
        <f>IF(ISBLANK(B206)=FALSE,IF(VLOOKUP(B206,Data_source!A:J,7,FALSE)=0,"",VLOOKUP(B206,Data_source!A:J,7,FALSE)),"")</f>
        <v/>
      </c>
      <c r="K206" s="46" t="str">
        <f>IF(ISBLANK(B206)=FALSE,IF(VLOOKUP(B206,Data_source!A:J,8,FALSE)=0,"",VLOOKUP(B206,Data_source!A:J,8,FALSE)),"")</f>
        <v/>
      </c>
      <c r="L206" s="46" t="str">
        <f>IF(ISBLANK(B206)=FALSE,IF(VLOOKUP(B206,Data_source!A:J,9,FALSE)=0,"",VLOOKUP(B206,Data_source!A:J,9,FALSE)),"")</f>
        <v/>
      </c>
      <c r="M206" s="23"/>
    </row>
    <row r="207" spans="1:13" x14ac:dyDescent="0.2">
      <c r="A207" s="13">
        <v>196</v>
      </c>
      <c r="B207" s="23"/>
      <c r="C207" s="10" t="str">
        <f>IF($E$5=1,IF(ISBLANK(B207)=FALSE,VLOOKUP(B207,Data_source!A:J,4,FALSE),""),IF(ISBLANK(B207)=FALSE,VLOOKUP(B207,Data_source!A:J,5,FALSE),""))</f>
        <v/>
      </c>
      <c r="D207" s="11" t="str">
        <f>IF(ISBLANK(B207)=FALSE,IF(VLOOKUP(B207,Data_source!A:J,2,FALSE)="---","",VLOOKUP(B207,Data_source!A:J,2,FALSE)),"")</f>
        <v/>
      </c>
      <c r="E207" s="11" t="str">
        <f t="shared" si="9"/>
        <v/>
      </c>
      <c r="F207" s="11" t="str">
        <f>IF(ISBLANK(B207)=FALSE,IF(VLOOKUP(B207,Data_source!A:J,3,FALSE)="---","",VLOOKUP(B207,Data_source!A:J,3,FALSE)),"")</f>
        <v/>
      </c>
      <c r="G207" s="11" t="str">
        <f t="shared" si="10"/>
        <v/>
      </c>
      <c r="H207" s="12" t="str">
        <f>IF(ISBLANK(B207)=FALSE,IF(VLOOKUP(B207,Data_source!A:J,6,FALSE)="---","",VLOOKUP(B207,Data_source!A:J,6,FALSE)),"")</f>
        <v/>
      </c>
      <c r="I207" s="12" t="str">
        <f t="shared" si="11"/>
        <v/>
      </c>
      <c r="J207" s="46" t="str">
        <f>IF(ISBLANK(B207)=FALSE,IF(VLOOKUP(B207,Data_source!A:J,7,FALSE)=0,"",VLOOKUP(B207,Data_source!A:J,7,FALSE)),"")</f>
        <v/>
      </c>
      <c r="K207" s="46" t="str">
        <f>IF(ISBLANK(B207)=FALSE,IF(VLOOKUP(B207,Data_source!A:J,8,FALSE)=0,"",VLOOKUP(B207,Data_source!A:J,8,FALSE)),"")</f>
        <v/>
      </c>
      <c r="L207" s="46" t="str">
        <f>IF(ISBLANK(B207)=FALSE,IF(VLOOKUP(B207,Data_source!A:J,9,FALSE)=0,"",VLOOKUP(B207,Data_source!A:J,9,FALSE)),"")</f>
        <v/>
      </c>
      <c r="M207" s="23"/>
    </row>
    <row r="208" spans="1:13" x14ac:dyDescent="0.2">
      <c r="A208" s="13">
        <v>197</v>
      </c>
      <c r="B208" s="23"/>
      <c r="C208" s="10" t="str">
        <f>IF($E$5=1,IF(ISBLANK(B208)=FALSE,VLOOKUP(B208,Data_source!A:J,4,FALSE),""),IF(ISBLANK(B208)=FALSE,VLOOKUP(B208,Data_source!A:J,5,FALSE),""))</f>
        <v/>
      </c>
      <c r="D208" s="11" t="str">
        <f>IF(ISBLANK(B208)=FALSE,IF(VLOOKUP(B208,Data_source!A:J,2,FALSE)="---","",VLOOKUP(B208,Data_source!A:J,2,FALSE)),"")</f>
        <v/>
      </c>
      <c r="E208" s="11" t="str">
        <f t="shared" si="9"/>
        <v/>
      </c>
      <c r="F208" s="11" t="str">
        <f>IF(ISBLANK(B208)=FALSE,IF(VLOOKUP(B208,Data_source!A:J,3,FALSE)="---","",VLOOKUP(B208,Data_source!A:J,3,FALSE)),"")</f>
        <v/>
      </c>
      <c r="G208" s="11" t="str">
        <f t="shared" si="10"/>
        <v/>
      </c>
      <c r="H208" s="12" t="str">
        <f>IF(ISBLANK(B208)=FALSE,IF(VLOOKUP(B208,Data_source!A:J,6,FALSE)="---","",VLOOKUP(B208,Data_source!A:J,6,FALSE)),"")</f>
        <v/>
      </c>
      <c r="I208" s="12" t="str">
        <f t="shared" si="11"/>
        <v/>
      </c>
      <c r="J208" s="46" t="str">
        <f>IF(ISBLANK(B208)=FALSE,IF(VLOOKUP(B208,Data_source!A:J,7,FALSE)=0,"",VLOOKUP(B208,Data_source!A:J,7,FALSE)),"")</f>
        <v/>
      </c>
      <c r="K208" s="46" t="str">
        <f>IF(ISBLANK(B208)=FALSE,IF(VLOOKUP(B208,Data_source!A:J,8,FALSE)=0,"",VLOOKUP(B208,Data_source!A:J,8,FALSE)),"")</f>
        <v/>
      </c>
      <c r="L208" s="46" t="str">
        <f>IF(ISBLANK(B208)=FALSE,IF(VLOOKUP(B208,Data_source!A:J,9,FALSE)=0,"",VLOOKUP(B208,Data_source!A:J,9,FALSE)),"")</f>
        <v/>
      </c>
      <c r="M208" s="23"/>
    </row>
    <row r="209" spans="1:13" x14ac:dyDescent="0.2">
      <c r="A209" s="13">
        <v>198</v>
      </c>
      <c r="B209" s="23"/>
      <c r="C209" s="10" t="str">
        <f>IF($E$5=1,IF(ISBLANK(B209)=FALSE,VLOOKUP(B209,Data_source!A:J,4,FALSE),""),IF(ISBLANK(B209)=FALSE,VLOOKUP(B209,Data_source!A:J,5,FALSE),""))</f>
        <v/>
      </c>
      <c r="D209" s="11" t="str">
        <f>IF(ISBLANK(B209)=FALSE,IF(VLOOKUP(B209,Data_source!A:J,2,FALSE)="---","",VLOOKUP(B209,Data_source!A:J,2,FALSE)),"")</f>
        <v/>
      </c>
      <c r="E209" s="11" t="str">
        <f t="shared" si="9"/>
        <v/>
      </c>
      <c r="F209" s="11" t="str">
        <f>IF(ISBLANK(B209)=FALSE,IF(VLOOKUP(B209,Data_source!A:J,3,FALSE)="---","",VLOOKUP(B209,Data_source!A:J,3,FALSE)),"")</f>
        <v/>
      </c>
      <c r="G209" s="11" t="str">
        <f t="shared" si="10"/>
        <v/>
      </c>
      <c r="H209" s="12" t="str">
        <f>IF(ISBLANK(B209)=FALSE,IF(VLOOKUP(B209,Data_source!A:J,6,FALSE)="---","",VLOOKUP(B209,Data_source!A:J,6,FALSE)),"")</f>
        <v/>
      </c>
      <c r="I209" s="12" t="str">
        <f t="shared" si="11"/>
        <v/>
      </c>
      <c r="J209" s="46" t="str">
        <f>IF(ISBLANK(B209)=FALSE,IF(VLOOKUP(B209,Data_source!A:J,7,FALSE)=0,"",VLOOKUP(B209,Data_source!A:J,7,FALSE)),"")</f>
        <v/>
      </c>
      <c r="K209" s="46" t="str">
        <f>IF(ISBLANK(B209)=FALSE,IF(VLOOKUP(B209,Data_source!A:J,8,FALSE)=0,"",VLOOKUP(B209,Data_source!A:J,8,FALSE)),"")</f>
        <v/>
      </c>
      <c r="L209" s="46" t="str">
        <f>IF(ISBLANK(B209)=FALSE,IF(VLOOKUP(B209,Data_source!A:J,9,FALSE)=0,"",VLOOKUP(B209,Data_source!A:J,9,FALSE)),"")</f>
        <v/>
      </c>
      <c r="M209" s="23"/>
    </row>
    <row r="210" spans="1:13" x14ac:dyDescent="0.2">
      <c r="A210" s="13">
        <v>199</v>
      </c>
      <c r="B210" s="23"/>
      <c r="C210" s="10" t="str">
        <f>IF($E$5=1,IF(ISBLANK(B210)=FALSE,VLOOKUP(B210,Data_source!A:J,4,FALSE),""),IF(ISBLANK(B210)=FALSE,VLOOKUP(B210,Data_source!A:J,5,FALSE),""))</f>
        <v/>
      </c>
      <c r="D210" s="11" t="str">
        <f>IF(ISBLANK(B210)=FALSE,IF(VLOOKUP(B210,Data_source!A:J,2,FALSE)="---","",VLOOKUP(B210,Data_source!A:J,2,FALSE)),"")</f>
        <v/>
      </c>
      <c r="E210" s="11" t="str">
        <f t="shared" si="9"/>
        <v/>
      </c>
      <c r="F210" s="11" t="str">
        <f>IF(ISBLANK(B210)=FALSE,IF(VLOOKUP(B210,Data_source!A:J,3,FALSE)="---","",VLOOKUP(B210,Data_source!A:J,3,FALSE)),"")</f>
        <v/>
      </c>
      <c r="G210" s="11" t="str">
        <f t="shared" si="10"/>
        <v/>
      </c>
      <c r="H210" s="12" t="str">
        <f>IF(ISBLANK(B210)=FALSE,IF(VLOOKUP(B210,Data_source!A:J,6,FALSE)="---","",VLOOKUP(B210,Data_source!A:J,6,FALSE)),"")</f>
        <v/>
      </c>
      <c r="I210" s="12" t="str">
        <f t="shared" si="11"/>
        <v/>
      </c>
      <c r="J210" s="46" t="str">
        <f>IF(ISBLANK(B210)=FALSE,IF(VLOOKUP(B210,Data_source!A:J,7,FALSE)=0,"",VLOOKUP(B210,Data_source!A:J,7,FALSE)),"")</f>
        <v/>
      </c>
      <c r="K210" s="46" t="str">
        <f>IF(ISBLANK(B210)=FALSE,IF(VLOOKUP(B210,Data_source!A:J,8,FALSE)=0,"",VLOOKUP(B210,Data_source!A:J,8,FALSE)),"")</f>
        <v/>
      </c>
      <c r="L210" s="46" t="str">
        <f>IF(ISBLANK(B210)=FALSE,IF(VLOOKUP(B210,Data_source!A:J,9,FALSE)=0,"",VLOOKUP(B210,Data_source!A:J,9,FALSE)),"")</f>
        <v/>
      </c>
      <c r="M210" s="23"/>
    </row>
    <row r="211" spans="1:13" x14ac:dyDescent="0.2">
      <c r="A211" s="13">
        <v>200</v>
      </c>
      <c r="B211" s="23"/>
      <c r="C211" s="10" t="str">
        <f>IF($E$5=1,IF(ISBLANK(B211)=FALSE,VLOOKUP(B211,Data_source!A:J,4,FALSE),""),IF(ISBLANK(B211)=FALSE,VLOOKUP(B211,Data_source!A:J,5,FALSE),""))</f>
        <v/>
      </c>
      <c r="D211" s="11" t="str">
        <f>IF(ISBLANK(B211)=FALSE,IF(VLOOKUP(B211,Data_source!A:J,2,FALSE)="---","",VLOOKUP(B211,Data_source!A:J,2,FALSE)),"")</f>
        <v/>
      </c>
      <c r="E211" s="11" t="str">
        <f t="shared" si="9"/>
        <v/>
      </c>
      <c r="F211" s="11" t="str">
        <f>IF(ISBLANK(B211)=FALSE,IF(VLOOKUP(B211,Data_source!A:J,3,FALSE)="---","",VLOOKUP(B211,Data_source!A:J,3,FALSE)),"")</f>
        <v/>
      </c>
      <c r="G211" s="11" t="str">
        <f t="shared" si="10"/>
        <v/>
      </c>
      <c r="H211" s="12" t="str">
        <f>IF(ISBLANK(B211)=FALSE,IF(VLOOKUP(B211,Data_source!A:J,6,FALSE)="---","",VLOOKUP(B211,Data_source!A:J,6,FALSE)),"")</f>
        <v/>
      </c>
      <c r="I211" s="12" t="str">
        <f t="shared" si="11"/>
        <v/>
      </c>
      <c r="J211" s="46" t="str">
        <f>IF(ISBLANK(B211)=FALSE,IF(VLOOKUP(B211,Data_source!A:J,7,FALSE)=0,"",VLOOKUP(B211,Data_source!A:J,7,FALSE)),"")</f>
        <v/>
      </c>
      <c r="K211" s="46" t="str">
        <f>IF(ISBLANK(B211)=FALSE,IF(VLOOKUP(B211,Data_source!A:J,8,FALSE)=0,"",VLOOKUP(B211,Data_source!A:J,8,FALSE)),"")</f>
        <v/>
      </c>
      <c r="L211" s="46" t="str">
        <f>IF(ISBLANK(B211)=FALSE,IF(VLOOKUP(B211,Data_source!A:J,9,FALSE)=0,"",VLOOKUP(B211,Data_source!A:J,9,FALSE)),"")</f>
        <v/>
      </c>
      <c r="M211" s="23"/>
    </row>
    <row r="212" spans="1:13" x14ac:dyDescent="0.2">
      <c r="A212" s="13">
        <v>201</v>
      </c>
      <c r="B212" s="24"/>
      <c r="C212" s="10" t="str">
        <f>IF($E$5=1,IF(ISBLANK(B212)=FALSE,VLOOKUP(B212,Data_source!A:J,4,FALSE),""),IF(ISBLANK(B212)=FALSE,VLOOKUP(B212,Data_source!A:J,5,FALSE),""))</f>
        <v/>
      </c>
      <c r="D212" s="11" t="str">
        <f>IF(ISBLANK(B212)=FALSE,IF(VLOOKUP(B212,Data_source!A:J,2,FALSE)="---","",VLOOKUP(B212,Data_source!A:J,2,FALSE)),"")</f>
        <v/>
      </c>
      <c r="E212" s="11" t="str">
        <f t="shared" si="9"/>
        <v/>
      </c>
      <c r="F212" s="11" t="str">
        <f>IF(ISBLANK(B212)=FALSE,IF(VLOOKUP(B212,Data_source!A:J,3,FALSE)="---","",VLOOKUP(B212,Data_source!A:J,3,FALSE)),"")</f>
        <v/>
      </c>
      <c r="G212" s="11" t="str">
        <f t="shared" si="10"/>
        <v/>
      </c>
      <c r="H212" s="12" t="str">
        <f>IF(ISBLANK(B212)=FALSE,IF(VLOOKUP(B212,Data_source!A:J,6,FALSE)="---","",VLOOKUP(B212,Data_source!A:J,6,FALSE)),"")</f>
        <v/>
      </c>
      <c r="I212" s="12" t="str">
        <f t="shared" si="11"/>
        <v/>
      </c>
      <c r="J212" s="46" t="str">
        <f>IF(ISBLANK(B212)=FALSE,IF(VLOOKUP(B212,Data_source!A:J,7,FALSE)=0,"",VLOOKUP(B212,Data_source!A:J,7,FALSE)),"")</f>
        <v/>
      </c>
      <c r="K212" s="46" t="str">
        <f>IF(ISBLANK(B212)=FALSE,IF(VLOOKUP(B212,Data_source!A:J,8,FALSE)=0,"",VLOOKUP(B212,Data_source!A:J,8,FALSE)),"")</f>
        <v/>
      </c>
      <c r="L212" s="46" t="str">
        <f>IF(ISBLANK(B212)=FALSE,IF(VLOOKUP(B212,Data_source!A:J,9,FALSE)=0,"",VLOOKUP(B212,Data_source!A:J,9,FALSE)),"")</f>
        <v/>
      </c>
      <c r="M212" s="23"/>
    </row>
    <row r="213" spans="1:13" x14ac:dyDescent="0.2">
      <c r="A213" s="13">
        <v>202</v>
      </c>
      <c r="B213" s="24"/>
      <c r="C213" s="10" t="str">
        <f>IF($E$5=1,IF(ISBLANK(B213)=FALSE,VLOOKUP(B213,Data_source!A:J,4,FALSE),""),IF(ISBLANK(B213)=FALSE,VLOOKUP(B213,Data_source!A:J,5,FALSE),""))</f>
        <v/>
      </c>
      <c r="D213" s="11" t="str">
        <f>IF(ISBLANK(B213)=FALSE,IF(VLOOKUP(B213,Data_source!A:J,2,FALSE)="---","",VLOOKUP(B213,Data_source!A:J,2,FALSE)),"")</f>
        <v/>
      </c>
      <c r="E213" s="11" t="str">
        <f t="shared" si="9"/>
        <v/>
      </c>
      <c r="F213" s="11" t="str">
        <f>IF(ISBLANK(B213)=FALSE,IF(VLOOKUP(B213,Data_source!A:J,3,FALSE)="---","",VLOOKUP(B213,Data_source!A:J,3,FALSE)),"")</f>
        <v/>
      </c>
      <c r="G213" s="11" t="str">
        <f t="shared" si="10"/>
        <v/>
      </c>
      <c r="H213" s="12" t="str">
        <f>IF(ISBLANK(B213)=FALSE,IF(VLOOKUP(B213,Data_source!A:J,6,FALSE)="---","",VLOOKUP(B213,Data_source!A:J,6,FALSE)),"")</f>
        <v/>
      </c>
      <c r="I213" s="12" t="str">
        <f t="shared" si="11"/>
        <v/>
      </c>
      <c r="J213" s="46" t="str">
        <f>IF(ISBLANK(B213)=FALSE,IF(VLOOKUP(B213,Data_source!A:J,7,FALSE)=0,"",VLOOKUP(B213,Data_source!A:J,7,FALSE)),"")</f>
        <v/>
      </c>
      <c r="K213" s="46" t="str">
        <f>IF(ISBLANK(B213)=FALSE,IF(VLOOKUP(B213,Data_source!A:J,8,FALSE)=0,"",VLOOKUP(B213,Data_source!A:J,8,FALSE)),"")</f>
        <v/>
      </c>
      <c r="L213" s="46" t="str">
        <f>IF(ISBLANK(B213)=FALSE,IF(VLOOKUP(B213,Data_source!A:J,9,FALSE)=0,"",VLOOKUP(B213,Data_source!A:J,9,FALSE)),"")</f>
        <v/>
      </c>
      <c r="M213" s="23"/>
    </row>
    <row r="214" spans="1:13" x14ac:dyDescent="0.2">
      <c r="A214" s="13">
        <v>203</v>
      </c>
      <c r="B214" s="24"/>
      <c r="C214" s="10" t="str">
        <f>IF($E$5=1,IF(ISBLANK(B214)=FALSE,VLOOKUP(B214,Data_source!A:J,4,FALSE),""),IF(ISBLANK(B214)=FALSE,VLOOKUP(B214,Data_source!A:J,5,FALSE),""))</f>
        <v/>
      </c>
      <c r="D214" s="11" t="str">
        <f>IF(ISBLANK(B214)=FALSE,IF(VLOOKUP(B214,Data_source!A:J,2,FALSE)="---","",VLOOKUP(B214,Data_source!A:J,2,FALSE)),"")</f>
        <v/>
      </c>
      <c r="E214" s="11" t="str">
        <f t="shared" si="9"/>
        <v/>
      </c>
      <c r="F214" s="11" t="str">
        <f>IF(ISBLANK(B214)=FALSE,IF(VLOOKUP(B214,Data_source!A:J,3,FALSE)="---","",VLOOKUP(B214,Data_source!A:J,3,FALSE)),"")</f>
        <v/>
      </c>
      <c r="G214" s="11" t="str">
        <f t="shared" si="10"/>
        <v/>
      </c>
      <c r="H214" s="12" t="str">
        <f>IF(ISBLANK(B214)=FALSE,IF(VLOOKUP(B214,Data_source!A:J,6,FALSE)="---","",VLOOKUP(B214,Data_source!A:J,6,FALSE)),"")</f>
        <v/>
      </c>
      <c r="I214" s="12" t="str">
        <f t="shared" si="11"/>
        <v/>
      </c>
      <c r="J214" s="46" t="str">
        <f>IF(ISBLANK(B214)=FALSE,IF(VLOOKUP(B214,Data_source!A:J,7,FALSE)=0,"",VLOOKUP(B214,Data_source!A:J,7,FALSE)),"")</f>
        <v/>
      </c>
      <c r="K214" s="46" t="str">
        <f>IF(ISBLANK(B214)=FALSE,IF(VLOOKUP(B214,Data_source!A:J,8,FALSE)=0,"",VLOOKUP(B214,Data_source!A:J,8,FALSE)),"")</f>
        <v/>
      </c>
      <c r="L214" s="46" t="str">
        <f>IF(ISBLANK(B214)=FALSE,IF(VLOOKUP(B214,Data_source!A:J,9,FALSE)=0,"",VLOOKUP(B214,Data_source!A:J,9,FALSE)),"")</f>
        <v/>
      </c>
      <c r="M214" s="23"/>
    </row>
    <row r="215" spans="1:13" x14ac:dyDescent="0.2">
      <c r="A215" s="13">
        <v>204</v>
      </c>
      <c r="B215" s="24"/>
      <c r="C215" s="10" t="str">
        <f>IF($E$5=1,IF(ISBLANK(B215)=FALSE,VLOOKUP(B215,Data_source!A:J,4,FALSE),""),IF(ISBLANK(B215)=FALSE,VLOOKUP(B215,Data_source!A:J,5,FALSE),""))</f>
        <v/>
      </c>
      <c r="D215" s="11" t="str">
        <f>IF(ISBLANK(B215)=FALSE,IF(VLOOKUP(B215,Data_source!A:J,2,FALSE)="---","",VLOOKUP(B215,Data_source!A:J,2,FALSE)),"")</f>
        <v/>
      </c>
      <c r="E215" s="11" t="str">
        <f t="shared" si="9"/>
        <v/>
      </c>
      <c r="F215" s="11" t="str">
        <f>IF(ISBLANK(B215)=FALSE,IF(VLOOKUP(B215,Data_source!A:J,3,FALSE)="---","",VLOOKUP(B215,Data_source!A:J,3,FALSE)),"")</f>
        <v/>
      </c>
      <c r="G215" s="11" t="str">
        <f t="shared" si="10"/>
        <v/>
      </c>
      <c r="H215" s="12" t="str">
        <f>IF(ISBLANK(B215)=FALSE,IF(VLOOKUP(B215,Data_source!A:J,6,FALSE)="---","",VLOOKUP(B215,Data_source!A:J,6,FALSE)),"")</f>
        <v/>
      </c>
      <c r="I215" s="12" t="str">
        <f t="shared" si="11"/>
        <v/>
      </c>
      <c r="J215" s="46" t="str">
        <f>IF(ISBLANK(B215)=FALSE,IF(VLOOKUP(B215,Data_source!A:J,7,FALSE)=0,"",VLOOKUP(B215,Data_source!A:J,7,FALSE)),"")</f>
        <v/>
      </c>
      <c r="K215" s="46" t="str">
        <f>IF(ISBLANK(B215)=FALSE,IF(VLOOKUP(B215,Data_source!A:J,8,FALSE)=0,"",VLOOKUP(B215,Data_source!A:J,8,FALSE)),"")</f>
        <v/>
      </c>
      <c r="L215" s="46" t="str">
        <f>IF(ISBLANK(B215)=FALSE,IF(VLOOKUP(B215,Data_source!A:J,9,FALSE)=0,"",VLOOKUP(B215,Data_source!A:J,9,FALSE)),"")</f>
        <v/>
      </c>
      <c r="M215" s="23"/>
    </row>
    <row r="216" spans="1:13" x14ac:dyDescent="0.2">
      <c r="A216" s="13">
        <v>205</v>
      </c>
      <c r="B216" s="24"/>
      <c r="C216" s="10" t="str">
        <f>IF($E$5=1,IF(ISBLANK(B216)=FALSE,VLOOKUP(B216,Data_source!A:J,4,FALSE),""),IF(ISBLANK(B216)=FALSE,VLOOKUP(B216,Data_source!A:J,5,FALSE),""))</f>
        <v/>
      </c>
      <c r="D216" s="11" t="str">
        <f>IF(ISBLANK(B216)=FALSE,IF(VLOOKUP(B216,Data_source!A:J,2,FALSE)="---","",VLOOKUP(B216,Data_source!A:J,2,FALSE)),"")</f>
        <v/>
      </c>
      <c r="E216" s="11" t="str">
        <f t="shared" si="9"/>
        <v/>
      </c>
      <c r="F216" s="11" t="str">
        <f>IF(ISBLANK(B216)=FALSE,IF(VLOOKUP(B216,Data_source!A:J,3,FALSE)="---","",VLOOKUP(B216,Data_source!A:J,3,FALSE)),"")</f>
        <v/>
      </c>
      <c r="G216" s="11" t="str">
        <f t="shared" si="10"/>
        <v/>
      </c>
      <c r="H216" s="12" t="str">
        <f>IF(ISBLANK(B216)=FALSE,IF(VLOOKUP(B216,Data_source!A:J,6,FALSE)="---","",VLOOKUP(B216,Data_source!A:J,6,FALSE)),"")</f>
        <v/>
      </c>
      <c r="I216" s="12" t="str">
        <f t="shared" si="11"/>
        <v/>
      </c>
      <c r="J216" s="46" t="str">
        <f>IF(ISBLANK(B216)=FALSE,IF(VLOOKUP(B216,Data_source!A:J,7,FALSE)=0,"",VLOOKUP(B216,Data_source!A:J,7,FALSE)),"")</f>
        <v/>
      </c>
      <c r="K216" s="46" t="str">
        <f>IF(ISBLANK(B216)=FALSE,IF(VLOOKUP(B216,Data_source!A:J,8,FALSE)=0,"",VLOOKUP(B216,Data_source!A:J,8,FALSE)),"")</f>
        <v/>
      </c>
      <c r="L216" s="46" t="str">
        <f>IF(ISBLANK(B216)=FALSE,IF(VLOOKUP(B216,Data_source!A:J,9,FALSE)=0,"",VLOOKUP(B216,Data_source!A:J,9,FALSE)),"")</f>
        <v/>
      </c>
      <c r="M216" s="23"/>
    </row>
    <row r="217" spans="1:13" x14ac:dyDescent="0.2">
      <c r="A217" s="13">
        <v>206</v>
      </c>
      <c r="B217" s="24"/>
      <c r="C217" s="10" t="str">
        <f>IF($E$5=1,IF(ISBLANK(B217)=FALSE,VLOOKUP(B217,Data_source!A:J,4,FALSE),""),IF(ISBLANK(B217)=FALSE,VLOOKUP(B217,Data_source!A:J,5,FALSE),""))</f>
        <v/>
      </c>
      <c r="D217" s="11" t="str">
        <f>IF(ISBLANK(B217)=FALSE,IF(VLOOKUP(B217,Data_source!A:J,2,FALSE)="---","",VLOOKUP(B217,Data_source!A:J,2,FALSE)),"")</f>
        <v/>
      </c>
      <c r="E217" s="11" t="str">
        <f t="shared" si="9"/>
        <v/>
      </c>
      <c r="F217" s="11" t="str">
        <f>IF(ISBLANK(B217)=FALSE,IF(VLOOKUP(B217,Data_source!A:J,3,FALSE)="---","",VLOOKUP(B217,Data_source!A:J,3,FALSE)),"")</f>
        <v/>
      </c>
      <c r="G217" s="11" t="str">
        <f t="shared" si="10"/>
        <v/>
      </c>
      <c r="H217" s="12" t="str">
        <f>IF(ISBLANK(B217)=FALSE,IF(VLOOKUP(B217,Data_source!A:J,6,FALSE)="---","",VLOOKUP(B217,Data_source!A:J,6,FALSE)),"")</f>
        <v/>
      </c>
      <c r="I217" s="12" t="str">
        <f t="shared" si="11"/>
        <v/>
      </c>
      <c r="J217" s="46" t="str">
        <f>IF(ISBLANK(B217)=FALSE,IF(VLOOKUP(B217,Data_source!A:J,7,FALSE)=0,"",VLOOKUP(B217,Data_source!A:J,7,FALSE)),"")</f>
        <v/>
      </c>
      <c r="K217" s="46" t="str">
        <f>IF(ISBLANK(B217)=FALSE,IF(VLOOKUP(B217,Data_source!A:J,8,FALSE)=0,"",VLOOKUP(B217,Data_source!A:J,8,FALSE)),"")</f>
        <v/>
      </c>
      <c r="L217" s="46" t="str">
        <f>IF(ISBLANK(B217)=FALSE,IF(VLOOKUP(B217,Data_source!A:J,9,FALSE)=0,"",VLOOKUP(B217,Data_source!A:J,9,FALSE)),"")</f>
        <v/>
      </c>
      <c r="M217" s="23"/>
    </row>
    <row r="218" spans="1:13" x14ac:dyDescent="0.2">
      <c r="A218" s="13">
        <v>207</v>
      </c>
      <c r="B218" s="24"/>
      <c r="C218" s="10" t="str">
        <f>IF($E$5=1,IF(ISBLANK(B218)=FALSE,VLOOKUP(B218,Data_source!A:J,4,FALSE),""),IF(ISBLANK(B218)=FALSE,VLOOKUP(B218,Data_source!A:J,5,FALSE),""))</f>
        <v/>
      </c>
      <c r="D218" s="11" t="str">
        <f>IF(ISBLANK(B218)=FALSE,IF(VLOOKUP(B218,Data_source!A:J,2,FALSE)="---","",VLOOKUP(B218,Data_source!A:J,2,FALSE)),"")</f>
        <v/>
      </c>
      <c r="E218" s="11" t="str">
        <f t="shared" si="9"/>
        <v/>
      </c>
      <c r="F218" s="11" t="str">
        <f>IF(ISBLANK(B218)=FALSE,IF(VLOOKUP(B218,Data_source!A:J,3,FALSE)="---","",VLOOKUP(B218,Data_source!A:J,3,FALSE)),"")</f>
        <v/>
      </c>
      <c r="G218" s="11" t="str">
        <f t="shared" si="10"/>
        <v/>
      </c>
      <c r="H218" s="12" t="str">
        <f>IF(ISBLANK(B218)=FALSE,IF(VLOOKUP(B218,Data_source!A:J,6,FALSE)="---","",VLOOKUP(B218,Data_source!A:J,6,FALSE)),"")</f>
        <v/>
      </c>
      <c r="I218" s="12" t="str">
        <f t="shared" si="11"/>
        <v/>
      </c>
      <c r="J218" s="46" t="str">
        <f>IF(ISBLANK(B218)=FALSE,IF(VLOOKUP(B218,Data_source!A:J,7,FALSE)=0,"",VLOOKUP(B218,Data_source!A:J,7,FALSE)),"")</f>
        <v/>
      </c>
      <c r="K218" s="46" t="str">
        <f>IF(ISBLANK(B218)=FALSE,IF(VLOOKUP(B218,Data_source!A:J,8,FALSE)=0,"",VLOOKUP(B218,Data_source!A:J,8,FALSE)),"")</f>
        <v/>
      </c>
      <c r="L218" s="46" t="str">
        <f>IF(ISBLANK(B218)=FALSE,IF(VLOOKUP(B218,Data_source!A:J,9,FALSE)=0,"",VLOOKUP(B218,Data_source!A:J,9,FALSE)),"")</f>
        <v/>
      </c>
      <c r="M218" s="23"/>
    </row>
    <row r="219" spans="1:13" x14ac:dyDescent="0.2">
      <c r="A219" s="13">
        <v>208</v>
      </c>
      <c r="B219" s="24"/>
      <c r="C219" s="10" t="str">
        <f>IF($E$5=1,IF(ISBLANK(B219)=FALSE,VLOOKUP(B219,Data_source!A:J,4,FALSE),""),IF(ISBLANK(B219)=FALSE,VLOOKUP(B219,Data_source!A:J,5,FALSE),""))</f>
        <v/>
      </c>
      <c r="D219" s="11" t="str">
        <f>IF(ISBLANK(B219)=FALSE,IF(VLOOKUP(B219,Data_source!A:J,2,FALSE)="---","",VLOOKUP(B219,Data_source!A:J,2,FALSE)),"")</f>
        <v/>
      </c>
      <c r="E219" s="11" t="str">
        <f t="shared" si="9"/>
        <v/>
      </c>
      <c r="F219" s="11" t="str">
        <f>IF(ISBLANK(B219)=FALSE,IF(VLOOKUP(B219,Data_source!A:J,3,FALSE)="---","",VLOOKUP(B219,Data_source!A:J,3,FALSE)),"")</f>
        <v/>
      </c>
      <c r="G219" s="11" t="str">
        <f t="shared" si="10"/>
        <v/>
      </c>
      <c r="H219" s="12" t="str">
        <f>IF(ISBLANK(B219)=FALSE,IF(VLOOKUP(B219,Data_source!A:J,6,FALSE)="---","",VLOOKUP(B219,Data_source!A:J,6,FALSE)),"")</f>
        <v/>
      </c>
      <c r="I219" s="12" t="str">
        <f t="shared" si="11"/>
        <v/>
      </c>
      <c r="J219" s="46" t="str">
        <f>IF(ISBLANK(B219)=FALSE,IF(VLOOKUP(B219,Data_source!A:J,7,FALSE)=0,"",VLOOKUP(B219,Data_source!A:J,7,FALSE)),"")</f>
        <v/>
      </c>
      <c r="K219" s="46" t="str">
        <f>IF(ISBLANK(B219)=FALSE,IF(VLOOKUP(B219,Data_source!A:J,8,FALSE)=0,"",VLOOKUP(B219,Data_source!A:J,8,FALSE)),"")</f>
        <v/>
      </c>
      <c r="L219" s="46" t="str">
        <f>IF(ISBLANK(B219)=FALSE,IF(VLOOKUP(B219,Data_source!A:J,9,FALSE)=0,"",VLOOKUP(B219,Data_source!A:J,9,FALSE)),"")</f>
        <v/>
      </c>
      <c r="M219" s="23"/>
    </row>
    <row r="220" spans="1:13" x14ac:dyDescent="0.2">
      <c r="A220" s="13">
        <v>209</v>
      </c>
      <c r="B220" s="24"/>
      <c r="C220" s="10" t="str">
        <f>IF($E$5=1,IF(ISBLANK(B220)=FALSE,VLOOKUP(B220,Data_source!A:J,4,FALSE),""),IF(ISBLANK(B220)=FALSE,VLOOKUP(B220,Data_source!A:J,5,FALSE),""))</f>
        <v/>
      </c>
      <c r="D220" s="11" t="str">
        <f>IF(ISBLANK(B220)=FALSE,IF(VLOOKUP(B220,Data_source!A:J,2,FALSE)="---","",VLOOKUP(B220,Data_source!A:J,2,FALSE)),"")</f>
        <v/>
      </c>
      <c r="E220" s="11" t="str">
        <f t="shared" si="9"/>
        <v/>
      </c>
      <c r="F220" s="11" t="str">
        <f>IF(ISBLANK(B220)=FALSE,IF(VLOOKUP(B220,Data_source!A:J,3,FALSE)="---","",VLOOKUP(B220,Data_source!A:J,3,FALSE)),"")</f>
        <v/>
      </c>
      <c r="G220" s="11" t="str">
        <f t="shared" si="10"/>
        <v/>
      </c>
      <c r="H220" s="12" t="str">
        <f>IF(ISBLANK(B220)=FALSE,IF(VLOOKUP(B220,Data_source!A:J,6,FALSE)="---","",VLOOKUP(B220,Data_source!A:J,6,FALSE)),"")</f>
        <v/>
      </c>
      <c r="I220" s="12" t="str">
        <f t="shared" si="11"/>
        <v/>
      </c>
      <c r="J220" s="46" t="str">
        <f>IF(ISBLANK(B220)=FALSE,IF(VLOOKUP(B220,Data_source!A:J,7,FALSE)=0,"",VLOOKUP(B220,Data_source!A:J,7,FALSE)),"")</f>
        <v/>
      </c>
      <c r="K220" s="46" t="str">
        <f>IF(ISBLANK(B220)=FALSE,IF(VLOOKUP(B220,Data_source!A:J,8,FALSE)=0,"",VLOOKUP(B220,Data_source!A:J,8,FALSE)),"")</f>
        <v/>
      </c>
      <c r="L220" s="46" t="str">
        <f>IF(ISBLANK(B220)=FALSE,IF(VLOOKUP(B220,Data_source!A:J,9,FALSE)=0,"",VLOOKUP(B220,Data_source!A:J,9,FALSE)),"")</f>
        <v/>
      </c>
      <c r="M220" s="23"/>
    </row>
    <row r="221" spans="1:13" x14ac:dyDescent="0.2">
      <c r="A221" s="13">
        <v>210</v>
      </c>
      <c r="B221" s="23"/>
      <c r="C221" s="10" t="str">
        <f>IF($E$5=1,IF(ISBLANK(B221)=FALSE,VLOOKUP(B221,Data_source!A:J,4,FALSE),""),IF(ISBLANK(B221)=FALSE,VLOOKUP(B221,Data_source!A:J,5,FALSE),""))</f>
        <v/>
      </c>
      <c r="D221" s="11" t="str">
        <f>IF(ISBLANK(B221)=FALSE,IF(VLOOKUP(B221,Data_source!A:J,2,FALSE)="---","",VLOOKUP(B221,Data_source!A:J,2,FALSE)),"")</f>
        <v/>
      </c>
      <c r="E221" s="11" t="str">
        <f t="shared" si="9"/>
        <v/>
      </c>
      <c r="F221" s="11" t="str">
        <f>IF(ISBLANK(B221)=FALSE,IF(VLOOKUP(B221,Data_source!A:J,3,FALSE)="---","",VLOOKUP(B221,Data_source!A:J,3,FALSE)),"")</f>
        <v/>
      </c>
      <c r="G221" s="11" t="str">
        <f t="shared" si="10"/>
        <v/>
      </c>
      <c r="H221" s="12" t="str">
        <f>IF(ISBLANK(B221)=FALSE,IF(VLOOKUP(B221,Data_source!A:J,6,FALSE)="---","",VLOOKUP(B221,Data_source!A:J,6,FALSE)),"")</f>
        <v/>
      </c>
      <c r="I221" s="12" t="str">
        <f t="shared" si="11"/>
        <v/>
      </c>
      <c r="J221" s="46" t="str">
        <f>IF(ISBLANK(B221)=FALSE,IF(VLOOKUP(B221,Data_source!A:J,7,FALSE)=0,"",VLOOKUP(B221,Data_source!A:J,7,FALSE)),"")</f>
        <v/>
      </c>
      <c r="K221" s="46" t="str">
        <f>IF(ISBLANK(B221)=FALSE,IF(VLOOKUP(B221,Data_source!A:J,8,FALSE)=0,"",VLOOKUP(B221,Data_source!A:J,8,FALSE)),"")</f>
        <v/>
      </c>
      <c r="L221" s="46" t="str">
        <f>IF(ISBLANK(B221)=FALSE,IF(VLOOKUP(B221,Data_source!A:J,9,FALSE)=0,"",VLOOKUP(B221,Data_source!A:J,9,FALSE)),"")</f>
        <v/>
      </c>
      <c r="M221" s="23"/>
    </row>
    <row r="222" spans="1:13" x14ac:dyDescent="0.2">
      <c r="A222" s="13">
        <v>211</v>
      </c>
      <c r="B222" s="23"/>
      <c r="C222" s="10" t="str">
        <f>IF($E$5=1,IF(ISBLANK(B222)=FALSE,VLOOKUP(B222,Data_source!A:J,4,FALSE),""),IF(ISBLANK(B222)=FALSE,VLOOKUP(B222,Data_source!A:J,5,FALSE),""))</f>
        <v/>
      </c>
      <c r="D222" s="11" t="str">
        <f>IF(ISBLANK(B222)=FALSE,IF(VLOOKUP(B222,Data_source!A:J,2,FALSE)="---","",VLOOKUP(B222,Data_source!A:J,2,FALSE)),"")</f>
        <v/>
      </c>
      <c r="E222" s="11" t="str">
        <f t="shared" si="9"/>
        <v/>
      </c>
      <c r="F222" s="11" t="str">
        <f>IF(ISBLANK(B222)=FALSE,IF(VLOOKUP(B222,Data_source!A:J,3,FALSE)="---","",VLOOKUP(B222,Data_source!A:J,3,FALSE)),"")</f>
        <v/>
      </c>
      <c r="G222" s="11" t="str">
        <f t="shared" si="10"/>
        <v/>
      </c>
      <c r="H222" s="12" t="str">
        <f>IF(ISBLANK(B222)=FALSE,IF(VLOOKUP(B222,Data_source!A:J,6,FALSE)="---","",VLOOKUP(B222,Data_source!A:J,6,FALSE)),"")</f>
        <v/>
      </c>
      <c r="I222" s="12" t="str">
        <f t="shared" si="11"/>
        <v/>
      </c>
      <c r="J222" s="46" t="str">
        <f>IF(ISBLANK(B222)=FALSE,IF(VLOOKUP(B222,Data_source!A:J,7,FALSE)=0,"",VLOOKUP(B222,Data_source!A:J,7,FALSE)),"")</f>
        <v/>
      </c>
      <c r="K222" s="46" t="str">
        <f>IF(ISBLANK(B222)=FALSE,IF(VLOOKUP(B222,Data_source!A:J,8,FALSE)=0,"",VLOOKUP(B222,Data_source!A:J,8,FALSE)),"")</f>
        <v/>
      </c>
      <c r="L222" s="46" t="str">
        <f>IF(ISBLANK(B222)=FALSE,IF(VLOOKUP(B222,Data_source!A:J,9,FALSE)=0,"",VLOOKUP(B222,Data_source!A:J,9,FALSE)),"")</f>
        <v/>
      </c>
      <c r="M222" s="23"/>
    </row>
    <row r="223" spans="1:13" x14ac:dyDescent="0.2">
      <c r="A223" s="13">
        <v>212</v>
      </c>
      <c r="B223" s="26"/>
      <c r="C223" s="10" t="str">
        <f>IF($E$5=1,IF(ISBLANK(B223)=FALSE,VLOOKUP(B223,Data_source!A:J,4,FALSE),""),IF(ISBLANK(B223)=FALSE,VLOOKUP(B223,Data_source!A:J,5,FALSE),""))</f>
        <v/>
      </c>
      <c r="D223" s="11" t="str">
        <f>IF(ISBLANK(B223)=FALSE,IF(VLOOKUP(B223,Data_source!A:J,2,FALSE)="---","",VLOOKUP(B223,Data_source!A:J,2,FALSE)),"")</f>
        <v/>
      </c>
      <c r="E223" s="11" t="str">
        <f t="shared" si="9"/>
        <v/>
      </c>
      <c r="F223" s="11" t="str">
        <f>IF(ISBLANK(B223)=FALSE,IF(VLOOKUP(B223,Data_source!A:J,3,FALSE)="---","",VLOOKUP(B223,Data_source!A:J,3,FALSE)),"")</f>
        <v/>
      </c>
      <c r="G223" s="11" t="str">
        <f t="shared" si="10"/>
        <v/>
      </c>
      <c r="H223" s="12" t="str">
        <f>IF(ISBLANK(B223)=FALSE,IF(VLOOKUP(B223,Data_source!A:J,6,FALSE)="---","",VLOOKUP(B223,Data_source!A:J,6,FALSE)),"")</f>
        <v/>
      </c>
      <c r="I223" s="12" t="str">
        <f t="shared" si="11"/>
        <v/>
      </c>
      <c r="J223" s="46" t="str">
        <f>IF(ISBLANK(B223)=FALSE,IF(VLOOKUP(B223,Data_source!A:J,7,FALSE)=0,"",VLOOKUP(B223,Data_source!A:J,7,FALSE)),"")</f>
        <v/>
      </c>
      <c r="K223" s="46" t="str">
        <f>IF(ISBLANK(B223)=FALSE,IF(VLOOKUP(B223,Data_source!A:J,8,FALSE)=0,"",VLOOKUP(B223,Data_source!A:J,8,FALSE)),"")</f>
        <v/>
      </c>
      <c r="L223" s="46" t="str">
        <f>IF(ISBLANK(B223)=FALSE,IF(VLOOKUP(B223,Data_source!A:J,9,FALSE)=0,"",VLOOKUP(B223,Data_source!A:J,9,FALSE)),"")</f>
        <v/>
      </c>
      <c r="M223" s="23"/>
    </row>
    <row r="224" spans="1:13" x14ac:dyDescent="0.2">
      <c r="A224" s="13">
        <v>213</v>
      </c>
      <c r="B224" s="23"/>
      <c r="C224" s="10" t="str">
        <f>IF($E$5=1,IF(ISBLANK(B224)=FALSE,VLOOKUP(B224,Data_source!A:J,4,FALSE),""),IF(ISBLANK(B224)=FALSE,VLOOKUP(B224,Data_source!A:J,5,FALSE),""))</f>
        <v/>
      </c>
      <c r="D224" s="11" t="str">
        <f>IF(ISBLANK(B224)=FALSE,IF(VLOOKUP(B224,Data_source!A:J,2,FALSE)="---","",VLOOKUP(B224,Data_source!A:J,2,FALSE)),"")</f>
        <v/>
      </c>
      <c r="E224" s="11" t="str">
        <f t="shared" si="9"/>
        <v/>
      </c>
      <c r="F224" s="11" t="str">
        <f>IF(ISBLANK(B224)=FALSE,IF(VLOOKUP(B224,Data_source!A:J,3,FALSE)="---","",VLOOKUP(B224,Data_source!A:J,3,FALSE)),"")</f>
        <v/>
      </c>
      <c r="G224" s="11" t="str">
        <f t="shared" si="10"/>
        <v/>
      </c>
      <c r="H224" s="12" t="str">
        <f>IF(ISBLANK(B224)=FALSE,IF(VLOOKUP(B224,Data_source!A:J,6,FALSE)="---","",VLOOKUP(B224,Data_source!A:J,6,FALSE)),"")</f>
        <v/>
      </c>
      <c r="I224" s="12" t="str">
        <f t="shared" si="11"/>
        <v/>
      </c>
      <c r="J224" s="46" t="str">
        <f>IF(ISBLANK(B224)=FALSE,IF(VLOOKUP(B224,Data_source!A:J,7,FALSE)=0,"",VLOOKUP(B224,Data_source!A:J,7,FALSE)),"")</f>
        <v/>
      </c>
      <c r="K224" s="46" t="str">
        <f>IF(ISBLANK(B224)=FALSE,IF(VLOOKUP(B224,Data_source!A:J,8,FALSE)=0,"",VLOOKUP(B224,Data_source!A:J,8,FALSE)),"")</f>
        <v/>
      </c>
      <c r="L224" s="46" t="str">
        <f>IF(ISBLANK(B224)=FALSE,IF(VLOOKUP(B224,Data_source!A:J,9,FALSE)=0,"",VLOOKUP(B224,Data_source!A:J,9,FALSE)),"")</f>
        <v/>
      </c>
      <c r="M224" s="23"/>
    </row>
    <row r="225" spans="1:13" x14ac:dyDescent="0.2">
      <c r="A225" s="13">
        <v>214</v>
      </c>
      <c r="B225" s="23"/>
      <c r="C225" s="10" t="str">
        <f>IF($E$5=1,IF(ISBLANK(B225)=FALSE,VLOOKUP(B225,Data_source!A:J,4,FALSE),""),IF(ISBLANK(B225)=FALSE,VLOOKUP(B225,Data_source!A:J,5,FALSE),""))</f>
        <v/>
      </c>
      <c r="D225" s="11" t="str">
        <f>IF(ISBLANK(B225)=FALSE,IF(VLOOKUP(B225,Data_source!A:J,2,FALSE)="---","",VLOOKUP(B225,Data_source!A:J,2,FALSE)),"")</f>
        <v/>
      </c>
      <c r="E225" s="11" t="str">
        <f t="shared" si="9"/>
        <v/>
      </c>
      <c r="F225" s="11" t="str">
        <f>IF(ISBLANK(B225)=FALSE,IF(VLOOKUP(B225,Data_source!A:J,3,FALSE)="---","",VLOOKUP(B225,Data_source!A:J,3,FALSE)),"")</f>
        <v/>
      </c>
      <c r="G225" s="11" t="str">
        <f t="shared" si="10"/>
        <v/>
      </c>
      <c r="H225" s="12" t="str">
        <f>IF(ISBLANK(B225)=FALSE,IF(VLOOKUP(B225,Data_source!A:J,6,FALSE)="---","",VLOOKUP(B225,Data_source!A:J,6,FALSE)),"")</f>
        <v/>
      </c>
      <c r="I225" s="12" t="str">
        <f t="shared" si="11"/>
        <v/>
      </c>
      <c r="J225" s="46" t="str">
        <f>IF(ISBLANK(B225)=FALSE,IF(VLOOKUP(B225,Data_source!A:J,7,FALSE)=0,"",VLOOKUP(B225,Data_source!A:J,7,FALSE)),"")</f>
        <v/>
      </c>
      <c r="K225" s="46" t="str">
        <f>IF(ISBLANK(B225)=FALSE,IF(VLOOKUP(B225,Data_source!A:J,8,FALSE)=0,"",VLOOKUP(B225,Data_source!A:J,8,FALSE)),"")</f>
        <v/>
      </c>
      <c r="L225" s="46" t="str">
        <f>IF(ISBLANK(B225)=FALSE,IF(VLOOKUP(B225,Data_source!A:J,9,FALSE)=0,"",VLOOKUP(B225,Data_source!A:J,9,FALSE)),"")</f>
        <v/>
      </c>
      <c r="M225" s="23"/>
    </row>
    <row r="226" spans="1:13" x14ac:dyDescent="0.2">
      <c r="A226" s="13">
        <v>215</v>
      </c>
      <c r="B226" s="23"/>
      <c r="C226" s="10" t="str">
        <f>IF($E$5=1,IF(ISBLANK(B226)=FALSE,VLOOKUP(B226,Data_source!A:J,4,FALSE),""),IF(ISBLANK(B226)=FALSE,VLOOKUP(B226,Data_source!A:J,5,FALSE),""))</f>
        <v/>
      </c>
      <c r="D226" s="11" t="str">
        <f>IF(ISBLANK(B226)=FALSE,IF(VLOOKUP(B226,Data_source!A:J,2,FALSE)="---","",VLOOKUP(B226,Data_source!A:J,2,FALSE)),"")</f>
        <v/>
      </c>
      <c r="E226" s="11" t="str">
        <f t="shared" si="9"/>
        <v/>
      </c>
      <c r="F226" s="11" t="str">
        <f>IF(ISBLANK(B226)=FALSE,IF(VLOOKUP(B226,Data_source!A:J,3,FALSE)="---","",VLOOKUP(B226,Data_source!A:J,3,FALSE)),"")</f>
        <v/>
      </c>
      <c r="G226" s="11" t="str">
        <f t="shared" si="10"/>
        <v/>
      </c>
      <c r="H226" s="12" t="str">
        <f>IF(ISBLANK(B226)=FALSE,IF(VLOOKUP(B226,Data_source!A:J,6,FALSE)="---","",VLOOKUP(B226,Data_source!A:J,6,FALSE)),"")</f>
        <v/>
      </c>
      <c r="I226" s="12" t="str">
        <f t="shared" si="11"/>
        <v/>
      </c>
      <c r="J226" s="46" t="str">
        <f>IF(ISBLANK(B226)=FALSE,IF(VLOOKUP(B226,Data_source!A:J,7,FALSE)=0,"",VLOOKUP(B226,Data_source!A:J,7,FALSE)),"")</f>
        <v/>
      </c>
      <c r="K226" s="46" t="str">
        <f>IF(ISBLANK(B226)=FALSE,IF(VLOOKUP(B226,Data_source!A:J,8,FALSE)=0,"",VLOOKUP(B226,Data_source!A:J,8,FALSE)),"")</f>
        <v/>
      </c>
      <c r="L226" s="46" t="str">
        <f>IF(ISBLANK(B226)=FALSE,IF(VLOOKUP(B226,Data_source!A:J,9,FALSE)=0,"",VLOOKUP(B226,Data_source!A:J,9,FALSE)),"")</f>
        <v/>
      </c>
      <c r="M226" s="23"/>
    </row>
    <row r="227" spans="1:13" x14ac:dyDescent="0.2">
      <c r="A227" s="13">
        <v>216</v>
      </c>
      <c r="B227" s="23"/>
      <c r="C227" s="10" t="str">
        <f>IF($E$5=1,IF(ISBLANK(B227)=FALSE,VLOOKUP(B227,Data_source!A:J,4,FALSE),""),IF(ISBLANK(B227)=FALSE,VLOOKUP(B227,Data_source!A:J,5,FALSE),""))</f>
        <v/>
      </c>
      <c r="D227" s="11" t="str">
        <f>IF(ISBLANK(B227)=FALSE,IF(VLOOKUP(B227,Data_source!A:J,2,FALSE)="---","",VLOOKUP(B227,Data_source!A:J,2,FALSE)),"")</f>
        <v/>
      </c>
      <c r="E227" s="11" t="str">
        <f t="shared" si="9"/>
        <v/>
      </c>
      <c r="F227" s="11" t="str">
        <f>IF(ISBLANK(B227)=FALSE,IF(VLOOKUP(B227,Data_source!A:J,3,FALSE)="---","",VLOOKUP(B227,Data_source!A:J,3,FALSE)),"")</f>
        <v/>
      </c>
      <c r="G227" s="11" t="str">
        <f t="shared" si="10"/>
        <v/>
      </c>
      <c r="H227" s="12" t="str">
        <f>IF(ISBLANK(B227)=FALSE,IF(VLOOKUP(B227,Data_source!A:J,6,FALSE)="---","",VLOOKUP(B227,Data_source!A:J,6,FALSE)),"")</f>
        <v/>
      </c>
      <c r="I227" s="12" t="str">
        <f t="shared" si="11"/>
        <v/>
      </c>
      <c r="J227" s="46" t="str">
        <f>IF(ISBLANK(B227)=FALSE,IF(VLOOKUP(B227,Data_source!A:J,7,FALSE)=0,"",VLOOKUP(B227,Data_source!A:J,7,FALSE)),"")</f>
        <v/>
      </c>
      <c r="K227" s="46" t="str">
        <f>IF(ISBLANK(B227)=FALSE,IF(VLOOKUP(B227,Data_source!A:J,8,FALSE)=0,"",VLOOKUP(B227,Data_source!A:J,8,FALSE)),"")</f>
        <v/>
      </c>
      <c r="L227" s="46" t="str">
        <f>IF(ISBLANK(B227)=FALSE,IF(VLOOKUP(B227,Data_source!A:J,9,FALSE)=0,"",VLOOKUP(B227,Data_source!A:J,9,FALSE)),"")</f>
        <v/>
      </c>
      <c r="M227" s="23"/>
    </row>
    <row r="228" spans="1:13" x14ac:dyDescent="0.2">
      <c r="A228" s="13">
        <v>217</v>
      </c>
      <c r="B228" s="23"/>
      <c r="C228" s="10" t="str">
        <f>IF($E$5=1,IF(ISBLANK(B228)=FALSE,VLOOKUP(B228,Data_source!A:J,4,FALSE),""),IF(ISBLANK(B228)=FALSE,VLOOKUP(B228,Data_source!A:J,5,FALSE),""))</f>
        <v/>
      </c>
      <c r="D228" s="11" t="str">
        <f>IF(ISBLANK(B228)=FALSE,IF(VLOOKUP(B228,Data_source!A:J,2,FALSE)="---","",VLOOKUP(B228,Data_source!A:J,2,FALSE)),"")</f>
        <v/>
      </c>
      <c r="E228" s="11" t="str">
        <f t="shared" si="9"/>
        <v/>
      </c>
      <c r="F228" s="11" t="str">
        <f>IF(ISBLANK(B228)=FALSE,IF(VLOOKUP(B228,Data_source!A:J,3,FALSE)="---","",VLOOKUP(B228,Data_source!A:J,3,FALSE)),"")</f>
        <v/>
      </c>
      <c r="G228" s="11" t="str">
        <f t="shared" si="10"/>
        <v/>
      </c>
      <c r="H228" s="12" t="str">
        <f>IF(ISBLANK(B228)=FALSE,IF(VLOOKUP(B228,Data_source!A:J,6,FALSE)="---","",VLOOKUP(B228,Data_source!A:J,6,FALSE)),"")</f>
        <v/>
      </c>
      <c r="I228" s="12" t="str">
        <f t="shared" si="11"/>
        <v/>
      </c>
      <c r="J228" s="46" t="str">
        <f>IF(ISBLANK(B228)=FALSE,IF(VLOOKUP(B228,Data_source!A:J,7,FALSE)=0,"",VLOOKUP(B228,Data_source!A:J,7,FALSE)),"")</f>
        <v/>
      </c>
      <c r="K228" s="46" t="str">
        <f>IF(ISBLANK(B228)=FALSE,IF(VLOOKUP(B228,Data_source!A:J,8,FALSE)=0,"",VLOOKUP(B228,Data_source!A:J,8,FALSE)),"")</f>
        <v/>
      </c>
      <c r="L228" s="46" t="str">
        <f>IF(ISBLANK(B228)=FALSE,IF(VLOOKUP(B228,Data_source!A:J,9,FALSE)=0,"",VLOOKUP(B228,Data_source!A:J,9,FALSE)),"")</f>
        <v/>
      </c>
      <c r="M228" s="23"/>
    </row>
    <row r="229" spans="1:13" x14ac:dyDescent="0.2">
      <c r="A229" s="13">
        <v>218</v>
      </c>
      <c r="B229" s="23"/>
      <c r="C229" s="10" t="str">
        <f>IF($E$5=1,IF(ISBLANK(B229)=FALSE,VLOOKUP(B229,Data_source!A:J,4,FALSE),""),IF(ISBLANK(B229)=FALSE,VLOOKUP(B229,Data_source!A:J,5,FALSE),""))</f>
        <v/>
      </c>
      <c r="D229" s="11" t="str">
        <f>IF(ISBLANK(B229)=FALSE,IF(VLOOKUP(B229,Data_source!A:J,2,FALSE)="---","",VLOOKUP(B229,Data_source!A:J,2,FALSE)),"")</f>
        <v/>
      </c>
      <c r="E229" s="11" t="str">
        <f t="shared" si="9"/>
        <v/>
      </c>
      <c r="F229" s="11" t="str">
        <f>IF(ISBLANK(B229)=FALSE,IF(VLOOKUP(B229,Data_source!A:J,3,FALSE)="---","",VLOOKUP(B229,Data_source!A:J,3,FALSE)),"")</f>
        <v/>
      </c>
      <c r="G229" s="11" t="str">
        <f t="shared" si="10"/>
        <v/>
      </c>
      <c r="H229" s="12" t="str">
        <f>IF(ISBLANK(B229)=FALSE,IF(VLOOKUP(B229,Data_source!A:J,6,FALSE)="---","",VLOOKUP(B229,Data_source!A:J,6,FALSE)),"")</f>
        <v/>
      </c>
      <c r="I229" s="12" t="str">
        <f t="shared" si="11"/>
        <v/>
      </c>
      <c r="J229" s="46" t="str">
        <f>IF(ISBLANK(B229)=FALSE,IF(VLOOKUP(B229,Data_source!A:J,7,FALSE)=0,"",VLOOKUP(B229,Data_source!A:J,7,FALSE)),"")</f>
        <v/>
      </c>
      <c r="K229" s="46" t="str">
        <f>IF(ISBLANK(B229)=FALSE,IF(VLOOKUP(B229,Data_source!A:J,8,FALSE)=0,"",VLOOKUP(B229,Data_source!A:J,8,FALSE)),"")</f>
        <v/>
      </c>
      <c r="L229" s="46" t="str">
        <f>IF(ISBLANK(B229)=FALSE,IF(VLOOKUP(B229,Data_source!A:J,9,FALSE)=0,"",VLOOKUP(B229,Data_source!A:J,9,FALSE)),"")</f>
        <v/>
      </c>
      <c r="M229" s="23"/>
    </row>
    <row r="230" spans="1:13" x14ac:dyDescent="0.2">
      <c r="A230" s="13">
        <v>219</v>
      </c>
      <c r="B230" s="23"/>
      <c r="C230" s="10" t="str">
        <f>IF($E$5=1,IF(ISBLANK(B230)=FALSE,VLOOKUP(B230,Data_source!A:J,4,FALSE),""),IF(ISBLANK(B230)=FALSE,VLOOKUP(B230,Data_source!A:J,5,FALSE),""))</f>
        <v/>
      </c>
      <c r="D230" s="11" t="str">
        <f>IF(ISBLANK(B230)=FALSE,IF(VLOOKUP(B230,Data_source!A:J,2,FALSE)="---","",VLOOKUP(B230,Data_source!A:J,2,FALSE)),"")</f>
        <v/>
      </c>
      <c r="E230" s="11" t="str">
        <f t="shared" si="9"/>
        <v/>
      </c>
      <c r="F230" s="11" t="str">
        <f>IF(ISBLANK(B230)=FALSE,IF(VLOOKUP(B230,Data_source!A:J,3,FALSE)="---","",VLOOKUP(B230,Data_source!A:J,3,FALSE)),"")</f>
        <v/>
      </c>
      <c r="G230" s="11" t="str">
        <f t="shared" si="10"/>
        <v/>
      </c>
      <c r="H230" s="12" t="str">
        <f>IF(ISBLANK(B230)=FALSE,IF(VLOOKUP(B230,Data_source!A:J,6,FALSE)="---","",VLOOKUP(B230,Data_source!A:J,6,FALSE)),"")</f>
        <v/>
      </c>
      <c r="I230" s="12" t="str">
        <f t="shared" si="11"/>
        <v/>
      </c>
      <c r="J230" s="46" t="str">
        <f>IF(ISBLANK(B230)=FALSE,IF(VLOOKUP(B230,Data_source!A:J,7,FALSE)=0,"",VLOOKUP(B230,Data_source!A:J,7,FALSE)),"")</f>
        <v/>
      </c>
      <c r="K230" s="46" t="str">
        <f>IF(ISBLANK(B230)=FALSE,IF(VLOOKUP(B230,Data_source!A:J,8,FALSE)=0,"",VLOOKUP(B230,Data_source!A:J,8,FALSE)),"")</f>
        <v/>
      </c>
      <c r="L230" s="46" t="str">
        <f>IF(ISBLANK(B230)=FALSE,IF(VLOOKUP(B230,Data_source!A:J,9,FALSE)=0,"",VLOOKUP(B230,Data_source!A:J,9,FALSE)),"")</f>
        <v/>
      </c>
      <c r="M230" s="23"/>
    </row>
    <row r="231" spans="1:13" x14ac:dyDescent="0.2">
      <c r="A231" s="13">
        <v>220</v>
      </c>
      <c r="B231" s="23"/>
      <c r="C231" s="10" t="str">
        <f>IF($E$5=1,IF(ISBLANK(B231)=FALSE,VLOOKUP(B231,Data_source!A:J,4,FALSE),""),IF(ISBLANK(B231)=FALSE,VLOOKUP(B231,Data_source!A:J,5,FALSE),""))</f>
        <v/>
      </c>
      <c r="D231" s="11" t="str">
        <f>IF(ISBLANK(B231)=FALSE,IF(VLOOKUP(B231,Data_source!A:J,2,FALSE)="---","",VLOOKUP(B231,Data_source!A:J,2,FALSE)),"")</f>
        <v/>
      </c>
      <c r="E231" s="11" t="str">
        <f t="shared" si="9"/>
        <v/>
      </c>
      <c r="F231" s="11" t="str">
        <f>IF(ISBLANK(B231)=FALSE,IF(VLOOKUP(B231,Data_source!A:J,3,FALSE)="---","",VLOOKUP(B231,Data_source!A:J,3,FALSE)),"")</f>
        <v/>
      </c>
      <c r="G231" s="11" t="str">
        <f t="shared" si="10"/>
        <v/>
      </c>
      <c r="H231" s="12" t="str">
        <f>IF(ISBLANK(B231)=FALSE,IF(VLOOKUP(B231,Data_source!A:J,6,FALSE)="---","",VLOOKUP(B231,Data_source!A:J,6,FALSE)),"")</f>
        <v/>
      </c>
      <c r="I231" s="12" t="str">
        <f t="shared" si="11"/>
        <v/>
      </c>
      <c r="J231" s="46" t="str">
        <f>IF(ISBLANK(B231)=FALSE,IF(VLOOKUP(B231,Data_source!A:J,7,FALSE)=0,"",VLOOKUP(B231,Data_source!A:J,7,FALSE)),"")</f>
        <v/>
      </c>
      <c r="K231" s="46" t="str">
        <f>IF(ISBLANK(B231)=FALSE,IF(VLOOKUP(B231,Data_source!A:J,8,FALSE)=0,"",VLOOKUP(B231,Data_source!A:J,8,FALSE)),"")</f>
        <v/>
      </c>
      <c r="L231" s="46" t="str">
        <f>IF(ISBLANK(B231)=FALSE,IF(VLOOKUP(B231,Data_source!A:J,9,FALSE)=0,"",VLOOKUP(B231,Data_source!A:J,9,FALSE)),"")</f>
        <v/>
      </c>
      <c r="M231" s="23"/>
    </row>
    <row r="232" spans="1:13" x14ac:dyDescent="0.2">
      <c r="A232" s="13">
        <v>221</v>
      </c>
      <c r="B232" s="23"/>
      <c r="C232" s="10" t="str">
        <f>IF($E$5=1,IF(ISBLANK(B232)=FALSE,VLOOKUP(B232,Data_source!A:J,4,FALSE),""),IF(ISBLANK(B232)=FALSE,VLOOKUP(B232,Data_source!A:J,5,FALSE),""))</f>
        <v/>
      </c>
      <c r="D232" s="11" t="str">
        <f>IF(ISBLANK(B232)=FALSE,IF(VLOOKUP(B232,Data_source!A:J,2,FALSE)="---","",VLOOKUP(B232,Data_source!A:J,2,FALSE)),"")</f>
        <v/>
      </c>
      <c r="E232" s="11" t="str">
        <f t="shared" si="9"/>
        <v/>
      </c>
      <c r="F232" s="11" t="str">
        <f>IF(ISBLANK(B232)=FALSE,IF(VLOOKUP(B232,Data_source!A:J,3,FALSE)="---","",VLOOKUP(B232,Data_source!A:J,3,FALSE)),"")</f>
        <v/>
      </c>
      <c r="G232" s="11" t="str">
        <f t="shared" si="10"/>
        <v/>
      </c>
      <c r="H232" s="12" t="str">
        <f>IF(ISBLANK(B232)=FALSE,IF(VLOOKUP(B232,Data_source!A:J,6,FALSE)="---","",VLOOKUP(B232,Data_source!A:J,6,FALSE)),"")</f>
        <v/>
      </c>
      <c r="I232" s="12" t="str">
        <f t="shared" si="11"/>
        <v/>
      </c>
      <c r="J232" s="46" t="str">
        <f>IF(ISBLANK(B232)=FALSE,IF(VLOOKUP(B232,Data_source!A:J,7,FALSE)=0,"",VLOOKUP(B232,Data_source!A:J,7,FALSE)),"")</f>
        <v/>
      </c>
      <c r="K232" s="46" t="str">
        <f>IF(ISBLANK(B232)=FALSE,IF(VLOOKUP(B232,Data_source!A:J,8,FALSE)=0,"",VLOOKUP(B232,Data_source!A:J,8,FALSE)),"")</f>
        <v/>
      </c>
      <c r="L232" s="46" t="str">
        <f>IF(ISBLANK(B232)=FALSE,IF(VLOOKUP(B232,Data_source!A:J,9,FALSE)=0,"",VLOOKUP(B232,Data_source!A:J,9,FALSE)),"")</f>
        <v/>
      </c>
      <c r="M232" s="23"/>
    </row>
    <row r="233" spans="1:13" x14ac:dyDescent="0.2">
      <c r="A233" s="13">
        <v>222</v>
      </c>
      <c r="B233" s="23"/>
      <c r="C233" s="10" t="str">
        <f>IF($E$5=1,IF(ISBLANK(B233)=FALSE,VLOOKUP(B233,Data_source!A:J,4,FALSE),""),IF(ISBLANK(B233)=FALSE,VLOOKUP(B233,Data_source!A:J,5,FALSE),""))</f>
        <v/>
      </c>
      <c r="D233" s="11" t="str">
        <f>IF(ISBLANK(B233)=FALSE,IF(VLOOKUP(B233,Data_source!A:J,2,FALSE)="---","",VLOOKUP(B233,Data_source!A:J,2,FALSE)),"")</f>
        <v/>
      </c>
      <c r="E233" s="11" t="str">
        <f t="shared" si="9"/>
        <v/>
      </c>
      <c r="F233" s="11" t="str">
        <f>IF(ISBLANK(B233)=FALSE,IF(VLOOKUP(B233,Data_source!A:J,3,FALSE)="---","",VLOOKUP(B233,Data_source!A:J,3,FALSE)),"")</f>
        <v/>
      </c>
      <c r="G233" s="11" t="str">
        <f t="shared" si="10"/>
        <v/>
      </c>
      <c r="H233" s="12" t="str">
        <f>IF(ISBLANK(B233)=FALSE,IF(VLOOKUP(B233,Data_source!A:J,6,FALSE)="---","",VLOOKUP(B233,Data_source!A:J,6,FALSE)),"")</f>
        <v/>
      </c>
      <c r="I233" s="12" t="str">
        <f t="shared" si="11"/>
        <v/>
      </c>
      <c r="J233" s="46" t="str">
        <f>IF(ISBLANK(B233)=FALSE,IF(VLOOKUP(B233,Data_source!A:J,7,FALSE)=0,"",VLOOKUP(B233,Data_source!A:J,7,FALSE)),"")</f>
        <v/>
      </c>
      <c r="K233" s="46" t="str">
        <f>IF(ISBLANK(B233)=FALSE,IF(VLOOKUP(B233,Data_source!A:J,8,FALSE)=0,"",VLOOKUP(B233,Data_source!A:J,8,FALSE)),"")</f>
        <v/>
      </c>
      <c r="L233" s="46" t="str">
        <f>IF(ISBLANK(B233)=FALSE,IF(VLOOKUP(B233,Data_source!A:J,9,FALSE)=0,"",VLOOKUP(B233,Data_source!A:J,9,FALSE)),"")</f>
        <v/>
      </c>
      <c r="M233" s="23"/>
    </row>
    <row r="234" spans="1:13" x14ac:dyDescent="0.2">
      <c r="A234" s="13">
        <v>223</v>
      </c>
      <c r="B234" s="26"/>
      <c r="C234" s="10" t="str">
        <f>IF($E$5=1,IF(ISBLANK(B234)=FALSE,VLOOKUP(B234,Data_source!A:J,4,FALSE),""),IF(ISBLANK(B234)=FALSE,VLOOKUP(B234,Data_source!A:J,5,FALSE),""))</f>
        <v/>
      </c>
      <c r="D234" s="11" t="str">
        <f>IF(ISBLANK(B234)=FALSE,IF(VLOOKUP(B234,Data_source!A:J,2,FALSE)="---","",VLOOKUP(B234,Data_source!A:J,2,FALSE)),"")</f>
        <v/>
      </c>
      <c r="E234" s="11" t="str">
        <f t="shared" si="9"/>
        <v/>
      </c>
      <c r="F234" s="11" t="str">
        <f>IF(ISBLANK(B234)=FALSE,IF(VLOOKUP(B234,Data_source!A:J,3,FALSE)="---","",VLOOKUP(B234,Data_source!A:J,3,FALSE)),"")</f>
        <v/>
      </c>
      <c r="G234" s="11" t="str">
        <f t="shared" si="10"/>
        <v/>
      </c>
      <c r="H234" s="12" t="str">
        <f>IF(ISBLANK(B234)=FALSE,IF(VLOOKUP(B234,Data_source!A:J,6,FALSE)="---","",VLOOKUP(B234,Data_source!A:J,6,FALSE)),"")</f>
        <v/>
      </c>
      <c r="I234" s="12" t="str">
        <f t="shared" si="11"/>
        <v/>
      </c>
      <c r="J234" s="46" t="str">
        <f>IF(ISBLANK(B234)=FALSE,IF(VLOOKUP(B234,Data_source!A:J,7,FALSE)=0,"",VLOOKUP(B234,Data_source!A:J,7,FALSE)),"")</f>
        <v/>
      </c>
      <c r="K234" s="46" t="str">
        <f>IF(ISBLANK(B234)=FALSE,IF(VLOOKUP(B234,Data_source!A:J,8,FALSE)=0,"",VLOOKUP(B234,Data_source!A:J,8,FALSE)),"")</f>
        <v/>
      </c>
      <c r="L234" s="46" t="str">
        <f>IF(ISBLANK(B234)=FALSE,IF(VLOOKUP(B234,Data_source!A:J,9,FALSE)=0,"",VLOOKUP(B234,Data_source!A:J,9,FALSE)),"")</f>
        <v/>
      </c>
      <c r="M234" s="23"/>
    </row>
    <row r="235" spans="1:13" x14ac:dyDescent="0.2">
      <c r="A235" s="13">
        <v>224</v>
      </c>
      <c r="B235" s="23"/>
      <c r="C235" s="10" t="str">
        <f>IF($E$5=1,IF(ISBLANK(B235)=FALSE,VLOOKUP(B235,Data_source!A:J,4,FALSE),""),IF(ISBLANK(B235)=FALSE,VLOOKUP(B235,Data_source!A:J,5,FALSE),""))</f>
        <v/>
      </c>
      <c r="D235" s="11" t="str">
        <f>IF(ISBLANK(B235)=FALSE,IF(VLOOKUP(B235,Data_source!A:J,2,FALSE)="---","",VLOOKUP(B235,Data_source!A:J,2,FALSE)),"")</f>
        <v/>
      </c>
      <c r="E235" s="11" t="str">
        <f t="shared" si="9"/>
        <v/>
      </c>
      <c r="F235" s="11" t="str">
        <f>IF(ISBLANK(B235)=FALSE,IF(VLOOKUP(B235,Data_source!A:J,3,FALSE)="---","",VLOOKUP(B235,Data_source!A:J,3,FALSE)),"")</f>
        <v/>
      </c>
      <c r="G235" s="11" t="str">
        <f t="shared" si="10"/>
        <v/>
      </c>
      <c r="H235" s="12" t="str">
        <f>IF(ISBLANK(B235)=FALSE,IF(VLOOKUP(B235,Data_source!A:J,6,FALSE)="---","",VLOOKUP(B235,Data_source!A:J,6,FALSE)),"")</f>
        <v/>
      </c>
      <c r="I235" s="12" t="str">
        <f t="shared" si="11"/>
        <v/>
      </c>
      <c r="J235" s="46" t="str">
        <f>IF(ISBLANK(B235)=FALSE,IF(VLOOKUP(B235,Data_source!A:J,7,FALSE)=0,"",VLOOKUP(B235,Data_source!A:J,7,FALSE)),"")</f>
        <v/>
      </c>
      <c r="K235" s="46" t="str">
        <f>IF(ISBLANK(B235)=FALSE,IF(VLOOKUP(B235,Data_source!A:J,8,FALSE)=0,"",VLOOKUP(B235,Data_source!A:J,8,FALSE)),"")</f>
        <v/>
      </c>
      <c r="L235" s="46" t="str">
        <f>IF(ISBLANK(B235)=FALSE,IF(VLOOKUP(B235,Data_source!A:J,9,FALSE)=0,"",VLOOKUP(B235,Data_source!A:J,9,FALSE)),"")</f>
        <v/>
      </c>
      <c r="M235" s="23"/>
    </row>
    <row r="236" spans="1:13" x14ac:dyDescent="0.2">
      <c r="A236" s="13">
        <v>225</v>
      </c>
      <c r="B236" s="23"/>
      <c r="C236" s="10" t="str">
        <f>IF($E$5=1,IF(ISBLANK(B236)=FALSE,VLOOKUP(B236,Data_source!A:J,4,FALSE),""),IF(ISBLANK(B236)=FALSE,VLOOKUP(B236,Data_source!A:J,5,FALSE),""))</f>
        <v/>
      </c>
      <c r="D236" s="11" t="str">
        <f>IF(ISBLANK(B236)=FALSE,IF(VLOOKUP(B236,Data_source!A:J,2,FALSE)="---","",VLOOKUP(B236,Data_source!A:J,2,FALSE)),"")</f>
        <v/>
      </c>
      <c r="E236" s="11" t="str">
        <f t="shared" si="9"/>
        <v/>
      </c>
      <c r="F236" s="11" t="str">
        <f>IF(ISBLANK(B236)=FALSE,IF(VLOOKUP(B236,Data_source!A:J,3,FALSE)="---","",VLOOKUP(B236,Data_source!A:J,3,FALSE)),"")</f>
        <v/>
      </c>
      <c r="G236" s="11" t="str">
        <f t="shared" si="10"/>
        <v/>
      </c>
      <c r="H236" s="12" t="str">
        <f>IF(ISBLANK(B236)=FALSE,IF(VLOOKUP(B236,Data_source!A:J,6,FALSE)="---","",VLOOKUP(B236,Data_source!A:J,6,FALSE)),"")</f>
        <v/>
      </c>
      <c r="I236" s="12" t="str">
        <f t="shared" si="11"/>
        <v/>
      </c>
      <c r="J236" s="46" t="str">
        <f>IF(ISBLANK(B236)=FALSE,IF(VLOOKUP(B236,Data_source!A:J,7,FALSE)=0,"",VLOOKUP(B236,Data_source!A:J,7,FALSE)),"")</f>
        <v/>
      </c>
      <c r="K236" s="46" t="str">
        <f>IF(ISBLANK(B236)=FALSE,IF(VLOOKUP(B236,Data_source!A:J,8,FALSE)=0,"",VLOOKUP(B236,Data_source!A:J,8,FALSE)),"")</f>
        <v/>
      </c>
      <c r="L236" s="46" t="str">
        <f>IF(ISBLANK(B236)=FALSE,IF(VLOOKUP(B236,Data_source!A:J,9,FALSE)=0,"",VLOOKUP(B236,Data_source!A:J,9,FALSE)),"")</f>
        <v/>
      </c>
      <c r="M236" s="23"/>
    </row>
    <row r="237" spans="1:13" x14ac:dyDescent="0.2">
      <c r="A237" s="13">
        <v>226</v>
      </c>
      <c r="B237" s="23"/>
      <c r="C237" s="10" t="str">
        <f>IF($E$5=1,IF(ISBLANK(B237)=FALSE,VLOOKUP(B237,Data_source!A:J,4,FALSE),""),IF(ISBLANK(B237)=FALSE,VLOOKUP(B237,Data_source!A:J,5,FALSE),""))</f>
        <v/>
      </c>
      <c r="D237" s="11" t="str">
        <f>IF(ISBLANK(B237)=FALSE,IF(VLOOKUP(B237,Data_source!A:J,2,FALSE)="---","",VLOOKUP(B237,Data_source!A:J,2,FALSE)),"")</f>
        <v/>
      </c>
      <c r="E237" s="11" t="str">
        <f t="shared" si="9"/>
        <v/>
      </c>
      <c r="F237" s="11" t="str">
        <f>IF(ISBLANK(B237)=FALSE,IF(VLOOKUP(B237,Data_source!A:J,3,FALSE)="---","",VLOOKUP(B237,Data_source!A:J,3,FALSE)),"")</f>
        <v/>
      </c>
      <c r="G237" s="11" t="str">
        <f t="shared" si="10"/>
        <v/>
      </c>
      <c r="H237" s="12" t="str">
        <f>IF(ISBLANK(B237)=FALSE,IF(VLOOKUP(B237,Data_source!A:J,6,FALSE)="---","",VLOOKUP(B237,Data_source!A:J,6,FALSE)),"")</f>
        <v/>
      </c>
      <c r="I237" s="12" t="str">
        <f t="shared" si="11"/>
        <v/>
      </c>
      <c r="J237" s="46" t="str">
        <f>IF(ISBLANK(B237)=FALSE,IF(VLOOKUP(B237,Data_source!A:J,7,FALSE)=0,"",VLOOKUP(B237,Data_source!A:J,7,FALSE)),"")</f>
        <v/>
      </c>
      <c r="K237" s="46" t="str">
        <f>IF(ISBLANK(B237)=FALSE,IF(VLOOKUP(B237,Data_source!A:J,8,FALSE)=0,"",VLOOKUP(B237,Data_source!A:J,8,FALSE)),"")</f>
        <v/>
      </c>
      <c r="L237" s="46" t="str">
        <f>IF(ISBLANK(B237)=FALSE,IF(VLOOKUP(B237,Data_source!A:J,9,FALSE)=0,"",VLOOKUP(B237,Data_source!A:J,9,FALSE)),"")</f>
        <v/>
      </c>
      <c r="M237" s="23"/>
    </row>
    <row r="238" spans="1:13" x14ac:dyDescent="0.2">
      <c r="A238" s="13">
        <v>227</v>
      </c>
      <c r="B238" s="23"/>
      <c r="C238" s="10" t="str">
        <f>IF($E$5=1,IF(ISBLANK(B238)=FALSE,VLOOKUP(B238,Data_source!A:J,4,FALSE),""),IF(ISBLANK(B238)=FALSE,VLOOKUP(B238,Data_source!A:J,5,FALSE),""))</f>
        <v/>
      </c>
      <c r="D238" s="11" t="str">
        <f>IF(ISBLANK(B238)=FALSE,IF(VLOOKUP(B238,Data_source!A:J,2,FALSE)="---","",VLOOKUP(B238,Data_source!A:J,2,FALSE)),"")</f>
        <v/>
      </c>
      <c r="E238" s="11" t="str">
        <f t="shared" si="9"/>
        <v/>
      </c>
      <c r="F238" s="11" t="str">
        <f>IF(ISBLANK(B238)=FALSE,IF(VLOOKUP(B238,Data_source!A:J,3,FALSE)="---","",VLOOKUP(B238,Data_source!A:J,3,FALSE)),"")</f>
        <v/>
      </c>
      <c r="G238" s="11" t="str">
        <f t="shared" si="10"/>
        <v/>
      </c>
      <c r="H238" s="12" t="str">
        <f>IF(ISBLANK(B238)=FALSE,IF(VLOOKUP(B238,Data_source!A:J,6,FALSE)="---","",VLOOKUP(B238,Data_source!A:J,6,FALSE)),"")</f>
        <v/>
      </c>
      <c r="I238" s="12" t="str">
        <f t="shared" si="11"/>
        <v/>
      </c>
      <c r="J238" s="46" t="str">
        <f>IF(ISBLANK(B238)=FALSE,IF(VLOOKUP(B238,Data_source!A:J,7,FALSE)=0,"",VLOOKUP(B238,Data_source!A:J,7,FALSE)),"")</f>
        <v/>
      </c>
      <c r="K238" s="46" t="str">
        <f>IF(ISBLANK(B238)=FALSE,IF(VLOOKUP(B238,Data_source!A:J,8,FALSE)=0,"",VLOOKUP(B238,Data_source!A:J,8,FALSE)),"")</f>
        <v/>
      </c>
      <c r="L238" s="46" t="str">
        <f>IF(ISBLANK(B238)=FALSE,IF(VLOOKUP(B238,Data_source!A:J,9,FALSE)=0,"",VLOOKUP(B238,Data_source!A:J,9,FALSE)),"")</f>
        <v/>
      </c>
      <c r="M238" s="23"/>
    </row>
    <row r="239" spans="1:13" x14ac:dyDescent="0.2">
      <c r="A239" s="13">
        <v>228</v>
      </c>
      <c r="B239" s="23"/>
      <c r="C239" s="10" t="str">
        <f>IF($E$5=1,IF(ISBLANK(B239)=FALSE,VLOOKUP(B239,Data_source!A:J,4,FALSE),""),IF(ISBLANK(B239)=FALSE,VLOOKUP(B239,Data_source!A:J,5,FALSE),""))</f>
        <v/>
      </c>
      <c r="D239" s="11" t="str">
        <f>IF(ISBLANK(B239)=FALSE,IF(VLOOKUP(B239,Data_source!A:J,2,FALSE)="---","",VLOOKUP(B239,Data_source!A:J,2,FALSE)),"")</f>
        <v/>
      </c>
      <c r="E239" s="11" t="str">
        <f t="shared" si="9"/>
        <v/>
      </c>
      <c r="F239" s="11" t="str">
        <f>IF(ISBLANK(B239)=FALSE,IF(VLOOKUP(B239,Data_source!A:J,3,FALSE)="---","",VLOOKUP(B239,Data_source!A:J,3,FALSE)),"")</f>
        <v/>
      </c>
      <c r="G239" s="11" t="str">
        <f t="shared" si="10"/>
        <v/>
      </c>
      <c r="H239" s="12" t="str">
        <f>IF(ISBLANK(B239)=FALSE,IF(VLOOKUP(B239,Data_source!A:J,6,FALSE)="---","",VLOOKUP(B239,Data_source!A:J,6,FALSE)),"")</f>
        <v/>
      </c>
      <c r="I239" s="12" t="str">
        <f t="shared" si="11"/>
        <v/>
      </c>
      <c r="J239" s="46" t="str">
        <f>IF(ISBLANK(B239)=FALSE,IF(VLOOKUP(B239,Data_source!A:J,7,FALSE)=0,"",VLOOKUP(B239,Data_source!A:J,7,FALSE)),"")</f>
        <v/>
      </c>
      <c r="K239" s="46" t="str">
        <f>IF(ISBLANK(B239)=FALSE,IF(VLOOKUP(B239,Data_source!A:J,8,FALSE)=0,"",VLOOKUP(B239,Data_source!A:J,8,FALSE)),"")</f>
        <v/>
      </c>
      <c r="L239" s="46" t="str">
        <f>IF(ISBLANK(B239)=FALSE,IF(VLOOKUP(B239,Data_source!A:J,9,FALSE)=0,"",VLOOKUP(B239,Data_source!A:J,9,FALSE)),"")</f>
        <v/>
      </c>
      <c r="M239" s="23"/>
    </row>
    <row r="240" spans="1:13" x14ac:dyDescent="0.2">
      <c r="A240" s="13">
        <v>229</v>
      </c>
      <c r="B240" s="23"/>
      <c r="C240" s="10" t="str">
        <f>IF($E$5=1,IF(ISBLANK(B240)=FALSE,VLOOKUP(B240,Data_source!A:J,4,FALSE),""),IF(ISBLANK(B240)=FALSE,VLOOKUP(B240,Data_source!A:J,5,FALSE),""))</f>
        <v/>
      </c>
      <c r="D240" s="11" t="str">
        <f>IF(ISBLANK(B240)=FALSE,IF(VLOOKUP(B240,Data_source!A:J,2,FALSE)="---","",VLOOKUP(B240,Data_source!A:J,2,FALSE)),"")</f>
        <v/>
      </c>
      <c r="E240" s="11" t="str">
        <f t="shared" si="9"/>
        <v/>
      </c>
      <c r="F240" s="11" t="str">
        <f>IF(ISBLANK(B240)=FALSE,IF(VLOOKUP(B240,Data_source!A:J,3,FALSE)="---","",VLOOKUP(B240,Data_source!A:J,3,FALSE)),"")</f>
        <v/>
      </c>
      <c r="G240" s="11" t="str">
        <f t="shared" si="10"/>
        <v/>
      </c>
      <c r="H240" s="12" t="str">
        <f>IF(ISBLANK(B240)=FALSE,IF(VLOOKUP(B240,Data_source!A:J,6,FALSE)="---","",VLOOKUP(B240,Data_source!A:J,6,FALSE)),"")</f>
        <v/>
      </c>
      <c r="I240" s="12" t="str">
        <f t="shared" si="11"/>
        <v/>
      </c>
      <c r="J240" s="46" t="str">
        <f>IF(ISBLANK(B240)=FALSE,IF(VLOOKUP(B240,Data_source!A:J,7,FALSE)=0,"",VLOOKUP(B240,Data_source!A:J,7,FALSE)),"")</f>
        <v/>
      </c>
      <c r="K240" s="46" t="str">
        <f>IF(ISBLANK(B240)=FALSE,IF(VLOOKUP(B240,Data_source!A:J,8,FALSE)=0,"",VLOOKUP(B240,Data_source!A:J,8,FALSE)),"")</f>
        <v/>
      </c>
      <c r="L240" s="46" t="str">
        <f>IF(ISBLANK(B240)=FALSE,IF(VLOOKUP(B240,Data_source!A:J,9,FALSE)=0,"",VLOOKUP(B240,Data_source!A:J,9,FALSE)),"")</f>
        <v/>
      </c>
      <c r="M240" s="23"/>
    </row>
    <row r="241" spans="1:13" x14ac:dyDescent="0.2">
      <c r="A241" s="13">
        <v>230</v>
      </c>
      <c r="B241" s="23"/>
      <c r="C241" s="10" t="str">
        <f>IF($E$5=1,IF(ISBLANK(B241)=FALSE,VLOOKUP(B241,Data_source!A:J,4,FALSE),""),IF(ISBLANK(B241)=FALSE,VLOOKUP(B241,Data_source!A:J,5,FALSE),""))</f>
        <v/>
      </c>
      <c r="D241" s="11" t="str">
        <f>IF(ISBLANK(B241)=FALSE,IF(VLOOKUP(B241,Data_source!A:J,2,FALSE)="---","",VLOOKUP(B241,Data_source!A:J,2,FALSE)),"")</f>
        <v/>
      </c>
      <c r="E241" s="11" t="str">
        <f t="shared" si="9"/>
        <v/>
      </c>
      <c r="F241" s="11" t="str">
        <f>IF(ISBLANK(B241)=FALSE,IF(VLOOKUP(B241,Data_source!A:J,3,FALSE)="---","",VLOOKUP(B241,Data_source!A:J,3,FALSE)),"")</f>
        <v/>
      </c>
      <c r="G241" s="11" t="str">
        <f t="shared" si="10"/>
        <v/>
      </c>
      <c r="H241" s="12" t="str">
        <f>IF(ISBLANK(B241)=FALSE,IF(VLOOKUP(B241,Data_source!A:J,6,FALSE)="---","",VLOOKUP(B241,Data_source!A:J,6,FALSE)),"")</f>
        <v/>
      </c>
      <c r="I241" s="12" t="str">
        <f t="shared" si="11"/>
        <v/>
      </c>
      <c r="J241" s="46" t="str">
        <f>IF(ISBLANK(B241)=FALSE,IF(VLOOKUP(B241,Data_source!A:J,7,FALSE)=0,"",VLOOKUP(B241,Data_source!A:J,7,FALSE)),"")</f>
        <v/>
      </c>
      <c r="K241" s="46" t="str">
        <f>IF(ISBLANK(B241)=FALSE,IF(VLOOKUP(B241,Data_source!A:J,8,FALSE)=0,"",VLOOKUP(B241,Data_source!A:J,8,FALSE)),"")</f>
        <v/>
      </c>
      <c r="L241" s="46" t="str">
        <f>IF(ISBLANK(B241)=FALSE,IF(VLOOKUP(B241,Data_source!A:J,9,FALSE)=0,"",VLOOKUP(B241,Data_source!A:J,9,FALSE)),"")</f>
        <v/>
      </c>
      <c r="M241" s="23"/>
    </row>
    <row r="242" spans="1:13" x14ac:dyDescent="0.2">
      <c r="A242" s="13">
        <v>231</v>
      </c>
      <c r="B242" s="23"/>
      <c r="C242" s="10" t="str">
        <f>IF($E$5=1,IF(ISBLANK(B242)=FALSE,VLOOKUP(B242,Data_source!A:J,4,FALSE),""),IF(ISBLANK(B242)=FALSE,VLOOKUP(B242,Data_source!A:J,5,FALSE),""))</f>
        <v/>
      </c>
      <c r="D242" s="11" t="str">
        <f>IF(ISBLANK(B242)=FALSE,IF(VLOOKUP(B242,Data_source!A:J,2,FALSE)="---","",VLOOKUP(B242,Data_source!A:J,2,FALSE)),"")</f>
        <v/>
      </c>
      <c r="E242" s="11" t="str">
        <f t="shared" si="9"/>
        <v/>
      </c>
      <c r="F242" s="11" t="str">
        <f>IF(ISBLANK(B242)=FALSE,IF(VLOOKUP(B242,Data_source!A:J,3,FALSE)="---","",VLOOKUP(B242,Data_source!A:J,3,FALSE)),"")</f>
        <v/>
      </c>
      <c r="G242" s="11" t="str">
        <f t="shared" si="10"/>
        <v/>
      </c>
      <c r="H242" s="12" t="str">
        <f>IF(ISBLANK(B242)=FALSE,IF(VLOOKUP(B242,Data_source!A:J,6,FALSE)="---","",VLOOKUP(B242,Data_source!A:J,6,FALSE)),"")</f>
        <v/>
      </c>
      <c r="I242" s="12" t="str">
        <f t="shared" si="11"/>
        <v/>
      </c>
      <c r="J242" s="46" t="str">
        <f>IF(ISBLANK(B242)=FALSE,IF(VLOOKUP(B242,Data_source!A:J,7,FALSE)=0,"",VLOOKUP(B242,Data_source!A:J,7,FALSE)),"")</f>
        <v/>
      </c>
      <c r="K242" s="46" t="str">
        <f>IF(ISBLANK(B242)=FALSE,IF(VLOOKUP(B242,Data_source!A:J,8,FALSE)=0,"",VLOOKUP(B242,Data_source!A:J,8,FALSE)),"")</f>
        <v/>
      </c>
      <c r="L242" s="46" t="str">
        <f>IF(ISBLANK(B242)=FALSE,IF(VLOOKUP(B242,Data_source!A:J,9,FALSE)=0,"",VLOOKUP(B242,Data_source!A:J,9,FALSE)),"")</f>
        <v/>
      </c>
      <c r="M242" s="23"/>
    </row>
    <row r="243" spans="1:13" x14ac:dyDescent="0.2">
      <c r="A243" s="13">
        <v>232</v>
      </c>
      <c r="B243" s="23"/>
      <c r="C243" s="10" t="str">
        <f>IF($E$5=1,IF(ISBLANK(B243)=FALSE,VLOOKUP(B243,Data_source!A:J,4,FALSE),""),IF(ISBLANK(B243)=FALSE,VLOOKUP(B243,Data_source!A:J,5,FALSE),""))</f>
        <v/>
      </c>
      <c r="D243" s="11" t="str">
        <f>IF(ISBLANK(B243)=FALSE,IF(VLOOKUP(B243,Data_source!A:J,2,FALSE)="---","",VLOOKUP(B243,Data_source!A:J,2,FALSE)),"")</f>
        <v/>
      </c>
      <c r="E243" s="11" t="str">
        <f t="shared" si="9"/>
        <v/>
      </c>
      <c r="F243" s="11" t="str">
        <f>IF(ISBLANK(B243)=FALSE,IF(VLOOKUP(B243,Data_source!A:J,3,FALSE)="---","",VLOOKUP(B243,Data_source!A:J,3,FALSE)),"")</f>
        <v/>
      </c>
      <c r="G243" s="11" t="str">
        <f t="shared" si="10"/>
        <v/>
      </c>
      <c r="H243" s="12" t="str">
        <f>IF(ISBLANK(B243)=FALSE,IF(VLOOKUP(B243,Data_source!A:J,6,FALSE)="---","",VLOOKUP(B243,Data_source!A:J,6,FALSE)),"")</f>
        <v/>
      </c>
      <c r="I243" s="12" t="str">
        <f t="shared" si="11"/>
        <v/>
      </c>
      <c r="J243" s="46" t="str">
        <f>IF(ISBLANK(B243)=FALSE,IF(VLOOKUP(B243,Data_source!A:J,7,FALSE)=0,"",VLOOKUP(B243,Data_source!A:J,7,FALSE)),"")</f>
        <v/>
      </c>
      <c r="K243" s="46" t="str">
        <f>IF(ISBLANK(B243)=FALSE,IF(VLOOKUP(B243,Data_source!A:J,8,FALSE)=0,"",VLOOKUP(B243,Data_source!A:J,8,FALSE)),"")</f>
        <v/>
      </c>
      <c r="L243" s="46" t="str">
        <f>IF(ISBLANK(B243)=FALSE,IF(VLOOKUP(B243,Data_source!A:J,9,FALSE)=0,"",VLOOKUP(B243,Data_source!A:J,9,FALSE)),"")</f>
        <v/>
      </c>
      <c r="M243" s="23"/>
    </row>
    <row r="244" spans="1:13" x14ac:dyDescent="0.2">
      <c r="A244" s="13">
        <v>233</v>
      </c>
      <c r="B244" s="23"/>
      <c r="C244" s="10" t="str">
        <f>IF($E$5=1,IF(ISBLANK(B244)=FALSE,VLOOKUP(B244,Data_source!A:J,4,FALSE),""),IF(ISBLANK(B244)=FALSE,VLOOKUP(B244,Data_source!A:J,5,FALSE),""))</f>
        <v/>
      </c>
      <c r="D244" s="11" t="str">
        <f>IF(ISBLANK(B244)=FALSE,IF(VLOOKUP(B244,Data_source!A:J,2,FALSE)="---","",VLOOKUP(B244,Data_source!A:J,2,FALSE)),"")</f>
        <v/>
      </c>
      <c r="E244" s="11" t="str">
        <f t="shared" si="9"/>
        <v/>
      </c>
      <c r="F244" s="11" t="str">
        <f>IF(ISBLANK(B244)=FALSE,IF(VLOOKUP(B244,Data_source!A:J,3,FALSE)="---","",VLOOKUP(B244,Data_source!A:J,3,FALSE)),"")</f>
        <v/>
      </c>
      <c r="G244" s="11" t="str">
        <f t="shared" si="10"/>
        <v/>
      </c>
      <c r="H244" s="12" t="str">
        <f>IF(ISBLANK(B244)=FALSE,IF(VLOOKUP(B244,Data_source!A:J,6,FALSE)="---","",VLOOKUP(B244,Data_source!A:J,6,FALSE)),"")</f>
        <v/>
      </c>
      <c r="I244" s="12" t="str">
        <f t="shared" si="11"/>
        <v/>
      </c>
      <c r="J244" s="46" t="str">
        <f>IF(ISBLANK(B244)=FALSE,IF(VLOOKUP(B244,Data_source!A:J,7,FALSE)=0,"",VLOOKUP(B244,Data_source!A:J,7,FALSE)),"")</f>
        <v/>
      </c>
      <c r="K244" s="46" t="str">
        <f>IF(ISBLANK(B244)=FALSE,IF(VLOOKUP(B244,Data_source!A:J,8,FALSE)=0,"",VLOOKUP(B244,Data_source!A:J,8,FALSE)),"")</f>
        <v/>
      </c>
      <c r="L244" s="46" t="str">
        <f>IF(ISBLANK(B244)=FALSE,IF(VLOOKUP(B244,Data_source!A:J,9,FALSE)=0,"",VLOOKUP(B244,Data_source!A:J,9,FALSE)),"")</f>
        <v/>
      </c>
      <c r="M244" s="23"/>
    </row>
    <row r="245" spans="1:13" x14ac:dyDescent="0.2">
      <c r="A245" s="13">
        <v>234</v>
      </c>
      <c r="B245" s="26"/>
      <c r="C245" s="10" t="str">
        <f>IF($E$5=1,IF(ISBLANK(B245)=FALSE,VLOOKUP(B245,Data_source!A:J,4,FALSE),""),IF(ISBLANK(B245)=FALSE,VLOOKUP(B245,Data_source!A:J,5,FALSE),""))</f>
        <v/>
      </c>
      <c r="D245" s="11" t="str">
        <f>IF(ISBLANK(B245)=FALSE,IF(VLOOKUP(B245,Data_source!A:J,2,FALSE)="---","",VLOOKUP(B245,Data_source!A:J,2,FALSE)),"")</f>
        <v/>
      </c>
      <c r="E245" s="11" t="str">
        <f t="shared" si="9"/>
        <v/>
      </c>
      <c r="F245" s="11" t="str">
        <f>IF(ISBLANK(B245)=FALSE,IF(VLOOKUP(B245,Data_source!A:J,3,FALSE)="---","",VLOOKUP(B245,Data_source!A:J,3,FALSE)),"")</f>
        <v/>
      </c>
      <c r="G245" s="11" t="str">
        <f t="shared" si="10"/>
        <v/>
      </c>
      <c r="H245" s="12" t="str">
        <f>IF(ISBLANK(B245)=FALSE,IF(VLOOKUP(B245,Data_source!A:J,6,FALSE)="---","",VLOOKUP(B245,Data_source!A:J,6,FALSE)),"")</f>
        <v/>
      </c>
      <c r="I245" s="12" t="str">
        <f t="shared" si="11"/>
        <v/>
      </c>
      <c r="J245" s="46" t="str">
        <f>IF(ISBLANK(B245)=FALSE,IF(VLOOKUP(B245,Data_source!A:J,7,FALSE)=0,"",VLOOKUP(B245,Data_source!A:J,7,FALSE)),"")</f>
        <v/>
      </c>
      <c r="K245" s="46" t="str">
        <f>IF(ISBLANK(B245)=FALSE,IF(VLOOKUP(B245,Data_source!A:J,8,FALSE)=0,"",VLOOKUP(B245,Data_source!A:J,8,FALSE)),"")</f>
        <v/>
      </c>
      <c r="L245" s="46" t="str">
        <f>IF(ISBLANK(B245)=FALSE,IF(VLOOKUP(B245,Data_source!A:J,9,FALSE)=0,"",VLOOKUP(B245,Data_source!A:J,9,FALSE)),"")</f>
        <v/>
      </c>
      <c r="M245" s="23"/>
    </row>
    <row r="246" spans="1:13" x14ac:dyDescent="0.2">
      <c r="A246" s="13">
        <v>235</v>
      </c>
      <c r="B246" s="23"/>
      <c r="C246" s="10" t="str">
        <f>IF($E$5=1,IF(ISBLANK(B246)=FALSE,VLOOKUP(B246,Data_source!A:J,4,FALSE),""),IF(ISBLANK(B246)=FALSE,VLOOKUP(B246,Data_source!A:J,5,FALSE),""))</f>
        <v/>
      </c>
      <c r="D246" s="11" t="str">
        <f>IF(ISBLANK(B246)=FALSE,IF(VLOOKUP(B246,Data_source!A:J,2,FALSE)="---","",VLOOKUP(B246,Data_source!A:J,2,FALSE)),"")</f>
        <v/>
      </c>
      <c r="E246" s="11" t="str">
        <f t="shared" si="9"/>
        <v/>
      </c>
      <c r="F246" s="11" t="str">
        <f>IF(ISBLANK(B246)=FALSE,IF(VLOOKUP(B246,Data_source!A:J,3,FALSE)="---","",VLOOKUP(B246,Data_source!A:J,3,FALSE)),"")</f>
        <v/>
      </c>
      <c r="G246" s="11" t="str">
        <f t="shared" si="10"/>
        <v/>
      </c>
      <c r="H246" s="12" t="str">
        <f>IF(ISBLANK(B246)=FALSE,IF(VLOOKUP(B246,Data_source!A:J,6,FALSE)="---","",VLOOKUP(B246,Data_source!A:J,6,FALSE)),"")</f>
        <v/>
      </c>
      <c r="I246" s="12" t="str">
        <f t="shared" si="11"/>
        <v/>
      </c>
      <c r="J246" s="46" t="str">
        <f>IF(ISBLANK(B246)=FALSE,IF(VLOOKUP(B246,Data_source!A:J,7,FALSE)=0,"",VLOOKUP(B246,Data_source!A:J,7,FALSE)),"")</f>
        <v/>
      </c>
      <c r="K246" s="46" t="str">
        <f>IF(ISBLANK(B246)=FALSE,IF(VLOOKUP(B246,Data_source!A:J,8,FALSE)=0,"",VLOOKUP(B246,Data_source!A:J,8,FALSE)),"")</f>
        <v/>
      </c>
      <c r="L246" s="46" t="str">
        <f>IF(ISBLANK(B246)=FALSE,IF(VLOOKUP(B246,Data_source!A:J,9,FALSE)=0,"",VLOOKUP(B246,Data_source!A:J,9,FALSE)),"")</f>
        <v/>
      </c>
      <c r="M246" s="23"/>
    </row>
    <row r="247" spans="1:13" x14ac:dyDescent="0.2">
      <c r="A247" s="13">
        <v>236</v>
      </c>
      <c r="B247" s="23"/>
      <c r="C247" s="10" t="str">
        <f>IF($E$5=1,IF(ISBLANK(B247)=FALSE,VLOOKUP(B247,Data_source!A:J,4,FALSE),""),IF(ISBLANK(B247)=FALSE,VLOOKUP(B247,Data_source!A:J,5,FALSE),""))</f>
        <v/>
      </c>
      <c r="D247" s="11" t="str">
        <f>IF(ISBLANK(B247)=FALSE,IF(VLOOKUP(B247,Data_source!A:J,2,FALSE)="---","",VLOOKUP(B247,Data_source!A:J,2,FALSE)),"")</f>
        <v/>
      </c>
      <c r="E247" s="11" t="str">
        <f t="shared" si="9"/>
        <v/>
      </c>
      <c r="F247" s="11" t="str">
        <f>IF(ISBLANK(B247)=FALSE,IF(VLOOKUP(B247,Data_source!A:J,3,FALSE)="---","",VLOOKUP(B247,Data_source!A:J,3,FALSE)),"")</f>
        <v/>
      </c>
      <c r="G247" s="11" t="str">
        <f t="shared" si="10"/>
        <v/>
      </c>
      <c r="H247" s="12" t="str">
        <f>IF(ISBLANK(B247)=FALSE,IF(VLOOKUP(B247,Data_source!A:J,6,FALSE)="---","",VLOOKUP(B247,Data_source!A:J,6,FALSE)),"")</f>
        <v/>
      </c>
      <c r="I247" s="12" t="str">
        <f t="shared" si="11"/>
        <v/>
      </c>
      <c r="J247" s="46" t="str">
        <f>IF(ISBLANK(B247)=FALSE,IF(VLOOKUP(B247,Data_source!A:J,7,FALSE)=0,"",VLOOKUP(B247,Data_source!A:J,7,FALSE)),"")</f>
        <v/>
      </c>
      <c r="K247" s="46" t="str">
        <f>IF(ISBLANK(B247)=FALSE,IF(VLOOKUP(B247,Data_source!A:J,8,FALSE)=0,"",VLOOKUP(B247,Data_source!A:J,8,FALSE)),"")</f>
        <v/>
      </c>
      <c r="L247" s="46" t="str">
        <f>IF(ISBLANK(B247)=FALSE,IF(VLOOKUP(B247,Data_source!A:J,9,FALSE)=0,"",VLOOKUP(B247,Data_source!A:J,9,FALSE)),"")</f>
        <v/>
      </c>
      <c r="M247" s="23"/>
    </row>
    <row r="248" spans="1:13" x14ac:dyDescent="0.2">
      <c r="A248" s="13">
        <v>237</v>
      </c>
      <c r="B248" s="23"/>
      <c r="C248" s="10" t="str">
        <f>IF($E$5=1,IF(ISBLANK(B248)=FALSE,VLOOKUP(B248,Data_source!A:J,4,FALSE),""),IF(ISBLANK(B248)=FALSE,VLOOKUP(B248,Data_source!A:J,5,FALSE),""))</f>
        <v/>
      </c>
      <c r="D248" s="11" t="str">
        <f>IF(ISBLANK(B248)=FALSE,IF(VLOOKUP(B248,Data_source!A:J,2,FALSE)="---","",VLOOKUP(B248,Data_source!A:J,2,FALSE)),"")</f>
        <v/>
      </c>
      <c r="E248" s="11" t="str">
        <f t="shared" si="9"/>
        <v/>
      </c>
      <c r="F248" s="11" t="str">
        <f>IF(ISBLANK(B248)=FALSE,IF(VLOOKUP(B248,Data_source!A:J,3,FALSE)="---","",VLOOKUP(B248,Data_source!A:J,3,FALSE)),"")</f>
        <v/>
      </c>
      <c r="G248" s="11" t="str">
        <f t="shared" si="10"/>
        <v/>
      </c>
      <c r="H248" s="12" t="str">
        <f>IF(ISBLANK(B248)=FALSE,IF(VLOOKUP(B248,Data_source!A:J,6,FALSE)="---","",VLOOKUP(B248,Data_source!A:J,6,FALSE)),"")</f>
        <v/>
      </c>
      <c r="I248" s="12" t="str">
        <f t="shared" si="11"/>
        <v/>
      </c>
      <c r="J248" s="46" t="str">
        <f>IF(ISBLANK(B248)=FALSE,IF(VLOOKUP(B248,Data_source!A:J,7,FALSE)=0,"",VLOOKUP(B248,Data_source!A:J,7,FALSE)),"")</f>
        <v/>
      </c>
      <c r="K248" s="46" t="str">
        <f>IF(ISBLANK(B248)=FALSE,IF(VLOOKUP(B248,Data_source!A:J,8,FALSE)=0,"",VLOOKUP(B248,Data_source!A:J,8,FALSE)),"")</f>
        <v/>
      </c>
      <c r="L248" s="46" t="str">
        <f>IF(ISBLANK(B248)=FALSE,IF(VLOOKUP(B248,Data_source!A:J,9,FALSE)=0,"",VLOOKUP(B248,Data_source!A:J,9,FALSE)),"")</f>
        <v/>
      </c>
      <c r="M248" s="23"/>
    </row>
    <row r="249" spans="1:13" x14ac:dyDescent="0.2">
      <c r="A249" s="13">
        <v>238</v>
      </c>
      <c r="B249" s="23"/>
      <c r="C249" s="10" t="str">
        <f>IF($E$5=1,IF(ISBLANK(B249)=FALSE,VLOOKUP(B249,Data_source!A:J,4,FALSE),""),IF(ISBLANK(B249)=FALSE,VLOOKUP(B249,Data_source!A:J,5,FALSE),""))</f>
        <v/>
      </c>
      <c r="D249" s="11" t="str">
        <f>IF(ISBLANK(B249)=FALSE,IF(VLOOKUP(B249,Data_source!A:J,2,FALSE)="---","",VLOOKUP(B249,Data_source!A:J,2,FALSE)),"")</f>
        <v/>
      </c>
      <c r="E249" s="11" t="str">
        <f t="shared" si="9"/>
        <v/>
      </c>
      <c r="F249" s="11" t="str">
        <f>IF(ISBLANK(B249)=FALSE,IF(VLOOKUP(B249,Data_source!A:J,3,FALSE)="---","",VLOOKUP(B249,Data_source!A:J,3,FALSE)),"")</f>
        <v/>
      </c>
      <c r="G249" s="11" t="str">
        <f t="shared" si="10"/>
        <v/>
      </c>
      <c r="H249" s="12" t="str">
        <f>IF(ISBLANK(B249)=FALSE,IF(VLOOKUP(B249,Data_source!A:J,6,FALSE)="---","",VLOOKUP(B249,Data_source!A:J,6,FALSE)),"")</f>
        <v/>
      </c>
      <c r="I249" s="12" t="str">
        <f t="shared" si="11"/>
        <v/>
      </c>
      <c r="J249" s="46" t="str">
        <f>IF(ISBLANK(B249)=FALSE,IF(VLOOKUP(B249,Data_source!A:J,7,FALSE)=0,"",VLOOKUP(B249,Data_source!A:J,7,FALSE)),"")</f>
        <v/>
      </c>
      <c r="K249" s="46" t="str">
        <f>IF(ISBLANK(B249)=FALSE,IF(VLOOKUP(B249,Data_source!A:J,8,FALSE)=0,"",VLOOKUP(B249,Data_source!A:J,8,FALSE)),"")</f>
        <v/>
      </c>
      <c r="L249" s="46" t="str">
        <f>IF(ISBLANK(B249)=FALSE,IF(VLOOKUP(B249,Data_source!A:J,9,FALSE)=0,"",VLOOKUP(B249,Data_source!A:J,9,FALSE)),"")</f>
        <v/>
      </c>
      <c r="M249" s="23"/>
    </row>
    <row r="250" spans="1:13" x14ac:dyDescent="0.2">
      <c r="A250" s="13">
        <v>239</v>
      </c>
      <c r="B250" s="23"/>
      <c r="C250" s="10" t="str">
        <f>IF($E$5=1,IF(ISBLANK(B250)=FALSE,VLOOKUP(B250,Data_source!A:J,4,FALSE),""),IF(ISBLANK(B250)=FALSE,VLOOKUP(B250,Data_source!A:J,5,FALSE),""))</f>
        <v/>
      </c>
      <c r="D250" s="11" t="str">
        <f>IF(ISBLANK(B250)=FALSE,IF(VLOOKUP(B250,Data_source!A:J,2,FALSE)="---","",VLOOKUP(B250,Data_source!A:J,2,FALSE)),"")</f>
        <v/>
      </c>
      <c r="E250" s="11" t="str">
        <f t="shared" si="9"/>
        <v/>
      </c>
      <c r="F250" s="11" t="str">
        <f>IF(ISBLANK(B250)=FALSE,IF(VLOOKUP(B250,Data_source!A:J,3,FALSE)="---","",VLOOKUP(B250,Data_source!A:J,3,FALSE)),"")</f>
        <v/>
      </c>
      <c r="G250" s="11" t="str">
        <f t="shared" si="10"/>
        <v/>
      </c>
      <c r="H250" s="12" t="str">
        <f>IF(ISBLANK(B250)=FALSE,IF(VLOOKUP(B250,Data_source!A:J,6,FALSE)="---","",VLOOKUP(B250,Data_source!A:J,6,FALSE)),"")</f>
        <v/>
      </c>
      <c r="I250" s="12" t="str">
        <f t="shared" si="11"/>
        <v/>
      </c>
      <c r="J250" s="46" t="str">
        <f>IF(ISBLANK(B250)=FALSE,IF(VLOOKUP(B250,Data_source!A:J,7,FALSE)=0,"",VLOOKUP(B250,Data_source!A:J,7,FALSE)),"")</f>
        <v/>
      </c>
      <c r="K250" s="46" t="str">
        <f>IF(ISBLANK(B250)=FALSE,IF(VLOOKUP(B250,Data_source!A:J,8,FALSE)=0,"",VLOOKUP(B250,Data_source!A:J,8,FALSE)),"")</f>
        <v/>
      </c>
      <c r="L250" s="46" t="str">
        <f>IF(ISBLANK(B250)=FALSE,IF(VLOOKUP(B250,Data_source!A:J,9,FALSE)=0,"",VLOOKUP(B250,Data_source!A:J,9,FALSE)),"")</f>
        <v/>
      </c>
      <c r="M250" s="23"/>
    </row>
    <row r="251" spans="1:13" x14ac:dyDescent="0.2">
      <c r="A251" s="13">
        <v>240</v>
      </c>
      <c r="B251" s="23"/>
      <c r="C251" s="10" t="str">
        <f>IF($E$5=1,IF(ISBLANK(B251)=FALSE,VLOOKUP(B251,Data_source!A:J,4,FALSE),""),IF(ISBLANK(B251)=FALSE,VLOOKUP(B251,Data_source!A:J,5,FALSE),""))</f>
        <v/>
      </c>
      <c r="D251" s="11" t="str">
        <f>IF(ISBLANK(B251)=FALSE,IF(VLOOKUP(B251,Data_source!A:J,2,FALSE)="---","",VLOOKUP(B251,Data_source!A:J,2,FALSE)),"")</f>
        <v/>
      </c>
      <c r="E251" s="11" t="str">
        <f t="shared" si="9"/>
        <v/>
      </c>
      <c r="F251" s="11" t="str">
        <f>IF(ISBLANK(B251)=FALSE,IF(VLOOKUP(B251,Data_source!A:J,3,FALSE)="---","",VLOOKUP(B251,Data_source!A:J,3,FALSE)),"")</f>
        <v/>
      </c>
      <c r="G251" s="11" t="str">
        <f t="shared" si="10"/>
        <v/>
      </c>
      <c r="H251" s="12" t="str">
        <f>IF(ISBLANK(B251)=FALSE,IF(VLOOKUP(B251,Data_source!A:J,6,FALSE)="---","",VLOOKUP(B251,Data_source!A:J,6,FALSE)),"")</f>
        <v/>
      </c>
      <c r="I251" s="12" t="str">
        <f t="shared" si="11"/>
        <v/>
      </c>
      <c r="J251" s="46" t="str">
        <f>IF(ISBLANK(B251)=FALSE,IF(VLOOKUP(B251,Data_source!A:J,7,FALSE)=0,"",VLOOKUP(B251,Data_source!A:J,7,FALSE)),"")</f>
        <v/>
      </c>
      <c r="K251" s="46" t="str">
        <f>IF(ISBLANK(B251)=FALSE,IF(VLOOKUP(B251,Data_source!A:J,8,FALSE)=0,"",VLOOKUP(B251,Data_source!A:J,8,FALSE)),"")</f>
        <v/>
      </c>
      <c r="L251" s="46" t="str">
        <f>IF(ISBLANK(B251)=FALSE,IF(VLOOKUP(B251,Data_source!A:J,9,FALSE)=0,"",VLOOKUP(B251,Data_source!A:J,9,FALSE)),"")</f>
        <v/>
      </c>
      <c r="M251" s="23"/>
    </row>
    <row r="252" spans="1:13" x14ac:dyDescent="0.2">
      <c r="A252" s="13">
        <v>241</v>
      </c>
      <c r="B252" s="23"/>
      <c r="C252" s="10" t="str">
        <f>IF($E$5=1,IF(ISBLANK(B252)=FALSE,VLOOKUP(B252,Data_source!A:J,4,FALSE),""),IF(ISBLANK(B252)=FALSE,VLOOKUP(B252,Data_source!A:J,5,FALSE),""))</f>
        <v/>
      </c>
      <c r="D252" s="11" t="str">
        <f>IF(ISBLANK(B252)=FALSE,IF(VLOOKUP(B252,Data_source!A:J,2,FALSE)="---","",VLOOKUP(B252,Data_source!A:J,2,FALSE)),"")</f>
        <v/>
      </c>
      <c r="E252" s="11" t="str">
        <f t="shared" si="9"/>
        <v/>
      </c>
      <c r="F252" s="11" t="str">
        <f>IF(ISBLANK(B252)=FALSE,IF(VLOOKUP(B252,Data_source!A:J,3,FALSE)="---","",VLOOKUP(B252,Data_source!A:J,3,FALSE)),"")</f>
        <v/>
      </c>
      <c r="G252" s="11" t="str">
        <f t="shared" si="10"/>
        <v/>
      </c>
      <c r="H252" s="12" t="str">
        <f>IF(ISBLANK(B252)=FALSE,IF(VLOOKUP(B252,Data_source!A:J,6,FALSE)="---","",VLOOKUP(B252,Data_source!A:J,6,FALSE)),"")</f>
        <v/>
      </c>
      <c r="I252" s="12" t="str">
        <f t="shared" si="11"/>
        <v/>
      </c>
      <c r="J252" s="46" t="str">
        <f>IF(ISBLANK(B252)=FALSE,IF(VLOOKUP(B252,Data_source!A:J,7,FALSE)=0,"",VLOOKUP(B252,Data_source!A:J,7,FALSE)),"")</f>
        <v/>
      </c>
      <c r="K252" s="46" t="str">
        <f>IF(ISBLANK(B252)=FALSE,IF(VLOOKUP(B252,Data_source!A:J,8,FALSE)=0,"",VLOOKUP(B252,Data_source!A:J,8,FALSE)),"")</f>
        <v/>
      </c>
      <c r="L252" s="46" t="str">
        <f>IF(ISBLANK(B252)=FALSE,IF(VLOOKUP(B252,Data_source!A:J,9,FALSE)=0,"",VLOOKUP(B252,Data_source!A:J,9,FALSE)),"")</f>
        <v/>
      </c>
      <c r="M252" s="23"/>
    </row>
    <row r="253" spans="1:13" x14ac:dyDescent="0.2">
      <c r="A253" s="13">
        <v>242</v>
      </c>
      <c r="B253" s="23"/>
      <c r="C253" s="10" t="str">
        <f>IF($E$5=1,IF(ISBLANK(B253)=FALSE,VLOOKUP(B253,Data_source!A:J,4,FALSE),""),IF(ISBLANK(B253)=FALSE,VLOOKUP(B253,Data_source!A:J,5,FALSE),""))</f>
        <v/>
      </c>
      <c r="D253" s="11" t="str">
        <f>IF(ISBLANK(B253)=FALSE,IF(VLOOKUP(B253,Data_source!A:J,2,FALSE)="---","",VLOOKUP(B253,Data_source!A:J,2,FALSE)),"")</f>
        <v/>
      </c>
      <c r="E253" s="11" t="str">
        <f t="shared" si="9"/>
        <v/>
      </c>
      <c r="F253" s="11" t="str">
        <f>IF(ISBLANK(B253)=FALSE,IF(VLOOKUP(B253,Data_source!A:J,3,FALSE)="---","",VLOOKUP(B253,Data_source!A:J,3,FALSE)),"")</f>
        <v/>
      </c>
      <c r="G253" s="11" t="str">
        <f t="shared" si="10"/>
        <v/>
      </c>
      <c r="H253" s="12" t="str">
        <f>IF(ISBLANK(B253)=FALSE,IF(VLOOKUP(B253,Data_source!A:J,6,FALSE)="---","",VLOOKUP(B253,Data_source!A:J,6,FALSE)),"")</f>
        <v/>
      </c>
      <c r="I253" s="12" t="str">
        <f t="shared" si="11"/>
        <v/>
      </c>
      <c r="J253" s="46" t="str">
        <f>IF(ISBLANK(B253)=FALSE,IF(VLOOKUP(B253,Data_source!A:J,7,FALSE)=0,"",VLOOKUP(B253,Data_source!A:J,7,FALSE)),"")</f>
        <v/>
      </c>
      <c r="K253" s="46" t="str">
        <f>IF(ISBLANK(B253)=FALSE,IF(VLOOKUP(B253,Data_source!A:J,8,FALSE)=0,"",VLOOKUP(B253,Data_source!A:J,8,FALSE)),"")</f>
        <v/>
      </c>
      <c r="L253" s="46" t="str">
        <f>IF(ISBLANK(B253)=FALSE,IF(VLOOKUP(B253,Data_source!A:J,9,FALSE)=0,"",VLOOKUP(B253,Data_source!A:J,9,FALSE)),"")</f>
        <v/>
      </c>
      <c r="M253" s="23"/>
    </row>
    <row r="254" spans="1:13" x14ac:dyDescent="0.2">
      <c r="A254" s="13">
        <v>243</v>
      </c>
      <c r="B254" s="23"/>
      <c r="C254" s="10" t="str">
        <f>IF($E$5=1,IF(ISBLANK(B254)=FALSE,VLOOKUP(B254,Data_source!A:J,4,FALSE),""),IF(ISBLANK(B254)=FALSE,VLOOKUP(B254,Data_source!A:J,5,FALSE),""))</f>
        <v/>
      </c>
      <c r="D254" s="11" t="str">
        <f>IF(ISBLANK(B254)=FALSE,IF(VLOOKUP(B254,Data_source!A:J,2,FALSE)="---","",VLOOKUP(B254,Data_source!A:J,2,FALSE)),"")</f>
        <v/>
      </c>
      <c r="E254" s="11" t="str">
        <f t="shared" si="9"/>
        <v/>
      </c>
      <c r="F254" s="11" t="str">
        <f>IF(ISBLANK(B254)=FALSE,IF(VLOOKUP(B254,Data_source!A:J,3,FALSE)="---","",VLOOKUP(B254,Data_source!A:J,3,FALSE)),"")</f>
        <v/>
      </c>
      <c r="G254" s="11" t="str">
        <f t="shared" si="10"/>
        <v/>
      </c>
      <c r="H254" s="12" t="str">
        <f>IF(ISBLANK(B254)=FALSE,IF(VLOOKUP(B254,Data_source!A:J,6,FALSE)="---","",VLOOKUP(B254,Data_source!A:J,6,FALSE)),"")</f>
        <v/>
      </c>
      <c r="I254" s="12" t="str">
        <f t="shared" si="11"/>
        <v/>
      </c>
      <c r="J254" s="46" t="str">
        <f>IF(ISBLANK(B254)=FALSE,IF(VLOOKUP(B254,Data_source!A:J,7,FALSE)=0,"",VLOOKUP(B254,Data_source!A:J,7,FALSE)),"")</f>
        <v/>
      </c>
      <c r="K254" s="46" t="str">
        <f>IF(ISBLANK(B254)=FALSE,IF(VLOOKUP(B254,Data_source!A:J,8,FALSE)=0,"",VLOOKUP(B254,Data_source!A:J,8,FALSE)),"")</f>
        <v/>
      </c>
      <c r="L254" s="46" t="str">
        <f>IF(ISBLANK(B254)=FALSE,IF(VLOOKUP(B254,Data_source!A:J,9,FALSE)=0,"",VLOOKUP(B254,Data_source!A:J,9,FALSE)),"")</f>
        <v/>
      </c>
      <c r="M254" s="23"/>
    </row>
    <row r="255" spans="1:13" x14ac:dyDescent="0.2">
      <c r="A255" s="13">
        <v>244</v>
      </c>
      <c r="B255" s="26"/>
      <c r="C255" s="10" t="str">
        <f>IF($E$5=1,IF(ISBLANK(B255)=FALSE,VLOOKUP(B255,Data_source!A:J,4,FALSE),""),IF(ISBLANK(B255)=FALSE,VLOOKUP(B255,Data_source!A:J,5,FALSE),""))</f>
        <v/>
      </c>
      <c r="D255" s="11" t="str">
        <f>IF(ISBLANK(B255)=FALSE,IF(VLOOKUP(B255,Data_source!A:J,2,FALSE)="---","",VLOOKUP(B255,Data_source!A:J,2,FALSE)),"")</f>
        <v/>
      </c>
      <c r="E255" s="11" t="str">
        <f t="shared" si="9"/>
        <v/>
      </c>
      <c r="F255" s="11" t="str">
        <f>IF(ISBLANK(B255)=FALSE,IF(VLOOKUP(B255,Data_source!A:J,3,FALSE)="---","",VLOOKUP(B255,Data_source!A:J,3,FALSE)),"")</f>
        <v/>
      </c>
      <c r="G255" s="11" t="str">
        <f t="shared" si="10"/>
        <v/>
      </c>
      <c r="H255" s="12" t="str">
        <f>IF(ISBLANK(B255)=FALSE,IF(VLOOKUP(B255,Data_source!A:J,6,FALSE)="---","",VLOOKUP(B255,Data_source!A:J,6,FALSE)),"")</f>
        <v/>
      </c>
      <c r="I255" s="12" t="str">
        <f t="shared" si="11"/>
        <v/>
      </c>
      <c r="J255" s="46" t="str">
        <f>IF(ISBLANK(B255)=FALSE,IF(VLOOKUP(B255,Data_source!A:J,7,FALSE)=0,"",VLOOKUP(B255,Data_source!A:J,7,FALSE)),"")</f>
        <v/>
      </c>
      <c r="K255" s="46" t="str">
        <f>IF(ISBLANK(B255)=FALSE,IF(VLOOKUP(B255,Data_source!A:J,8,FALSE)=0,"",VLOOKUP(B255,Data_source!A:J,8,FALSE)),"")</f>
        <v/>
      </c>
      <c r="L255" s="46" t="str">
        <f>IF(ISBLANK(B255)=FALSE,IF(VLOOKUP(B255,Data_source!A:J,9,FALSE)=0,"",VLOOKUP(B255,Data_source!A:J,9,FALSE)),"")</f>
        <v/>
      </c>
      <c r="M255" s="23"/>
    </row>
    <row r="256" spans="1:13" x14ac:dyDescent="0.2">
      <c r="A256" s="13">
        <v>245</v>
      </c>
      <c r="B256" s="23"/>
      <c r="C256" s="10" t="str">
        <f>IF($E$5=1,IF(ISBLANK(B256)=FALSE,VLOOKUP(B256,Data_source!A:J,4,FALSE),""),IF(ISBLANK(B256)=FALSE,VLOOKUP(B256,Data_source!A:J,5,FALSE),""))</f>
        <v/>
      </c>
      <c r="D256" s="11" t="str">
        <f>IF(ISBLANK(B256)=FALSE,IF(VLOOKUP(B256,Data_source!A:J,2,FALSE)="---","",VLOOKUP(B256,Data_source!A:J,2,FALSE)),"")</f>
        <v/>
      </c>
      <c r="E256" s="11" t="str">
        <f t="shared" si="9"/>
        <v/>
      </c>
      <c r="F256" s="11" t="str">
        <f>IF(ISBLANK(B256)=FALSE,IF(VLOOKUP(B256,Data_source!A:J,3,FALSE)="---","",VLOOKUP(B256,Data_source!A:J,3,FALSE)),"")</f>
        <v/>
      </c>
      <c r="G256" s="11" t="str">
        <f t="shared" si="10"/>
        <v/>
      </c>
      <c r="H256" s="12" t="str">
        <f>IF(ISBLANK(B256)=FALSE,IF(VLOOKUP(B256,Data_source!A:J,6,FALSE)="---","",VLOOKUP(B256,Data_source!A:J,6,FALSE)),"")</f>
        <v/>
      </c>
      <c r="I256" s="12" t="str">
        <f t="shared" si="11"/>
        <v/>
      </c>
      <c r="J256" s="46" t="str">
        <f>IF(ISBLANK(B256)=FALSE,IF(VLOOKUP(B256,Data_source!A:J,7,FALSE)=0,"",VLOOKUP(B256,Data_source!A:J,7,FALSE)),"")</f>
        <v/>
      </c>
      <c r="K256" s="46" t="str">
        <f>IF(ISBLANK(B256)=FALSE,IF(VLOOKUP(B256,Data_source!A:J,8,FALSE)=0,"",VLOOKUP(B256,Data_source!A:J,8,FALSE)),"")</f>
        <v/>
      </c>
      <c r="L256" s="46" t="str">
        <f>IF(ISBLANK(B256)=FALSE,IF(VLOOKUP(B256,Data_source!A:J,9,FALSE)=0,"",VLOOKUP(B256,Data_source!A:J,9,FALSE)),"")</f>
        <v/>
      </c>
      <c r="M256" s="23"/>
    </row>
    <row r="257" spans="1:13" x14ac:dyDescent="0.2">
      <c r="A257" s="13">
        <v>246</v>
      </c>
      <c r="B257" s="23"/>
      <c r="C257" s="10" t="str">
        <f>IF($E$5=1,IF(ISBLANK(B257)=FALSE,VLOOKUP(B257,Data_source!A:J,4,FALSE),""),IF(ISBLANK(B257)=FALSE,VLOOKUP(B257,Data_source!A:J,5,FALSE),""))</f>
        <v/>
      </c>
      <c r="D257" s="11" t="str">
        <f>IF(ISBLANK(B257)=FALSE,IF(VLOOKUP(B257,Data_source!A:J,2,FALSE)="---","",VLOOKUP(B257,Data_source!A:J,2,FALSE)),"")</f>
        <v/>
      </c>
      <c r="E257" s="11" t="str">
        <f t="shared" si="9"/>
        <v/>
      </c>
      <c r="F257" s="11" t="str">
        <f>IF(ISBLANK(B257)=FALSE,IF(VLOOKUP(B257,Data_source!A:J,3,FALSE)="---","",VLOOKUP(B257,Data_source!A:J,3,FALSE)),"")</f>
        <v/>
      </c>
      <c r="G257" s="11" t="str">
        <f t="shared" si="10"/>
        <v/>
      </c>
      <c r="H257" s="12" t="str">
        <f>IF(ISBLANK(B257)=FALSE,IF(VLOOKUP(B257,Data_source!A:J,6,FALSE)="---","",VLOOKUP(B257,Data_source!A:J,6,FALSE)),"")</f>
        <v/>
      </c>
      <c r="I257" s="12" t="str">
        <f t="shared" si="11"/>
        <v/>
      </c>
      <c r="J257" s="46" t="str">
        <f>IF(ISBLANK(B257)=FALSE,IF(VLOOKUP(B257,Data_source!A:J,7,FALSE)=0,"",VLOOKUP(B257,Data_source!A:J,7,FALSE)),"")</f>
        <v/>
      </c>
      <c r="K257" s="46" t="str">
        <f>IF(ISBLANK(B257)=FALSE,IF(VLOOKUP(B257,Data_source!A:J,8,FALSE)=0,"",VLOOKUP(B257,Data_source!A:J,8,FALSE)),"")</f>
        <v/>
      </c>
      <c r="L257" s="46" t="str">
        <f>IF(ISBLANK(B257)=FALSE,IF(VLOOKUP(B257,Data_source!A:J,9,FALSE)=0,"",VLOOKUP(B257,Data_source!A:J,9,FALSE)),"")</f>
        <v/>
      </c>
      <c r="M257" s="23"/>
    </row>
    <row r="258" spans="1:13" x14ac:dyDescent="0.2">
      <c r="A258" s="13">
        <v>247</v>
      </c>
      <c r="B258" s="23"/>
      <c r="C258" s="10" t="str">
        <f>IF($E$5=1,IF(ISBLANK(B258)=FALSE,VLOOKUP(B258,Data_source!A:J,4,FALSE),""),IF(ISBLANK(B258)=FALSE,VLOOKUP(B258,Data_source!A:J,5,FALSE),""))</f>
        <v/>
      </c>
      <c r="D258" s="11" t="str">
        <f>IF(ISBLANK(B258)=FALSE,IF(VLOOKUP(B258,Data_source!A:J,2,FALSE)="---","",VLOOKUP(B258,Data_source!A:J,2,FALSE)),"")</f>
        <v/>
      </c>
      <c r="E258" s="11" t="str">
        <f t="shared" si="9"/>
        <v/>
      </c>
      <c r="F258" s="11" t="str">
        <f>IF(ISBLANK(B258)=FALSE,IF(VLOOKUP(B258,Data_source!A:J,3,FALSE)="---","",VLOOKUP(B258,Data_source!A:J,3,FALSE)),"")</f>
        <v/>
      </c>
      <c r="G258" s="11" t="str">
        <f t="shared" si="10"/>
        <v/>
      </c>
      <c r="H258" s="12" t="str">
        <f>IF(ISBLANK(B258)=FALSE,IF(VLOOKUP(B258,Data_source!A:J,6,FALSE)="---","",VLOOKUP(B258,Data_source!A:J,6,FALSE)),"")</f>
        <v/>
      </c>
      <c r="I258" s="12" t="str">
        <f t="shared" si="11"/>
        <v/>
      </c>
      <c r="J258" s="46" t="str">
        <f>IF(ISBLANK(B258)=FALSE,IF(VLOOKUP(B258,Data_source!A:J,7,FALSE)=0,"",VLOOKUP(B258,Data_source!A:J,7,FALSE)),"")</f>
        <v/>
      </c>
      <c r="K258" s="46" t="str">
        <f>IF(ISBLANK(B258)=FALSE,IF(VLOOKUP(B258,Data_source!A:J,8,FALSE)=0,"",VLOOKUP(B258,Data_source!A:J,8,FALSE)),"")</f>
        <v/>
      </c>
      <c r="L258" s="46" t="str">
        <f>IF(ISBLANK(B258)=FALSE,IF(VLOOKUP(B258,Data_source!A:J,9,FALSE)=0,"",VLOOKUP(B258,Data_source!A:J,9,FALSE)),"")</f>
        <v/>
      </c>
      <c r="M258" s="23"/>
    </row>
    <row r="259" spans="1:13" x14ac:dyDescent="0.2">
      <c r="A259" s="13">
        <v>248</v>
      </c>
      <c r="B259" s="23"/>
      <c r="C259" s="10" t="str">
        <f>IF($E$5=1,IF(ISBLANK(B259)=FALSE,VLOOKUP(B259,Data_source!A:J,4,FALSE),""),IF(ISBLANK(B259)=FALSE,VLOOKUP(B259,Data_source!A:J,5,FALSE),""))</f>
        <v/>
      </c>
      <c r="D259" s="11" t="str">
        <f>IF(ISBLANK(B259)=FALSE,IF(VLOOKUP(B259,Data_source!A:J,2,FALSE)="---","",VLOOKUP(B259,Data_source!A:J,2,FALSE)),"")</f>
        <v/>
      </c>
      <c r="E259" s="11" t="str">
        <f t="shared" si="9"/>
        <v/>
      </c>
      <c r="F259" s="11" t="str">
        <f>IF(ISBLANK(B259)=FALSE,IF(VLOOKUP(B259,Data_source!A:J,3,FALSE)="---","",VLOOKUP(B259,Data_source!A:J,3,FALSE)),"")</f>
        <v/>
      </c>
      <c r="G259" s="11" t="str">
        <f t="shared" si="10"/>
        <v/>
      </c>
      <c r="H259" s="12" t="str">
        <f>IF(ISBLANK(B259)=FALSE,IF(VLOOKUP(B259,Data_source!A:J,6,FALSE)="---","",VLOOKUP(B259,Data_source!A:J,6,FALSE)),"")</f>
        <v/>
      </c>
      <c r="I259" s="12" t="str">
        <f t="shared" si="11"/>
        <v/>
      </c>
      <c r="J259" s="46" t="str">
        <f>IF(ISBLANK(B259)=FALSE,IF(VLOOKUP(B259,Data_source!A:J,7,FALSE)=0,"",VLOOKUP(B259,Data_source!A:J,7,FALSE)),"")</f>
        <v/>
      </c>
      <c r="K259" s="46" t="str">
        <f>IF(ISBLANK(B259)=FALSE,IF(VLOOKUP(B259,Data_source!A:J,8,FALSE)=0,"",VLOOKUP(B259,Data_source!A:J,8,FALSE)),"")</f>
        <v/>
      </c>
      <c r="L259" s="46" t="str">
        <f>IF(ISBLANK(B259)=FALSE,IF(VLOOKUP(B259,Data_source!A:J,9,FALSE)=0,"",VLOOKUP(B259,Data_source!A:J,9,FALSE)),"")</f>
        <v/>
      </c>
      <c r="M259" s="23"/>
    </row>
    <row r="260" spans="1:13" x14ac:dyDescent="0.2">
      <c r="A260" s="13">
        <v>249</v>
      </c>
      <c r="B260" s="23"/>
      <c r="C260" s="10" t="str">
        <f>IF($E$5=1,IF(ISBLANK(B260)=FALSE,VLOOKUP(B260,Data_source!A:J,4,FALSE),""),IF(ISBLANK(B260)=FALSE,VLOOKUP(B260,Data_source!A:J,5,FALSE),""))</f>
        <v/>
      </c>
      <c r="D260" s="11" t="str">
        <f>IF(ISBLANK(B260)=FALSE,IF(VLOOKUP(B260,Data_source!A:J,2,FALSE)="---","",VLOOKUP(B260,Data_source!A:J,2,FALSE)),"")</f>
        <v/>
      </c>
      <c r="E260" s="11" t="str">
        <f t="shared" si="9"/>
        <v/>
      </c>
      <c r="F260" s="11" t="str">
        <f>IF(ISBLANK(B260)=FALSE,IF(VLOOKUP(B260,Data_source!A:J,3,FALSE)="---","",VLOOKUP(B260,Data_source!A:J,3,FALSE)),"")</f>
        <v/>
      </c>
      <c r="G260" s="11" t="str">
        <f t="shared" si="10"/>
        <v/>
      </c>
      <c r="H260" s="12" t="str">
        <f>IF(ISBLANK(B260)=FALSE,IF(VLOOKUP(B260,Data_source!A:J,6,FALSE)="---","",VLOOKUP(B260,Data_source!A:J,6,FALSE)),"")</f>
        <v/>
      </c>
      <c r="I260" s="12" t="str">
        <f t="shared" si="11"/>
        <v/>
      </c>
      <c r="J260" s="46" t="str">
        <f>IF(ISBLANK(B260)=FALSE,IF(VLOOKUP(B260,Data_source!A:J,7,FALSE)=0,"",VLOOKUP(B260,Data_source!A:J,7,FALSE)),"")</f>
        <v/>
      </c>
      <c r="K260" s="46" t="str">
        <f>IF(ISBLANK(B260)=FALSE,IF(VLOOKUP(B260,Data_source!A:J,8,FALSE)=0,"",VLOOKUP(B260,Data_source!A:J,8,FALSE)),"")</f>
        <v/>
      </c>
      <c r="L260" s="46" t="str">
        <f>IF(ISBLANK(B260)=FALSE,IF(VLOOKUP(B260,Data_source!A:J,9,FALSE)=0,"",VLOOKUP(B260,Data_source!A:J,9,FALSE)),"")</f>
        <v/>
      </c>
      <c r="M260" s="23"/>
    </row>
    <row r="261" spans="1:13" x14ac:dyDescent="0.2">
      <c r="A261" s="13">
        <v>250</v>
      </c>
      <c r="B261" s="23"/>
      <c r="C261" s="10" t="str">
        <f>IF($E$5=1,IF(ISBLANK(B261)=FALSE,VLOOKUP(B261,Data_source!A:J,4,FALSE),""),IF(ISBLANK(B261)=FALSE,VLOOKUP(B261,Data_source!A:J,5,FALSE),""))</f>
        <v/>
      </c>
      <c r="D261" s="11" t="str">
        <f>IF(ISBLANK(B261)=FALSE,IF(VLOOKUP(B261,Data_source!A:J,2,FALSE)="---","",VLOOKUP(B261,Data_source!A:J,2,FALSE)),"")</f>
        <v/>
      </c>
      <c r="E261" s="11" t="str">
        <f t="shared" si="9"/>
        <v/>
      </c>
      <c r="F261" s="11" t="str">
        <f>IF(ISBLANK(B261)=FALSE,IF(VLOOKUP(B261,Data_source!A:J,3,FALSE)="---","",VLOOKUP(B261,Data_source!A:J,3,FALSE)),"")</f>
        <v/>
      </c>
      <c r="G261" s="11" t="str">
        <f t="shared" si="10"/>
        <v/>
      </c>
      <c r="H261" s="12" t="str">
        <f>IF(ISBLANK(B261)=FALSE,IF(VLOOKUP(B261,Data_source!A:J,6,FALSE)="---","",VLOOKUP(B261,Data_source!A:J,6,FALSE)),"")</f>
        <v/>
      </c>
      <c r="I261" s="12" t="str">
        <f t="shared" si="11"/>
        <v/>
      </c>
      <c r="J261" s="46" t="str">
        <f>IF(ISBLANK(B261)=FALSE,IF(VLOOKUP(B261,Data_source!A:J,7,FALSE)=0,"",VLOOKUP(B261,Data_source!A:J,7,FALSE)),"")</f>
        <v/>
      </c>
      <c r="K261" s="46" t="str">
        <f>IF(ISBLANK(B261)=FALSE,IF(VLOOKUP(B261,Data_source!A:J,8,FALSE)=0,"",VLOOKUP(B261,Data_source!A:J,8,FALSE)),"")</f>
        <v/>
      </c>
      <c r="L261" s="46" t="str">
        <f>IF(ISBLANK(B261)=FALSE,IF(VLOOKUP(B261,Data_source!A:J,9,FALSE)=0,"",VLOOKUP(B261,Data_source!A:J,9,FALSE)),"")</f>
        <v/>
      </c>
      <c r="M261" s="23"/>
    </row>
    <row r="262" spans="1:13" x14ac:dyDescent="0.2">
      <c r="A262" s="13">
        <v>251</v>
      </c>
      <c r="B262" s="23"/>
      <c r="C262" s="10" t="str">
        <f>IF($E$5=1,IF(ISBLANK(B262)=FALSE,VLOOKUP(B262,Data_source!A:J,4,FALSE),""),IF(ISBLANK(B262)=FALSE,VLOOKUP(B262,Data_source!A:J,5,FALSE),""))</f>
        <v/>
      </c>
      <c r="D262" s="11" t="str">
        <f>IF(ISBLANK(B262)=FALSE,IF(VLOOKUP(B262,Data_source!A:J,2,FALSE)="---","",VLOOKUP(B262,Data_source!A:J,2,FALSE)),"")</f>
        <v/>
      </c>
      <c r="E262" s="11" t="str">
        <f t="shared" si="9"/>
        <v/>
      </c>
      <c r="F262" s="11" t="str">
        <f>IF(ISBLANK(B262)=FALSE,IF(VLOOKUP(B262,Data_source!A:J,3,FALSE)="---","",VLOOKUP(B262,Data_source!A:J,3,FALSE)),"")</f>
        <v/>
      </c>
      <c r="G262" s="11" t="str">
        <f t="shared" si="10"/>
        <v/>
      </c>
      <c r="H262" s="12" t="str">
        <f>IF(ISBLANK(B262)=FALSE,IF(VLOOKUP(B262,Data_source!A:J,6,FALSE)="---","",VLOOKUP(B262,Data_source!A:J,6,FALSE)),"")</f>
        <v/>
      </c>
      <c r="I262" s="12" t="str">
        <f t="shared" si="11"/>
        <v/>
      </c>
      <c r="J262" s="46" t="str">
        <f>IF(ISBLANK(B262)=FALSE,IF(VLOOKUP(B262,Data_source!A:J,7,FALSE)=0,"",VLOOKUP(B262,Data_source!A:J,7,FALSE)),"")</f>
        <v/>
      </c>
      <c r="K262" s="46" t="str">
        <f>IF(ISBLANK(B262)=FALSE,IF(VLOOKUP(B262,Data_source!A:J,8,FALSE)=0,"",VLOOKUP(B262,Data_source!A:J,8,FALSE)),"")</f>
        <v/>
      </c>
      <c r="L262" s="46" t="str">
        <f>IF(ISBLANK(B262)=FALSE,IF(VLOOKUP(B262,Data_source!A:J,9,FALSE)=0,"",VLOOKUP(B262,Data_source!A:J,9,FALSE)),"")</f>
        <v/>
      </c>
      <c r="M262" s="23"/>
    </row>
    <row r="263" spans="1:13" x14ac:dyDescent="0.2">
      <c r="A263" s="13">
        <v>252</v>
      </c>
      <c r="B263" s="23"/>
      <c r="C263" s="10" t="str">
        <f>IF($E$5=1,IF(ISBLANK(B263)=FALSE,VLOOKUP(B263,Data_source!A:J,4,FALSE),""),IF(ISBLANK(B263)=FALSE,VLOOKUP(B263,Data_source!A:J,5,FALSE),""))</f>
        <v/>
      </c>
      <c r="D263" s="11" t="str">
        <f>IF(ISBLANK(B263)=FALSE,IF(VLOOKUP(B263,Data_source!A:J,2,FALSE)="---","",VLOOKUP(B263,Data_source!A:J,2,FALSE)),"")</f>
        <v/>
      </c>
      <c r="E263" s="11" t="str">
        <f t="shared" si="9"/>
        <v/>
      </c>
      <c r="F263" s="11" t="str">
        <f>IF(ISBLANK(B263)=FALSE,IF(VLOOKUP(B263,Data_source!A:J,3,FALSE)="---","",VLOOKUP(B263,Data_source!A:J,3,FALSE)),"")</f>
        <v/>
      </c>
      <c r="G263" s="11" t="str">
        <f t="shared" si="10"/>
        <v/>
      </c>
      <c r="H263" s="12" t="str">
        <f>IF(ISBLANK(B263)=FALSE,IF(VLOOKUP(B263,Data_source!A:J,6,FALSE)="---","",VLOOKUP(B263,Data_source!A:J,6,FALSE)),"")</f>
        <v/>
      </c>
      <c r="I263" s="12" t="str">
        <f t="shared" si="11"/>
        <v/>
      </c>
      <c r="J263" s="46" t="str">
        <f>IF(ISBLANK(B263)=FALSE,IF(VLOOKUP(B263,Data_source!A:J,7,FALSE)=0,"",VLOOKUP(B263,Data_source!A:J,7,FALSE)),"")</f>
        <v/>
      </c>
      <c r="K263" s="46" t="str">
        <f>IF(ISBLANK(B263)=FALSE,IF(VLOOKUP(B263,Data_source!A:J,8,FALSE)=0,"",VLOOKUP(B263,Data_source!A:J,8,FALSE)),"")</f>
        <v/>
      </c>
      <c r="L263" s="46" t="str">
        <f>IF(ISBLANK(B263)=FALSE,IF(VLOOKUP(B263,Data_source!A:J,9,FALSE)=0,"",VLOOKUP(B263,Data_source!A:J,9,FALSE)),"")</f>
        <v/>
      </c>
      <c r="M263" s="23"/>
    </row>
    <row r="264" spans="1:13" x14ac:dyDescent="0.2">
      <c r="A264" s="13">
        <v>253</v>
      </c>
      <c r="B264" s="23"/>
      <c r="C264" s="10" t="str">
        <f>IF($E$5=1,IF(ISBLANK(B264)=FALSE,VLOOKUP(B264,Data_source!A:J,4,FALSE),""),IF(ISBLANK(B264)=FALSE,VLOOKUP(B264,Data_source!A:J,5,FALSE),""))</f>
        <v/>
      </c>
      <c r="D264" s="11" t="str">
        <f>IF(ISBLANK(B264)=FALSE,IF(VLOOKUP(B264,Data_source!A:J,2,FALSE)="---","",VLOOKUP(B264,Data_source!A:J,2,FALSE)),"")</f>
        <v/>
      </c>
      <c r="E264" s="11" t="str">
        <f t="shared" si="9"/>
        <v/>
      </c>
      <c r="F264" s="11" t="str">
        <f>IF(ISBLANK(B264)=FALSE,IF(VLOOKUP(B264,Data_source!A:J,3,FALSE)="---","",VLOOKUP(B264,Data_source!A:J,3,FALSE)),"")</f>
        <v/>
      </c>
      <c r="G264" s="11" t="str">
        <f t="shared" si="10"/>
        <v/>
      </c>
      <c r="H264" s="12" t="str">
        <f>IF(ISBLANK(B264)=FALSE,IF(VLOOKUP(B264,Data_source!A:J,6,FALSE)="---","",VLOOKUP(B264,Data_source!A:J,6,FALSE)),"")</f>
        <v/>
      </c>
      <c r="I264" s="12" t="str">
        <f t="shared" si="11"/>
        <v/>
      </c>
      <c r="J264" s="46" t="str">
        <f>IF(ISBLANK(B264)=FALSE,IF(VLOOKUP(B264,Data_source!A:J,7,FALSE)=0,"",VLOOKUP(B264,Data_source!A:J,7,FALSE)),"")</f>
        <v/>
      </c>
      <c r="K264" s="46" t="str">
        <f>IF(ISBLANK(B264)=FALSE,IF(VLOOKUP(B264,Data_source!A:J,8,FALSE)=0,"",VLOOKUP(B264,Data_source!A:J,8,FALSE)),"")</f>
        <v/>
      </c>
      <c r="L264" s="46" t="str">
        <f>IF(ISBLANK(B264)=FALSE,IF(VLOOKUP(B264,Data_source!A:J,9,FALSE)=0,"",VLOOKUP(B264,Data_source!A:J,9,FALSE)),"")</f>
        <v/>
      </c>
      <c r="M264" s="23"/>
    </row>
    <row r="265" spans="1:13" x14ac:dyDescent="0.2">
      <c r="A265" s="13">
        <v>254</v>
      </c>
      <c r="B265" s="23"/>
      <c r="C265" s="10" t="str">
        <f>IF($E$5=1,IF(ISBLANK(B265)=FALSE,VLOOKUP(B265,Data_source!A:J,4,FALSE),""),IF(ISBLANK(B265)=FALSE,VLOOKUP(B265,Data_source!A:J,5,FALSE),""))</f>
        <v/>
      </c>
      <c r="D265" s="11" t="str">
        <f>IF(ISBLANK(B265)=FALSE,IF(VLOOKUP(B265,Data_source!A:J,2,FALSE)="---","",VLOOKUP(B265,Data_source!A:J,2,FALSE)),"")</f>
        <v/>
      </c>
      <c r="E265" s="11" t="str">
        <f t="shared" si="9"/>
        <v/>
      </c>
      <c r="F265" s="11" t="str">
        <f>IF(ISBLANK(B265)=FALSE,IF(VLOOKUP(B265,Data_source!A:J,3,FALSE)="---","",VLOOKUP(B265,Data_source!A:J,3,FALSE)),"")</f>
        <v/>
      </c>
      <c r="G265" s="11" t="str">
        <f t="shared" si="10"/>
        <v/>
      </c>
      <c r="H265" s="12" t="str">
        <f>IF(ISBLANK(B265)=FALSE,IF(VLOOKUP(B265,Data_source!A:J,6,FALSE)="---","",VLOOKUP(B265,Data_source!A:J,6,FALSE)),"")</f>
        <v/>
      </c>
      <c r="I265" s="12" t="str">
        <f t="shared" si="11"/>
        <v/>
      </c>
      <c r="J265" s="46" t="str">
        <f>IF(ISBLANK(B265)=FALSE,IF(VLOOKUP(B265,Data_source!A:J,7,FALSE)=0,"",VLOOKUP(B265,Data_source!A:J,7,FALSE)),"")</f>
        <v/>
      </c>
      <c r="K265" s="46" t="str">
        <f>IF(ISBLANK(B265)=FALSE,IF(VLOOKUP(B265,Data_source!A:J,8,FALSE)=0,"",VLOOKUP(B265,Data_source!A:J,8,FALSE)),"")</f>
        <v/>
      </c>
      <c r="L265" s="46" t="str">
        <f>IF(ISBLANK(B265)=FALSE,IF(VLOOKUP(B265,Data_source!A:J,9,FALSE)=0,"",VLOOKUP(B265,Data_source!A:J,9,FALSE)),"")</f>
        <v/>
      </c>
      <c r="M265" s="23"/>
    </row>
    <row r="266" spans="1:13" x14ac:dyDescent="0.2">
      <c r="A266" s="13">
        <v>255</v>
      </c>
      <c r="B266" s="23"/>
      <c r="C266" s="10" t="str">
        <f>IF($E$5=1,IF(ISBLANK(B266)=FALSE,VLOOKUP(B266,Data_source!A:J,4,FALSE),""),IF(ISBLANK(B266)=FALSE,VLOOKUP(B266,Data_source!A:J,5,FALSE),""))</f>
        <v/>
      </c>
      <c r="D266" s="11" t="str">
        <f>IF(ISBLANK(B266)=FALSE,IF(VLOOKUP(B266,Data_source!A:J,2,FALSE)="---","",VLOOKUP(B266,Data_source!A:J,2,FALSE)),"")</f>
        <v/>
      </c>
      <c r="E266" s="11" t="str">
        <f t="shared" si="9"/>
        <v/>
      </c>
      <c r="F266" s="11" t="str">
        <f>IF(ISBLANK(B266)=FALSE,IF(VLOOKUP(B266,Data_source!A:J,3,FALSE)="---","",VLOOKUP(B266,Data_source!A:J,3,FALSE)),"")</f>
        <v/>
      </c>
      <c r="G266" s="11" t="str">
        <f t="shared" si="10"/>
        <v/>
      </c>
      <c r="H266" s="12" t="str">
        <f>IF(ISBLANK(B266)=FALSE,IF(VLOOKUP(B266,Data_source!A:J,6,FALSE)="---","",VLOOKUP(B266,Data_source!A:J,6,FALSE)),"")</f>
        <v/>
      </c>
      <c r="I266" s="12" t="str">
        <f t="shared" si="11"/>
        <v/>
      </c>
      <c r="J266" s="46" t="str">
        <f>IF(ISBLANK(B266)=FALSE,IF(VLOOKUP(B266,Data_source!A:J,7,FALSE)=0,"",VLOOKUP(B266,Data_source!A:J,7,FALSE)),"")</f>
        <v/>
      </c>
      <c r="K266" s="46" t="str">
        <f>IF(ISBLANK(B266)=FALSE,IF(VLOOKUP(B266,Data_source!A:J,8,FALSE)=0,"",VLOOKUP(B266,Data_source!A:J,8,FALSE)),"")</f>
        <v/>
      </c>
      <c r="L266" s="46" t="str">
        <f>IF(ISBLANK(B266)=FALSE,IF(VLOOKUP(B266,Data_source!A:J,9,FALSE)=0,"",VLOOKUP(B266,Data_source!A:J,9,FALSE)),"")</f>
        <v/>
      </c>
      <c r="M266" s="23"/>
    </row>
    <row r="267" spans="1:13" x14ac:dyDescent="0.2">
      <c r="A267" s="13">
        <v>256</v>
      </c>
      <c r="B267" s="26"/>
      <c r="C267" s="10" t="str">
        <f>IF($E$5=1,IF(ISBLANK(B267)=FALSE,VLOOKUP(B267,Data_source!A:J,4,FALSE),""),IF(ISBLANK(B267)=FALSE,VLOOKUP(B267,Data_source!A:J,5,FALSE),""))</f>
        <v/>
      </c>
      <c r="D267" s="11" t="str">
        <f>IF(ISBLANK(B267)=FALSE,IF(VLOOKUP(B267,Data_source!A:J,2,FALSE)="---","",VLOOKUP(B267,Data_source!A:J,2,FALSE)),"")</f>
        <v/>
      </c>
      <c r="E267" s="11" t="str">
        <f t="shared" si="9"/>
        <v/>
      </c>
      <c r="F267" s="11" t="str">
        <f>IF(ISBLANK(B267)=FALSE,IF(VLOOKUP(B267,Data_source!A:J,3,FALSE)="---","",VLOOKUP(B267,Data_source!A:J,3,FALSE)),"")</f>
        <v/>
      </c>
      <c r="G267" s="11" t="str">
        <f t="shared" si="10"/>
        <v/>
      </c>
      <c r="H267" s="12" t="str">
        <f>IF(ISBLANK(B267)=FALSE,IF(VLOOKUP(B267,Data_source!A:J,6,FALSE)="---","",VLOOKUP(B267,Data_source!A:J,6,FALSE)),"")</f>
        <v/>
      </c>
      <c r="I267" s="12" t="str">
        <f t="shared" si="11"/>
        <v/>
      </c>
      <c r="J267" s="46" t="str">
        <f>IF(ISBLANK(B267)=FALSE,IF(VLOOKUP(B267,Data_source!A:J,7,FALSE)=0,"",VLOOKUP(B267,Data_source!A:J,7,FALSE)),"")</f>
        <v/>
      </c>
      <c r="K267" s="46" t="str">
        <f>IF(ISBLANK(B267)=FALSE,IF(VLOOKUP(B267,Data_source!A:J,8,FALSE)=0,"",VLOOKUP(B267,Data_source!A:J,8,FALSE)),"")</f>
        <v/>
      </c>
      <c r="L267" s="46" t="str">
        <f>IF(ISBLANK(B267)=FALSE,IF(VLOOKUP(B267,Data_source!A:J,9,FALSE)=0,"",VLOOKUP(B267,Data_source!A:J,9,FALSE)),"")</f>
        <v/>
      </c>
      <c r="M267" s="23"/>
    </row>
    <row r="268" spans="1:13" x14ac:dyDescent="0.2">
      <c r="A268" s="13">
        <v>257</v>
      </c>
      <c r="B268" s="23"/>
      <c r="C268" s="10" t="str">
        <f>IF($E$5=1,IF(ISBLANK(B268)=FALSE,VLOOKUP(B268,Data_source!A:J,4,FALSE),""),IF(ISBLANK(B268)=FALSE,VLOOKUP(B268,Data_source!A:J,5,FALSE),""))</f>
        <v/>
      </c>
      <c r="D268" s="11" t="str">
        <f>IF(ISBLANK(B268)=FALSE,IF(VLOOKUP(B268,Data_source!A:J,2,FALSE)="---","",VLOOKUP(B268,Data_source!A:J,2,FALSE)),"")</f>
        <v/>
      </c>
      <c r="E268" s="11" t="str">
        <f t="shared" si="9"/>
        <v/>
      </c>
      <c r="F268" s="11" t="str">
        <f>IF(ISBLANK(B268)=FALSE,IF(VLOOKUP(B268,Data_source!A:J,3,FALSE)="---","",VLOOKUP(B268,Data_source!A:J,3,FALSE)),"")</f>
        <v/>
      </c>
      <c r="G268" s="11" t="str">
        <f t="shared" si="10"/>
        <v/>
      </c>
      <c r="H268" s="12" t="str">
        <f>IF(ISBLANK(B268)=FALSE,IF(VLOOKUP(B268,Data_source!A:J,6,FALSE)="---","",VLOOKUP(B268,Data_source!A:J,6,FALSE)),"")</f>
        <v/>
      </c>
      <c r="I268" s="12" t="str">
        <f t="shared" si="11"/>
        <v/>
      </c>
      <c r="J268" s="46" t="str">
        <f>IF(ISBLANK(B268)=FALSE,IF(VLOOKUP(B268,Data_source!A:J,7,FALSE)=0,"",VLOOKUP(B268,Data_source!A:J,7,FALSE)),"")</f>
        <v/>
      </c>
      <c r="K268" s="46" t="str">
        <f>IF(ISBLANK(B268)=FALSE,IF(VLOOKUP(B268,Data_source!A:J,8,FALSE)=0,"",VLOOKUP(B268,Data_source!A:J,8,FALSE)),"")</f>
        <v/>
      </c>
      <c r="L268" s="46" t="str">
        <f>IF(ISBLANK(B268)=FALSE,IF(VLOOKUP(B268,Data_source!A:J,9,FALSE)=0,"",VLOOKUP(B268,Data_source!A:J,9,FALSE)),"")</f>
        <v/>
      </c>
      <c r="M268" s="23"/>
    </row>
    <row r="269" spans="1:13" x14ac:dyDescent="0.2">
      <c r="A269" s="13">
        <v>258</v>
      </c>
      <c r="B269" s="23"/>
      <c r="C269" s="10" t="str">
        <f>IF($E$5=1,IF(ISBLANK(B269)=FALSE,VLOOKUP(B269,Data_source!A:J,4,FALSE),""),IF(ISBLANK(B269)=FALSE,VLOOKUP(B269,Data_source!A:J,5,FALSE),""))</f>
        <v/>
      </c>
      <c r="D269" s="11" t="str">
        <f>IF(ISBLANK(B269)=FALSE,IF(VLOOKUP(B269,Data_source!A:J,2,FALSE)="---","",VLOOKUP(B269,Data_source!A:J,2,FALSE)),"")</f>
        <v/>
      </c>
      <c r="E269" s="11" t="str">
        <f t="shared" si="9"/>
        <v/>
      </c>
      <c r="F269" s="11" t="str">
        <f>IF(ISBLANK(B269)=FALSE,IF(VLOOKUP(B269,Data_source!A:J,3,FALSE)="---","",VLOOKUP(B269,Data_source!A:J,3,FALSE)),"")</f>
        <v/>
      </c>
      <c r="G269" s="11" t="str">
        <f t="shared" si="10"/>
        <v/>
      </c>
      <c r="H269" s="12" t="str">
        <f>IF(ISBLANK(B269)=FALSE,IF(VLOOKUP(B269,Data_source!A:J,6,FALSE)="---","",VLOOKUP(B269,Data_source!A:J,6,FALSE)),"")</f>
        <v/>
      </c>
      <c r="I269" s="12" t="str">
        <f t="shared" si="11"/>
        <v/>
      </c>
      <c r="J269" s="46" t="str">
        <f>IF(ISBLANK(B269)=FALSE,IF(VLOOKUP(B269,Data_source!A:J,7,FALSE)=0,"",VLOOKUP(B269,Data_source!A:J,7,FALSE)),"")</f>
        <v/>
      </c>
      <c r="K269" s="46" t="str">
        <f>IF(ISBLANK(B269)=FALSE,IF(VLOOKUP(B269,Data_source!A:J,8,FALSE)=0,"",VLOOKUP(B269,Data_source!A:J,8,FALSE)),"")</f>
        <v/>
      </c>
      <c r="L269" s="46" t="str">
        <f>IF(ISBLANK(B269)=FALSE,IF(VLOOKUP(B269,Data_source!A:J,9,FALSE)=0,"",VLOOKUP(B269,Data_source!A:J,9,FALSE)),"")</f>
        <v/>
      </c>
      <c r="M269" s="23"/>
    </row>
    <row r="270" spans="1:13" x14ac:dyDescent="0.2">
      <c r="A270" s="13">
        <v>259</v>
      </c>
      <c r="B270" s="23"/>
      <c r="C270" s="10" t="str">
        <f>IF($E$5=1,IF(ISBLANK(B270)=FALSE,VLOOKUP(B270,Data_source!A:J,4,FALSE),""),IF(ISBLANK(B270)=FALSE,VLOOKUP(B270,Data_source!A:J,5,FALSE),""))</f>
        <v/>
      </c>
      <c r="D270" s="11" t="str">
        <f>IF(ISBLANK(B270)=FALSE,IF(VLOOKUP(B270,Data_source!A:J,2,FALSE)="---","",VLOOKUP(B270,Data_source!A:J,2,FALSE)),"")</f>
        <v/>
      </c>
      <c r="E270" s="11" t="str">
        <f t="shared" ref="E270:E311" si="12">IF(F270&lt;&gt;"",D270,IF(D270&gt;0,D270,IF(E269="",D270,E269+D270)))</f>
        <v/>
      </c>
      <c r="F270" s="11" t="str">
        <f>IF(ISBLANK(B270)=FALSE,IF(VLOOKUP(B270,Data_source!A:J,3,FALSE)="---","",VLOOKUP(B270,Data_source!A:J,3,FALSE)),"")</f>
        <v/>
      </c>
      <c r="G270" s="11" t="str">
        <f t="shared" ref="G270:G311" si="13">IF(F270&gt;0, F270, IF(F270="", "", IF(G269="", F270, G269+F270)))</f>
        <v/>
      </c>
      <c r="H270" s="12" t="str">
        <f>IF(ISBLANK(B270)=FALSE,IF(VLOOKUP(B270,Data_source!A:J,6,FALSE)="---","",VLOOKUP(B270,Data_source!A:J,6,FALSE)),"")</f>
        <v/>
      </c>
      <c r="I270" s="12" t="str">
        <f t="shared" ref="I270:I311" si="14">IF(H270="","",IF(H269="",H270,H270+I269))</f>
        <v/>
      </c>
      <c r="J270" s="46" t="str">
        <f>IF(ISBLANK(B270)=FALSE,IF(VLOOKUP(B270,Data_source!A:J,7,FALSE)=0,"",VLOOKUP(B270,Data_source!A:J,7,FALSE)),"")</f>
        <v/>
      </c>
      <c r="K270" s="46" t="str">
        <f>IF(ISBLANK(B270)=FALSE,IF(VLOOKUP(B270,Data_source!A:J,8,FALSE)=0,"",VLOOKUP(B270,Data_source!A:J,8,FALSE)),"")</f>
        <v/>
      </c>
      <c r="L270" s="46" t="str">
        <f>IF(ISBLANK(B270)=FALSE,IF(VLOOKUP(B270,Data_source!A:J,9,FALSE)=0,"",VLOOKUP(B270,Data_source!A:J,9,FALSE)),"")</f>
        <v/>
      </c>
      <c r="M270" s="23"/>
    </row>
    <row r="271" spans="1:13" x14ac:dyDescent="0.2">
      <c r="A271" s="13">
        <v>260</v>
      </c>
      <c r="B271" s="23"/>
      <c r="C271" s="10" t="str">
        <f>IF($E$5=1,IF(ISBLANK(B271)=FALSE,VLOOKUP(B271,Data_source!A:J,4,FALSE),""),IF(ISBLANK(B271)=FALSE,VLOOKUP(B271,Data_source!A:J,5,FALSE),""))</f>
        <v/>
      </c>
      <c r="D271" s="11" t="str">
        <f>IF(ISBLANK(B271)=FALSE,IF(VLOOKUP(B271,Data_source!A:J,2,FALSE)="---","",VLOOKUP(B271,Data_source!A:J,2,FALSE)),"")</f>
        <v/>
      </c>
      <c r="E271" s="11" t="str">
        <f t="shared" si="12"/>
        <v/>
      </c>
      <c r="F271" s="11" t="str">
        <f>IF(ISBLANK(B271)=FALSE,IF(VLOOKUP(B271,Data_source!A:J,3,FALSE)="---","",VLOOKUP(B271,Data_source!A:J,3,FALSE)),"")</f>
        <v/>
      </c>
      <c r="G271" s="11" t="str">
        <f t="shared" si="13"/>
        <v/>
      </c>
      <c r="H271" s="12" t="str">
        <f>IF(ISBLANK(B271)=FALSE,IF(VLOOKUP(B271,Data_source!A:J,6,FALSE)="---","",VLOOKUP(B271,Data_source!A:J,6,FALSE)),"")</f>
        <v/>
      </c>
      <c r="I271" s="12" t="str">
        <f t="shared" si="14"/>
        <v/>
      </c>
      <c r="J271" s="46" t="str">
        <f>IF(ISBLANK(B271)=FALSE,IF(VLOOKUP(B271,Data_source!A:J,7,FALSE)=0,"",VLOOKUP(B271,Data_source!A:J,7,FALSE)),"")</f>
        <v/>
      </c>
      <c r="K271" s="46" t="str">
        <f>IF(ISBLANK(B271)=FALSE,IF(VLOOKUP(B271,Data_source!A:J,8,FALSE)=0,"",VLOOKUP(B271,Data_source!A:J,8,FALSE)),"")</f>
        <v/>
      </c>
      <c r="L271" s="46" t="str">
        <f>IF(ISBLANK(B271)=FALSE,IF(VLOOKUP(B271,Data_source!A:J,9,FALSE)=0,"",VLOOKUP(B271,Data_source!A:J,9,FALSE)),"")</f>
        <v/>
      </c>
      <c r="M271" s="23"/>
    </row>
    <row r="272" spans="1:13" x14ac:dyDescent="0.2">
      <c r="A272" s="13">
        <v>261</v>
      </c>
      <c r="B272" s="23"/>
      <c r="C272" s="10" t="str">
        <f>IF($E$5=1,IF(ISBLANK(B272)=FALSE,VLOOKUP(B272,Data_source!A:J,4,FALSE),""),IF(ISBLANK(B272)=FALSE,VLOOKUP(B272,Data_source!A:J,5,FALSE),""))</f>
        <v/>
      </c>
      <c r="D272" s="11" t="str">
        <f>IF(ISBLANK(B272)=FALSE,IF(VLOOKUP(B272,Data_source!A:J,2,FALSE)="---","",VLOOKUP(B272,Data_source!A:J,2,FALSE)),"")</f>
        <v/>
      </c>
      <c r="E272" s="11" t="str">
        <f t="shared" si="12"/>
        <v/>
      </c>
      <c r="F272" s="11" t="str">
        <f>IF(ISBLANK(B272)=FALSE,IF(VLOOKUP(B272,Data_source!A:J,3,FALSE)="---","",VLOOKUP(B272,Data_source!A:J,3,FALSE)),"")</f>
        <v/>
      </c>
      <c r="G272" s="11" t="str">
        <f t="shared" si="13"/>
        <v/>
      </c>
      <c r="H272" s="12" t="str">
        <f>IF(ISBLANK(B272)=FALSE,IF(VLOOKUP(B272,Data_source!A:J,6,FALSE)="---","",VLOOKUP(B272,Data_source!A:J,6,FALSE)),"")</f>
        <v/>
      </c>
      <c r="I272" s="12" t="str">
        <f t="shared" si="14"/>
        <v/>
      </c>
      <c r="J272" s="46" t="str">
        <f>IF(ISBLANK(B272)=FALSE,IF(VLOOKUP(B272,Data_source!A:J,7,FALSE)=0,"",VLOOKUP(B272,Data_source!A:J,7,FALSE)),"")</f>
        <v/>
      </c>
      <c r="K272" s="46" t="str">
        <f>IF(ISBLANK(B272)=FALSE,IF(VLOOKUP(B272,Data_source!A:J,8,FALSE)=0,"",VLOOKUP(B272,Data_source!A:J,8,FALSE)),"")</f>
        <v/>
      </c>
      <c r="L272" s="46" t="str">
        <f>IF(ISBLANK(B272)=FALSE,IF(VLOOKUP(B272,Data_source!A:J,9,FALSE)=0,"",VLOOKUP(B272,Data_source!A:J,9,FALSE)),"")</f>
        <v/>
      </c>
      <c r="M272" s="23"/>
    </row>
    <row r="273" spans="1:13" x14ac:dyDescent="0.2">
      <c r="A273" s="13">
        <v>262</v>
      </c>
      <c r="B273" s="23"/>
      <c r="C273" s="10" t="str">
        <f>IF($E$5=1,IF(ISBLANK(B273)=FALSE,VLOOKUP(B273,Data_source!A:J,4,FALSE),""),IF(ISBLANK(B273)=FALSE,VLOOKUP(B273,Data_source!A:J,5,FALSE),""))</f>
        <v/>
      </c>
      <c r="D273" s="11" t="str">
        <f>IF(ISBLANK(B273)=FALSE,IF(VLOOKUP(B273,Data_source!A:J,2,FALSE)="---","",VLOOKUP(B273,Data_source!A:J,2,FALSE)),"")</f>
        <v/>
      </c>
      <c r="E273" s="11" t="str">
        <f t="shared" si="12"/>
        <v/>
      </c>
      <c r="F273" s="11" t="str">
        <f>IF(ISBLANK(B273)=FALSE,IF(VLOOKUP(B273,Data_source!A:J,3,FALSE)="---","",VLOOKUP(B273,Data_source!A:J,3,FALSE)),"")</f>
        <v/>
      </c>
      <c r="G273" s="11" t="str">
        <f t="shared" si="13"/>
        <v/>
      </c>
      <c r="H273" s="12" t="str">
        <f>IF(ISBLANK(B273)=FALSE,IF(VLOOKUP(B273,Data_source!A:J,6,FALSE)="---","",VLOOKUP(B273,Data_source!A:J,6,FALSE)),"")</f>
        <v/>
      </c>
      <c r="I273" s="12" t="str">
        <f t="shared" si="14"/>
        <v/>
      </c>
      <c r="J273" s="46" t="str">
        <f>IF(ISBLANK(B273)=FALSE,IF(VLOOKUP(B273,Data_source!A:J,7,FALSE)=0,"",VLOOKUP(B273,Data_source!A:J,7,FALSE)),"")</f>
        <v/>
      </c>
      <c r="K273" s="46" t="str">
        <f>IF(ISBLANK(B273)=FALSE,IF(VLOOKUP(B273,Data_source!A:J,8,FALSE)=0,"",VLOOKUP(B273,Data_source!A:J,8,FALSE)),"")</f>
        <v/>
      </c>
      <c r="L273" s="46" t="str">
        <f>IF(ISBLANK(B273)=FALSE,IF(VLOOKUP(B273,Data_source!A:J,9,FALSE)=0,"",VLOOKUP(B273,Data_source!A:J,9,FALSE)),"")</f>
        <v/>
      </c>
      <c r="M273" s="23"/>
    </row>
    <row r="274" spans="1:13" x14ac:dyDescent="0.2">
      <c r="A274" s="13">
        <v>263</v>
      </c>
      <c r="B274" s="23"/>
      <c r="C274" s="10" t="str">
        <f>IF($E$5=1,IF(ISBLANK(B274)=FALSE,VLOOKUP(B274,Data_source!A:J,4,FALSE),""),IF(ISBLANK(B274)=FALSE,VLOOKUP(B274,Data_source!A:J,5,FALSE),""))</f>
        <v/>
      </c>
      <c r="D274" s="11" t="str">
        <f>IF(ISBLANK(B274)=FALSE,IF(VLOOKUP(B274,Data_source!A:J,2,FALSE)="---","",VLOOKUP(B274,Data_source!A:J,2,FALSE)),"")</f>
        <v/>
      </c>
      <c r="E274" s="11" t="str">
        <f t="shared" si="12"/>
        <v/>
      </c>
      <c r="F274" s="11" t="str">
        <f>IF(ISBLANK(B274)=FALSE,IF(VLOOKUP(B274,Data_source!A:J,3,FALSE)="---","",VLOOKUP(B274,Data_source!A:J,3,FALSE)),"")</f>
        <v/>
      </c>
      <c r="G274" s="11" t="str">
        <f t="shared" si="13"/>
        <v/>
      </c>
      <c r="H274" s="12" t="str">
        <f>IF(ISBLANK(B274)=FALSE,IF(VLOOKUP(B274,Data_source!A:J,6,FALSE)="---","",VLOOKUP(B274,Data_source!A:J,6,FALSE)),"")</f>
        <v/>
      </c>
      <c r="I274" s="12" t="str">
        <f t="shared" si="14"/>
        <v/>
      </c>
      <c r="J274" s="46" t="str">
        <f>IF(ISBLANK(B274)=FALSE,IF(VLOOKUP(B274,Data_source!A:J,7,FALSE)=0,"",VLOOKUP(B274,Data_source!A:J,7,FALSE)),"")</f>
        <v/>
      </c>
      <c r="K274" s="46" t="str">
        <f>IF(ISBLANK(B274)=FALSE,IF(VLOOKUP(B274,Data_source!A:J,8,FALSE)=0,"",VLOOKUP(B274,Data_source!A:J,8,FALSE)),"")</f>
        <v/>
      </c>
      <c r="L274" s="46" t="str">
        <f>IF(ISBLANK(B274)=FALSE,IF(VLOOKUP(B274,Data_source!A:J,9,FALSE)=0,"",VLOOKUP(B274,Data_source!A:J,9,FALSE)),"")</f>
        <v/>
      </c>
      <c r="M274" s="23"/>
    </row>
    <row r="275" spans="1:13" x14ac:dyDescent="0.2">
      <c r="A275" s="13">
        <v>264</v>
      </c>
      <c r="B275" s="23"/>
      <c r="C275" s="10" t="str">
        <f>IF($E$5=1,IF(ISBLANK(B275)=FALSE,VLOOKUP(B275,Data_source!A:J,4,FALSE),""),IF(ISBLANK(B275)=FALSE,VLOOKUP(B275,Data_source!A:J,5,FALSE),""))</f>
        <v/>
      </c>
      <c r="D275" s="11" t="str">
        <f>IF(ISBLANK(B275)=FALSE,IF(VLOOKUP(B275,Data_source!A:J,2,FALSE)="---","",VLOOKUP(B275,Data_source!A:J,2,FALSE)),"")</f>
        <v/>
      </c>
      <c r="E275" s="11" t="str">
        <f t="shared" si="12"/>
        <v/>
      </c>
      <c r="F275" s="11" t="str">
        <f>IF(ISBLANK(B275)=FALSE,IF(VLOOKUP(B275,Data_source!A:J,3,FALSE)="---","",VLOOKUP(B275,Data_source!A:J,3,FALSE)),"")</f>
        <v/>
      </c>
      <c r="G275" s="11" t="str">
        <f t="shared" si="13"/>
        <v/>
      </c>
      <c r="H275" s="12" t="str">
        <f>IF(ISBLANK(B275)=FALSE,IF(VLOOKUP(B275,Data_source!A:J,6,FALSE)="---","",VLOOKUP(B275,Data_source!A:J,6,FALSE)),"")</f>
        <v/>
      </c>
      <c r="I275" s="12" t="str">
        <f t="shared" si="14"/>
        <v/>
      </c>
      <c r="J275" s="46" t="str">
        <f>IF(ISBLANK(B275)=FALSE,IF(VLOOKUP(B275,Data_source!A:J,7,FALSE)=0,"",VLOOKUP(B275,Data_source!A:J,7,FALSE)),"")</f>
        <v/>
      </c>
      <c r="K275" s="46" t="str">
        <f>IF(ISBLANK(B275)=FALSE,IF(VLOOKUP(B275,Data_source!A:J,8,FALSE)=0,"",VLOOKUP(B275,Data_source!A:J,8,FALSE)),"")</f>
        <v/>
      </c>
      <c r="L275" s="46" t="str">
        <f>IF(ISBLANK(B275)=FALSE,IF(VLOOKUP(B275,Data_source!A:J,9,FALSE)=0,"",VLOOKUP(B275,Data_source!A:J,9,FALSE)),"")</f>
        <v/>
      </c>
      <c r="M275" s="23"/>
    </row>
    <row r="276" spans="1:13" x14ac:dyDescent="0.2">
      <c r="A276" s="13">
        <v>265</v>
      </c>
      <c r="B276" s="23"/>
      <c r="C276" s="10" t="str">
        <f>IF($E$5=1,IF(ISBLANK(B276)=FALSE,VLOOKUP(B276,Data_source!A:J,4,FALSE),""),IF(ISBLANK(B276)=FALSE,VLOOKUP(B276,Data_source!A:J,5,FALSE),""))</f>
        <v/>
      </c>
      <c r="D276" s="11" t="str">
        <f>IF(ISBLANK(B276)=FALSE,IF(VLOOKUP(B276,Data_source!A:J,2,FALSE)="---","",VLOOKUP(B276,Data_source!A:J,2,FALSE)),"")</f>
        <v/>
      </c>
      <c r="E276" s="11" t="str">
        <f t="shared" si="12"/>
        <v/>
      </c>
      <c r="F276" s="11" t="str">
        <f>IF(ISBLANK(B276)=FALSE,IF(VLOOKUP(B276,Data_source!A:J,3,FALSE)="---","",VLOOKUP(B276,Data_source!A:J,3,FALSE)),"")</f>
        <v/>
      </c>
      <c r="G276" s="11" t="str">
        <f t="shared" si="13"/>
        <v/>
      </c>
      <c r="H276" s="12" t="str">
        <f>IF(ISBLANK(B276)=FALSE,IF(VLOOKUP(B276,Data_source!A:J,6,FALSE)="---","",VLOOKUP(B276,Data_source!A:J,6,FALSE)),"")</f>
        <v/>
      </c>
      <c r="I276" s="12" t="str">
        <f t="shared" si="14"/>
        <v/>
      </c>
      <c r="J276" s="46" t="str">
        <f>IF(ISBLANK(B276)=FALSE,IF(VLOOKUP(B276,Data_source!A:J,7,FALSE)=0,"",VLOOKUP(B276,Data_source!A:J,7,FALSE)),"")</f>
        <v/>
      </c>
      <c r="K276" s="46" t="str">
        <f>IF(ISBLANK(B276)=FALSE,IF(VLOOKUP(B276,Data_source!A:J,8,FALSE)=0,"",VLOOKUP(B276,Data_source!A:J,8,FALSE)),"")</f>
        <v/>
      </c>
      <c r="L276" s="46" t="str">
        <f>IF(ISBLANK(B276)=FALSE,IF(VLOOKUP(B276,Data_source!A:J,9,FALSE)=0,"",VLOOKUP(B276,Data_source!A:J,9,FALSE)),"")</f>
        <v/>
      </c>
      <c r="M276" s="23"/>
    </row>
    <row r="277" spans="1:13" x14ac:dyDescent="0.2">
      <c r="A277" s="13">
        <v>266</v>
      </c>
      <c r="B277" s="23"/>
      <c r="C277" s="10" t="str">
        <f>IF($E$5=1,IF(ISBLANK(B277)=FALSE,VLOOKUP(B277,Data_source!A:J,4,FALSE),""),IF(ISBLANK(B277)=FALSE,VLOOKUP(B277,Data_source!A:J,5,FALSE),""))</f>
        <v/>
      </c>
      <c r="D277" s="11" t="str">
        <f>IF(ISBLANK(B277)=FALSE,IF(VLOOKUP(B277,Data_source!A:J,2,FALSE)="---","",VLOOKUP(B277,Data_source!A:J,2,FALSE)),"")</f>
        <v/>
      </c>
      <c r="E277" s="11" t="str">
        <f t="shared" si="12"/>
        <v/>
      </c>
      <c r="F277" s="11" t="str">
        <f>IF(ISBLANK(B277)=FALSE,IF(VLOOKUP(B277,Data_source!A:J,3,FALSE)="---","",VLOOKUP(B277,Data_source!A:J,3,FALSE)),"")</f>
        <v/>
      </c>
      <c r="G277" s="11" t="str">
        <f t="shared" si="13"/>
        <v/>
      </c>
      <c r="H277" s="12" t="str">
        <f>IF(ISBLANK(B277)=FALSE,IF(VLOOKUP(B277,Data_source!A:J,6,FALSE)="---","",VLOOKUP(B277,Data_source!A:J,6,FALSE)),"")</f>
        <v/>
      </c>
      <c r="I277" s="12" t="str">
        <f t="shared" si="14"/>
        <v/>
      </c>
      <c r="J277" s="46" t="str">
        <f>IF(ISBLANK(B277)=FALSE,IF(VLOOKUP(B277,Data_source!A:J,7,FALSE)=0,"",VLOOKUP(B277,Data_source!A:J,7,FALSE)),"")</f>
        <v/>
      </c>
      <c r="K277" s="46" t="str">
        <f>IF(ISBLANK(B277)=FALSE,IF(VLOOKUP(B277,Data_source!A:J,8,FALSE)=0,"",VLOOKUP(B277,Data_source!A:J,8,FALSE)),"")</f>
        <v/>
      </c>
      <c r="L277" s="46" t="str">
        <f>IF(ISBLANK(B277)=FALSE,IF(VLOOKUP(B277,Data_source!A:J,9,FALSE)=0,"",VLOOKUP(B277,Data_source!A:J,9,FALSE)),"")</f>
        <v/>
      </c>
      <c r="M277" s="23"/>
    </row>
    <row r="278" spans="1:13" x14ac:dyDescent="0.2">
      <c r="A278" s="13">
        <v>267</v>
      </c>
      <c r="B278" s="23"/>
      <c r="C278" s="10" t="str">
        <f>IF($E$5=1,IF(ISBLANK(B278)=FALSE,VLOOKUP(B278,Data_source!A:J,4,FALSE),""),IF(ISBLANK(B278)=FALSE,VLOOKUP(B278,Data_source!A:J,5,FALSE),""))</f>
        <v/>
      </c>
      <c r="D278" s="11" t="str">
        <f>IF(ISBLANK(B278)=FALSE,IF(VLOOKUP(B278,Data_source!A:J,2,FALSE)="---","",VLOOKUP(B278,Data_source!A:J,2,FALSE)),"")</f>
        <v/>
      </c>
      <c r="E278" s="11" t="str">
        <f t="shared" si="12"/>
        <v/>
      </c>
      <c r="F278" s="11" t="str">
        <f>IF(ISBLANK(B278)=FALSE,IF(VLOOKUP(B278,Data_source!A:J,3,FALSE)="---","",VLOOKUP(B278,Data_source!A:J,3,FALSE)),"")</f>
        <v/>
      </c>
      <c r="G278" s="11" t="str">
        <f t="shared" si="13"/>
        <v/>
      </c>
      <c r="H278" s="12" t="str">
        <f>IF(ISBLANK(B278)=FALSE,IF(VLOOKUP(B278,Data_source!A:J,6,FALSE)="---","",VLOOKUP(B278,Data_source!A:J,6,FALSE)),"")</f>
        <v/>
      </c>
      <c r="I278" s="12" t="str">
        <f t="shared" si="14"/>
        <v/>
      </c>
      <c r="J278" s="46" t="str">
        <f>IF(ISBLANK(B278)=FALSE,IF(VLOOKUP(B278,Data_source!A:J,7,FALSE)=0,"",VLOOKUP(B278,Data_source!A:J,7,FALSE)),"")</f>
        <v/>
      </c>
      <c r="K278" s="46" t="str">
        <f>IF(ISBLANK(B278)=FALSE,IF(VLOOKUP(B278,Data_source!A:J,8,FALSE)=0,"",VLOOKUP(B278,Data_source!A:J,8,FALSE)),"")</f>
        <v/>
      </c>
      <c r="L278" s="46" t="str">
        <f>IF(ISBLANK(B278)=FALSE,IF(VLOOKUP(B278,Data_source!A:J,9,FALSE)=0,"",VLOOKUP(B278,Data_source!A:J,9,FALSE)),"")</f>
        <v/>
      </c>
      <c r="M278" s="23"/>
    </row>
    <row r="279" spans="1:13" x14ac:dyDescent="0.2">
      <c r="A279" s="13">
        <v>268</v>
      </c>
      <c r="B279" s="23"/>
      <c r="C279" s="10" t="str">
        <f>IF($E$5=1,IF(ISBLANK(B279)=FALSE,VLOOKUP(B279,Data_source!A:J,4,FALSE),""),IF(ISBLANK(B279)=FALSE,VLOOKUP(B279,Data_source!A:J,5,FALSE),""))</f>
        <v/>
      </c>
      <c r="D279" s="11" t="str">
        <f>IF(ISBLANK(B279)=FALSE,IF(VLOOKUP(B279,Data_source!A:J,2,FALSE)="---","",VLOOKUP(B279,Data_source!A:J,2,FALSE)),"")</f>
        <v/>
      </c>
      <c r="E279" s="11" t="str">
        <f t="shared" si="12"/>
        <v/>
      </c>
      <c r="F279" s="11" t="str">
        <f>IF(ISBLANK(B279)=FALSE,IF(VLOOKUP(B279,Data_source!A:J,3,FALSE)="---","",VLOOKUP(B279,Data_source!A:J,3,FALSE)),"")</f>
        <v/>
      </c>
      <c r="G279" s="11" t="str">
        <f t="shared" si="13"/>
        <v/>
      </c>
      <c r="H279" s="12" t="str">
        <f>IF(ISBLANK(B279)=FALSE,IF(VLOOKUP(B279,Data_source!A:J,6,FALSE)="---","",VLOOKUP(B279,Data_source!A:J,6,FALSE)),"")</f>
        <v/>
      </c>
      <c r="I279" s="12" t="str">
        <f t="shared" si="14"/>
        <v/>
      </c>
      <c r="J279" s="46" t="str">
        <f>IF(ISBLANK(B279)=FALSE,IF(VLOOKUP(B279,Data_source!A:J,7,FALSE)=0,"",VLOOKUP(B279,Data_source!A:J,7,FALSE)),"")</f>
        <v/>
      </c>
      <c r="K279" s="46" t="str">
        <f>IF(ISBLANK(B279)=FALSE,IF(VLOOKUP(B279,Data_source!A:J,8,FALSE)=0,"",VLOOKUP(B279,Data_source!A:J,8,FALSE)),"")</f>
        <v/>
      </c>
      <c r="L279" s="46" t="str">
        <f>IF(ISBLANK(B279)=FALSE,IF(VLOOKUP(B279,Data_source!A:J,9,FALSE)=0,"",VLOOKUP(B279,Data_source!A:J,9,FALSE)),"")</f>
        <v/>
      </c>
      <c r="M279" s="23"/>
    </row>
    <row r="280" spans="1:13" x14ac:dyDescent="0.2">
      <c r="A280" s="13">
        <v>269</v>
      </c>
      <c r="B280" s="23"/>
      <c r="C280" s="10" t="str">
        <f>IF($E$5=1,IF(ISBLANK(B280)=FALSE,VLOOKUP(B280,Data_source!A:J,4,FALSE),""),IF(ISBLANK(B280)=FALSE,VLOOKUP(B280,Data_source!A:J,5,FALSE),""))</f>
        <v/>
      </c>
      <c r="D280" s="11" t="str">
        <f>IF(ISBLANK(B280)=FALSE,IF(VLOOKUP(B280,Data_source!A:J,2,FALSE)="---","",VLOOKUP(B280,Data_source!A:J,2,FALSE)),"")</f>
        <v/>
      </c>
      <c r="E280" s="11" t="str">
        <f t="shared" si="12"/>
        <v/>
      </c>
      <c r="F280" s="11" t="str">
        <f>IF(ISBLANK(B280)=FALSE,IF(VLOOKUP(B280,Data_source!A:J,3,FALSE)="---","",VLOOKUP(B280,Data_source!A:J,3,FALSE)),"")</f>
        <v/>
      </c>
      <c r="G280" s="11" t="str">
        <f t="shared" si="13"/>
        <v/>
      </c>
      <c r="H280" s="12" t="str">
        <f>IF(ISBLANK(B280)=FALSE,IF(VLOOKUP(B280,Data_source!A:J,6,FALSE)="---","",VLOOKUP(B280,Data_source!A:J,6,FALSE)),"")</f>
        <v/>
      </c>
      <c r="I280" s="12" t="str">
        <f t="shared" si="14"/>
        <v/>
      </c>
      <c r="J280" s="46" t="str">
        <f>IF(ISBLANK(B280)=FALSE,IF(VLOOKUP(B280,Data_source!A:J,7,FALSE)=0,"",VLOOKUP(B280,Data_source!A:J,7,FALSE)),"")</f>
        <v/>
      </c>
      <c r="K280" s="46" t="str">
        <f>IF(ISBLANK(B280)=FALSE,IF(VLOOKUP(B280,Data_source!A:J,8,FALSE)=0,"",VLOOKUP(B280,Data_source!A:J,8,FALSE)),"")</f>
        <v/>
      </c>
      <c r="L280" s="46" t="str">
        <f>IF(ISBLANK(B280)=FALSE,IF(VLOOKUP(B280,Data_source!A:J,9,FALSE)=0,"",VLOOKUP(B280,Data_source!A:J,9,FALSE)),"")</f>
        <v/>
      </c>
      <c r="M280" s="23"/>
    </row>
    <row r="281" spans="1:13" x14ac:dyDescent="0.2">
      <c r="A281" s="13">
        <v>270</v>
      </c>
      <c r="B281" s="23"/>
      <c r="C281" s="10" t="str">
        <f>IF($E$5=1,IF(ISBLANK(B281)=FALSE,VLOOKUP(B281,Data_source!A:J,4,FALSE),""),IF(ISBLANK(B281)=FALSE,VLOOKUP(B281,Data_source!A:J,5,FALSE),""))</f>
        <v/>
      </c>
      <c r="D281" s="11" t="str">
        <f>IF(ISBLANK(B281)=FALSE,IF(VLOOKUP(B281,Data_source!A:J,2,FALSE)="---","",VLOOKUP(B281,Data_source!A:J,2,FALSE)),"")</f>
        <v/>
      </c>
      <c r="E281" s="11" t="str">
        <f t="shared" si="12"/>
        <v/>
      </c>
      <c r="F281" s="11" t="str">
        <f>IF(ISBLANK(B281)=FALSE,IF(VLOOKUP(B281,Data_source!A:J,3,FALSE)="---","",VLOOKUP(B281,Data_source!A:J,3,FALSE)),"")</f>
        <v/>
      </c>
      <c r="G281" s="11" t="str">
        <f t="shared" si="13"/>
        <v/>
      </c>
      <c r="H281" s="12" t="str">
        <f>IF(ISBLANK(B281)=FALSE,IF(VLOOKUP(B281,Data_source!A:J,6,FALSE)="---","",VLOOKUP(B281,Data_source!A:J,6,FALSE)),"")</f>
        <v/>
      </c>
      <c r="I281" s="12" t="str">
        <f t="shared" si="14"/>
        <v/>
      </c>
      <c r="J281" s="46" t="str">
        <f>IF(ISBLANK(B281)=FALSE,IF(VLOOKUP(B281,Data_source!A:J,7,FALSE)=0,"",VLOOKUP(B281,Data_source!A:J,7,FALSE)),"")</f>
        <v/>
      </c>
      <c r="K281" s="46" t="str">
        <f>IF(ISBLANK(B281)=FALSE,IF(VLOOKUP(B281,Data_source!A:J,8,FALSE)=0,"",VLOOKUP(B281,Data_source!A:J,8,FALSE)),"")</f>
        <v/>
      </c>
      <c r="L281" s="46" t="str">
        <f>IF(ISBLANK(B281)=FALSE,IF(VLOOKUP(B281,Data_source!A:J,9,FALSE)=0,"",VLOOKUP(B281,Data_source!A:J,9,FALSE)),"")</f>
        <v/>
      </c>
      <c r="M281" s="23"/>
    </row>
    <row r="282" spans="1:13" x14ac:dyDescent="0.2">
      <c r="A282" s="13">
        <v>271</v>
      </c>
      <c r="B282" s="23"/>
      <c r="C282" s="10" t="str">
        <f>IF($E$5=1,IF(ISBLANK(B282)=FALSE,VLOOKUP(B282,Data_source!A:J,4,FALSE),""),IF(ISBLANK(B282)=FALSE,VLOOKUP(B282,Data_source!A:J,5,FALSE),""))</f>
        <v/>
      </c>
      <c r="D282" s="11" t="str">
        <f>IF(ISBLANK(B282)=FALSE,IF(VLOOKUP(B282,Data_source!A:J,2,FALSE)="---","",VLOOKUP(B282,Data_source!A:J,2,FALSE)),"")</f>
        <v/>
      </c>
      <c r="E282" s="11" t="str">
        <f t="shared" si="12"/>
        <v/>
      </c>
      <c r="F282" s="11" t="str">
        <f>IF(ISBLANK(B282)=FALSE,IF(VLOOKUP(B282,Data_source!A:J,3,FALSE)="---","",VLOOKUP(B282,Data_source!A:J,3,FALSE)),"")</f>
        <v/>
      </c>
      <c r="G282" s="11" t="str">
        <f t="shared" si="13"/>
        <v/>
      </c>
      <c r="H282" s="12" t="str">
        <f>IF(ISBLANK(B282)=FALSE,IF(VLOOKUP(B282,Data_source!A:J,6,FALSE)="---","",VLOOKUP(B282,Data_source!A:J,6,FALSE)),"")</f>
        <v/>
      </c>
      <c r="I282" s="12" t="str">
        <f t="shared" si="14"/>
        <v/>
      </c>
      <c r="J282" s="46" t="str">
        <f>IF(ISBLANK(B282)=FALSE,IF(VLOOKUP(B282,Data_source!A:J,7,FALSE)=0,"",VLOOKUP(B282,Data_source!A:J,7,FALSE)),"")</f>
        <v/>
      </c>
      <c r="K282" s="46" t="str">
        <f>IF(ISBLANK(B282)=FALSE,IF(VLOOKUP(B282,Data_source!A:J,8,FALSE)=0,"",VLOOKUP(B282,Data_source!A:J,8,FALSE)),"")</f>
        <v/>
      </c>
      <c r="L282" s="46" t="str">
        <f>IF(ISBLANK(B282)=FALSE,IF(VLOOKUP(B282,Data_source!A:J,9,FALSE)=0,"",VLOOKUP(B282,Data_source!A:J,9,FALSE)),"")</f>
        <v/>
      </c>
      <c r="M282" s="23"/>
    </row>
    <row r="283" spans="1:13" x14ac:dyDescent="0.2">
      <c r="A283" s="13">
        <v>272</v>
      </c>
      <c r="B283" s="23"/>
      <c r="C283" s="10" t="str">
        <f>IF($E$5=1,IF(ISBLANK(B283)=FALSE,VLOOKUP(B283,Data_source!A:J,4,FALSE),""),IF(ISBLANK(B283)=FALSE,VLOOKUP(B283,Data_source!A:J,5,FALSE),""))</f>
        <v/>
      </c>
      <c r="D283" s="11" t="str">
        <f>IF(ISBLANK(B283)=FALSE,IF(VLOOKUP(B283,Data_source!A:J,2,FALSE)="---","",VLOOKUP(B283,Data_source!A:J,2,FALSE)),"")</f>
        <v/>
      </c>
      <c r="E283" s="11" t="str">
        <f t="shared" si="12"/>
        <v/>
      </c>
      <c r="F283" s="11" t="str">
        <f>IF(ISBLANK(B283)=FALSE,IF(VLOOKUP(B283,Data_source!A:J,3,FALSE)="---","",VLOOKUP(B283,Data_source!A:J,3,FALSE)),"")</f>
        <v/>
      </c>
      <c r="G283" s="11" t="str">
        <f t="shared" si="13"/>
        <v/>
      </c>
      <c r="H283" s="12" t="str">
        <f>IF(ISBLANK(B283)=FALSE,IF(VLOOKUP(B283,Data_source!A:J,6,FALSE)="---","",VLOOKUP(B283,Data_source!A:J,6,FALSE)),"")</f>
        <v/>
      </c>
      <c r="I283" s="12" t="str">
        <f t="shared" si="14"/>
        <v/>
      </c>
      <c r="J283" s="46" t="str">
        <f>IF(ISBLANK(B283)=FALSE,IF(VLOOKUP(B283,Data_source!A:J,7,FALSE)=0,"",VLOOKUP(B283,Data_source!A:J,7,FALSE)),"")</f>
        <v/>
      </c>
      <c r="K283" s="46" t="str">
        <f>IF(ISBLANK(B283)=FALSE,IF(VLOOKUP(B283,Data_source!A:J,8,FALSE)=0,"",VLOOKUP(B283,Data_source!A:J,8,FALSE)),"")</f>
        <v/>
      </c>
      <c r="L283" s="46" t="str">
        <f>IF(ISBLANK(B283)=FALSE,IF(VLOOKUP(B283,Data_source!A:J,9,FALSE)=0,"",VLOOKUP(B283,Data_source!A:J,9,FALSE)),"")</f>
        <v/>
      </c>
      <c r="M283" s="23"/>
    </row>
    <row r="284" spans="1:13" x14ac:dyDescent="0.2">
      <c r="A284" s="13">
        <v>273</v>
      </c>
      <c r="B284" s="23"/>
      <c r="C284" s="10" t="str">
        <f>IF($E$5=1,IF(ISBLANK(B284)=FALSE,VLOOKUP(B284,Data_source!A:J,4,FALSE),""),IF(ISBLANK(B284)=FALSE,VLOOKUP(B284,Data_source!A:J,5,FALSE),""))</f>
        <v/>
      </c>
      <c r="D284" s="11" t="str">
        <f>IF(ISBLANK(B284)=FALSE,IF(VLOOKUP(B284,Data_source!A:J,2,FALSE)="---","",VLOOKUP(B284,Data_source!A:J,2,FALSE)),"")</f>
        <v/>
      </c>
      <c r="E284" s="11" t="str">
        <f t="shared" si="12"/>
        <v/>
      </c>
      <c r="F284" s="11" t="str">
        <f>IF(ISBLANK(B284)=FALSE,IF(VLOOKUP(B284,Data_source!A:J,3,FALSE)="---","",VLOOKUP(B284,Data_source!A:J,3,FALSE)),"")</f>
        <v/>
      </c>
      <c r="G284" s="11" t="str">
        <f t="shared" si="13"/>
        <v/>
      </c>
      <c r="H284" s="12" t="str">
        <f>IF(ISBLANK(B284)=FALSE,IF(VLOOKUP(B284,Data_source!A:J,6,FALSE)="---","",VLOOKUP(B284,Data_source!A:J,6,FALSE)),"")</f>
        <v/>
      </c>
      <c r="I284" s="12" t="str">
        <f t="shared" si="14"/>
        <v/>
      </c>
      <c r="J284" s="46" t="str">
        <f>IF(ISBLANK(B284)=FALSE,IF(VLOOKUP(B284,Data_source!A:J,7,FALSE)=0,"",VLOOKUP(B284,Data_source!A:J,7,FALSE)),"")</f>
        <v/>
      </c>
      <c r="K284" s="46" t="str">
        <f>IF(ISBLANK(B284)=FALSE,IF(VLOOKUP(B284,Data_source!A:J,8,FALSE)=0,"",VLOOKUP(B284,Data_source!A:J,8,FALSE)),"")</f>
        <v/>
      </c>
      <c r="L284" s="46" t="str">
        <f>IF(ISBLANK(B284)=FALSE,IF(VLOOKUP(B284,Data_source!A:J,9,FALSE)=0,"",VLOOKUP(B284,Data_source!A:J,9,FALSE)),"")</f>
        <v/>
      </c>
      <c r="M284" s="23"/>
    </row>
    <row r="285" spans="1:13" x14ac:dyDescent="0.2">
      <c r="A285" s="13">
        <v>274</v>
      </c>
      <c r="B285" s="23"/>
      <c r="C285" s="10" t="str">
        <f>IF($E$5=1,IF(ISBLANK(B285)=FALSE,VLOOKUP(B285,Data_source!A:J,4,FALSE),""),IF(ISBLANK(B285)=FALSE,VLOOKUP(B285,Data_source!A:J,5,FALSE),""))</f>
        <v/>
      </c>
      <c r="D285" s="11" t="str">
        <f>IF(ISBLANK(B285)=FALSE,IF(VLOOKUP(B285,Data_source!A:J,2,FALSE)="---","",VLOOKUP(B285,Data_source!A:J,2,FALSE)),"")</f>
        <v/>
      </c>
      <c r="E285" s="11" t="str">
        <f t="shared" si="12"/>
        <v/>
      </c>
      <c r="F285" s="11" t="str">
        <f>IF(ISBLANK(B285)=FALSE,IF(VLOOKUP(B285,Data_source!A:J,3,FALSE)="---","",VLOOKUP(B285,Data_source!A:J,3,FALSE)),"")</f>
        <v/>
      </c>
      <c r="G285" s="11" t="str">
        <f t="shared" si="13"/>
        <v/>
      </c>
      <c r="H285" s="12" t="str">
        <f>IF(ISBLANK(B285)=FALSE,IF(VLOOKUP(B285,Data_source!A:J,6,FALSE)="---","",VLOOKUP(B285,Data_source!A:J,6,FALSE)),"")</f>
        <v/>
      </c>
      <c r="I285" s="12" t="str">
        <f t="shared" si="14"/>
        <v/>
      </c>
      <c r="J285" s="46" t="str">
        <f>IF(ISBLANK(B285)=FALSE,IF(VLOOKUP(B285,Data_source!A:J,7,FALSE)=0,"",VLOOKUP(B285,Data_source!A:J,7,FALSE)),"")</f>
        <v/>
      </c>
      <c r="K285" s="46" t="str">
        <f>IF(ISBLANK(B285)=FALSE,IF(VLOOKUP(B285,Data_source!A:J,8,FALSE)=0,"",VLOOKUP(B285,Data_source!A:J,8,FALSE)),"")</f>
        <v/>
      </c>
      <c r="L285" s="46" t="str">
        <f>IF(ISBLANK(B285)=FALSE,IF(VLOOKUP(B285,Data_source!A:J,9,FALSE)=0,"",VLOOKUP(B285,Data_source!A:J,9,FALSE)),"")</f>
        <v/>
      </c>
      <c r="M285" s="23"/>
    </row>
    <row r="286" spans="1:13" x14ac:dyDescent="0.2">
      <c r="A286" s="13">
        <v>275</v>
      </c>
      <c r="B286" s="23"/>
      <c r="C286" s="10" t="str">
        <f>IF($E$5=1,IF(ISBLANK(B286)=FALSE,VLOOKUP(B286,Data_source!A:J,4,FALSE),""),IF(ISBLANK(B286)=FALSE,VLOOKUP(B286,Data_source!A:J,5,FALSE),""))</f>
        <v/>
      </c>
      <c r="D286" s="11" t="str">
        <f>IF(ISBLANK(B286)=FALSE,IF(VLOOKUP(B286,Data_source!A:J,2,FALSE)="---","",VLOOKUP(B286,Data_source!A:J,2,FALSE)),"")</f>
        <v/>
      </c>
      <c r="E286" s="11" t="str">
        <f t="shared" si="12"/>
        <v/>
      </c>
      <c r="F286" s="11" t="str">
        <f>IF(ISBLANK(B286)=FALSE,IF(VLOOKUP(B286,Data_source!A:J,3,FALSE)="---","",VLOOKUP(B286,Data_source!A:J,3,FALSE)),"")</f>
        <v/>
      </c>
      <c r="G286" s="11" t="str">
        <f t="shared" si="13"/>
        <v/>
      </c>
      <c r="H286" s="12" t="str">
        <f>IF(ISBLANK(B286)=FALSE,IF(VLOOKUP(B286,Data_source!A:J,6,FALSE)="---","",VLOOKUP(B286,Data_source!A:J,6,FALSE)),"")</f>
        <v/>
      </c>
      <c r="I286" s="12" t="str">
        <f t="shared" si="14"/>
        <v/>
      </c>
      <c r="J286" s="46" t="str">
        <f>IF(ISBLANK(B286)=FALSE,IF(VLOOKUP(B286,Data_source!A:J,7,FALSE)=0,"",VLOOKUP(B286,Data_source!A:J,7,FALSE)),"")</f>
        <v/>
      </c>
      <c r="K286" s="46" t="str">
        <f>IF(ISBLANK(B286)=FALSE,IF(VLOOKUP(B286,Data_source!A:J,8,FALSE)=0,"",VLOOKUP(B286,Data_source!A:J,8,FALSE)),"")</f>
        <v/>
      </c>
      <c r="L286" s="46" t="str">
        <f>IF(ISBLANK(B286)=FALSE,IF(VLOOKUP(B286,Data_source!A:J,9,FALSE)=0,"",VLOOKUP(B286,Data_source!A:J,9,FALSE)),"")</f>
        <v/>
      </c>
      <c r="M286" s="23"/>
    </row>
    <row r="287" spans="1:13" x14ac:dyDescent="0.2">
      <c r="A287" s="13">
        <v>276</v>
      </c>
      <c r="B287" s="23"/>
      <c r="C287" s="10" t="str">
        <f>IF($E$5=1,IF(ISBLANK(B287)=FALSE,VLOOKUP(B287,Data_source!A:J,4,FALSE),""),IF(ISBLANK(B287)=FALSE,VLOOKUP(B287,Data_source!A:J,5,FALSE),""))</f>
        <v/>
      </c>
      <c r="D287" s="11" t="str">
        <f>IF(ISBLANK(B287)=FALSE,IF(VLOOKUP(B287,Data_source!A:J,2,FALSE)="---","",VLOOKUP(B287,Data_source!A:J,2,FALSE)),"")</f>
        <v/>
      </c>
      <c r="E287" s="11" t="str">
        <f t="shared" si="12"/>
        <v/>
      </c>
      <c r="F287" s="11" t="str">
        <f>IF(ISBLANK(B287)=FALSE,IF(VLOOKUP(B287,Data_source!A:J,3,FALSE)="---","",VLOOKUP(B287,Data_source!A:J,3,FALSE)),"")</f>
        <v/>
      </c>
      <c r="G287" s="11" t="str">
        <f t="shared" si="13"/>
        <v/>
      </c>
      <c r="H287" s="12" t="str">
        <f>IF(ISBLANK(B287)=FALSE,IF(VLOOKUP(B287,Data_source!A:J,6,FALSE)="---","",VLOOKUP(B287,Data_source!A:J,6,FALSE)),"")</f>
        <v/>
      </c>
      <c r="I287" s="12" t="str">
        <f t="shared" si="14"/>
        <v/>
      </c>
      <c r="J287" s="46" t="str">
        <f>IF(ISBLANK(B287)=FALSE,IF(VLOOKUP(B287,Data_source!A:J,7,FALSE)=0,"",VLOOKUP(B287,Data_source!A:J,7,FALSE)),"")</f>
        <v/>
      </c>
      <c r="K287" s="46" t="str">
        <f>IF(ISBLANK(B287)=FALSE,IF(VLOOKUP(B287,Data_source!A:J,8,FALSE)=0,"",VLOOKUP(B287,Data_source!A:J,8,FALSE)),"")</f>
        <v/>
      </c>
      <c r="L287" s="46" t="str">
        <f>IF(ISBLANK(B287)=FALSE,IF(VLOOKUP(B287,Data_source!A:J,9,FALSE)=0,"",VLOOKUP(B287,Data_source!A:J,9,FALSE)),"")</f>
        <v/>
      </c>
      <c r="M287" s="23"/>
    </row>
    <row r="288" spans="1:13" x14ac:dyDescent="0.2">
      <c r="A288" s="13">
        <v>277</v>
      </c>
      <c r="B288" s="23"/>
      <c r="C288" s="10" t="str">
        <f>IF($E$5=1,IF(ISBLANK(B288)=FALSE,VLOOKUP(B288,Data_source!A:J,4,FALSE),""),IF(ISBLANK(B288)=FALSE,VLOOKUP(B288,Data_source!A:J,5,FALSE),""))</f>
        <v/>
      </c>
      <c r="D288" s="11" t="str">
        <f>IF(ISBLANK(B288)=FALSE,IF(VLOOKUP(B288,Data_source!A:J,2,FALSE)="---","",VLOOKUP(B288,Data_source!A:J,2,FALSE)),"")</f>
        <v/>
      </c>
      <c r="E288" s="11" t="str">
        <f t="shared" si="12"/>
        <v/>
      </c>
      <c r="F288" s="11" t="str">
        <f>IF(ISBLANK(B288)=FALSE,IF(VLOOKUP(B288,Data_source!A:J,3,FALSE)="---","",VLOOKUP(B288,Data_source!A:J,3,FALSE)),"")</f>
        <v/>
      </c>
      <c r="G288" s="11" t="str">
        <f t="shared" si="13"/>
        <v/>
      </c>
      <c r="H288" s="12" t="str">
        <f>IF(ISBLANK(B288)=FALSE,IF(VLOOKUP(B288,Data_source!A:J,6,FALSE)="---","",VLOOKUP(B288,Data_source!A:J,6,FALSE)),"")</f>
        <v/>
      </c>
      <c r="I288" s="12" t="str">
        <f t="shared" si="14"/>
        <v/>
      </c>
      <c r="J288" s="46" t="str">
        <f>IF(ISBLANK(B288)=FALSE,IF(VLOOKUP(B288,Data_source!A:J,7,FALSE)=0,"",VLOOKUP(B288,Data_source!A:J,7,FALSE)),"")</f>
        <v/>
      </c>
      <c r="K288" s="46" t="str">
        <f>IF(ISBLANK(B288)=FALSE,IF(VLOOKUP(B288,Data_source!A:J,8,FALSE)=0,"",VLOOKUP(B288,Data_source!A:J,8,FALSE)),"")</f>
        <v/>
      </c>
      <c r="L288" s="46" t="str">
        <f>IF(ISBLANK(B288)=FALSE,IF(VLOOKUP(B288,Data_source!A:J,9,FALSE)=0,"",VLOOKUP(B288,Data_source!A:J,9,FALSE)),"")</f>
        <v/>
      </c>
      <c r="M288" s="23"/>
    </row>
    <row r="289" spans="1:13" x14ac:dyDescent="0.2">
      <c r="A289" s="13">
        <v>278</v>
      </c>
      <c r="B289" s="23"/>
      <c r="C289" s="10" t="str">
        <f>IF($E$5=1,IF(ISBLANK(B289)=FALSE,VLOOKUP(B289,Data_source!A:J,4,FALSE),""),IF(ISBLANK(B289)=FALSE,VLOOKUP(B289,Data_source!A:J,5,FALSE),""))</f>
        <v/>
      </c>
      <c r="D289" s="11" t="str">
        <f>IF(ISBLANK(B289)=FALSE,IF(VLOOKUP(B289,Data_source!A:J,2,FALSE)="---","",VLOOKUP(B289,Data_source!A:J,2,FALSE)),"")</f>
        <v/>
      </c>
      <c r="E289" s="11" t="str">
        <f t="shared" si="12"/>
        <v/>
      </c>
      <c r="F289" s="11" t="str">
        <f>IF(ISBLANK(B289)=FALSE,IF(VLOOKUP(B289,Data_source!A:J,3,FALSE)="---","",VLOOKUP(B289,Data_source!A:J,3,FALSE)),"")</f>
        <v/>
      </c>
      <c r="G289" s="11" t="str">
        <f t="shared" si="13"/>
        <v/>
      </c>
      <c r="H289" s="12" t="str">
        <f>IF(ISBLANK(B289)=FALSE,IF(VLOOKUP(B289,Data_source!A:J,6,FALSE)="---","",VLOOKUP(B289,Data_source!A:J,6,FALSE)),"")</f>
        <v/>
      </c>
      <c r="I289" s="12" t="str">
        <f t="shared" si="14"/>
        <v/>
      </c>
      <c r="J289" s="46" t="str">
        <f>IF(ISBLANK(B289)=FALSE,IF(VLOOKUP(B289,Data_source!A:J,7,FALSE)=0,"",VLOOKUP(B289,Data_source!A:J,7,FALSE)),"")</f>
        <v/>
      </c>
      <c r="K289" s="46" t="str">
        <f>IF(ISBLANK(B289)=FALSE,IF(VLOOKUP(B289,Data_source!A:J,8,FALSE)=0,"",VLOOKUP(B289,Data_source!A:J,8,FALSE)),"")</f>
        <v/>
      </c>
      <c r="L289" s="46" t="str">
        <f>IF(ISBLANK(B289)=FALSE,IF(VLOOKUP(B289,Data_source!A:J,9,FALSE)=0,"",VLOOKUP(B289,Data_source!A:J,9,FALSE)),"")</f>
        <v/>
      </c>
      <c r="M289" s="23"/>
    </row>
    <row r="290" spans="1:13" x14ac:dyDescent="0.2">
      <c r="A290" s="13">
        <v>279</v>
      </c>
      <c r="B290" s="23"/>
      <c r="C290" s="10" t="str">
        <f>IF($E$5=1,IF(ISBLANK(B290)=FALSE,VLOOKUP(B290,Data_source!A:J,4,FALSE),""),IF(ISBLANK(B290)=FALSE,VLOOKUP(B290,Data_source!A:J,5,FALSE),""))</f>
        <v/>
      </c>
      <c r="D290" s="11" t="str">
        <f>IF(ISBLANK(B290)=FALSE,IF(VLOOKUP(B290,Data_source!A:J,2,FALSE)="---","",VLOOKUP(B290,Data_source!A:J,2,FALSE)),"")</f>
        <v/>
      </c>
      <c r="E290" s="11" t="str">
        <f t="shared" si="12"/>
        <v/>
      </c>
      <c r="F290" s="11" t="str">
        <f>IF(ISBLANK(B290)=FALSE,IF(VLOOKUP(B290,Data_source!A:J,3,FALSE)="---","",VLOOKUP(B290,Data_source!A:J,3,FALSE)),"")</f>
        <v/>
      </c>
      <c r="G290" s="11" t="str">
        <f t="shared" si="13"/>
        <v/>
      </c>
      <c r="H290" s="12" t="str">
        <f>IF(ISBLANK(B290)=FALSE,IF(VLOOKUP(B290,Data_source!A:J,6,FALSE)="---","",VLOOKUP(B290,Data_source!A:J,6,FALSE)),"")</f>
        <v/>
      </c>
      <c r="I290" s="12" t="str">
        <f t="shared" si="14"/>
        <v/>
      </c>
      <c r="J290" s="46" t="str">
        <f>IF(ISBLANK(B290)=FALSE,IF(VLOOKUP(B290,Data_source!A:J,7,FALSE)=0,"",VLOOKUP(B290,Data_source!A:J,7,FALSE)),"")</f>
        <v/>
      </c>
      <c r="K290" s="46" t="str">
        <f>IF(ISBLANK(B290)=FALSE,IF(VLOOKUP(B290,Data_source!A:J,8,FALSE)=0,"",VLOOKUP(B290,Data_source!A:J,8,FALSE)),"")</f>
        <v/>
      </c>
      <c r="L290" s="46" t="str">
        <f>IF(ISBLANK(B290)=FALSE,IF(VLOOKUP(B290,Data_source!A:J,9,FALSE)=0,"",VLOOKUP(B290,Data_source!A:J,9,FALSE)),"")</f>
        <v/>
      </c>
      <c r="M290" s="23"/>
    </row>
    <row r="291" spans="1:13" x14ac:dyDescent="0.2">
      <c r="A291" s="13">
        <v>280</v>
      </c>
      <c r="B291" s="23"/>
      <c r="C291" s="10" t="str">
        <f>IF($E$5=1,IF(ISBLANK(B291)=FALSE,VLOOKUP(B291,Data_source!A:J,4,FALSE),""),IF(ISBLANK(B291)=FALSE,VLOOKUP(B291,Data_source!A:J,5,FALSE),""))</f>
        <v/>
      </c>
      <c r="D291" s="11" t="str">
        <f>IF(ISBLANK(B291)=FALSE,IF(VLOOKUP(B291,Data_source!A:J,2,FALSE)="---","",VLOOKUP(B291,Data_source!A:J,2,FALSE)),"")</f>
        <v/>
      </c>
      <c r="E291" s="11" t="str">
        <f t="shared" si="12"/>
        <v/>
      </c>
      <c r="F291" s="11" t="str">
        <f>IF(ISBLANK(B291)=FALSE,IF(VLOOKUP(B291,Data_source!A:J,3,FALSE)="---","",VLOOKUP(B291,Data_source!A:J,3,FALSE)),"")</f>
        <v/>
      </c>
      <c r="G291" s="11" t="str">
        <f t="shared" si="13"/>
        <v/>
      </c>
      <c r="H291" s="12" t="str">
        <f>IF(ISBLANK(B291)=FALSE,IF(VLOOKUP(B291,Data_source!A:J,6,FALSE)="---","",VLOOKUP(B291,Data_source!A:J,6,FALSE)),"")</f>
        <v/>
      </c>
      <c r="I291" s="12" t="str">
        <f t="shared" si="14"/>
        <v/>
      </c>
      <c r="J291" s="46" t="str">
        <f>IF(ISBLANK(B291)=FALSE,IF(VLOOKUP(B291,Data_source!A:J,7,FALSE)=0,"",VLOOKUP(B291,Data_source!A:J,7,FALSE)),"")</f>
        <v/>
      </c>
      <c r="K291" s="46" t="str">
        <f>IF(ISBLANK(B291)=FALSE,IF(VLOOKUP(B291,Data_source!A:J,8,FALSE)=0,"",VLOOKUP(B291,Data_source!A:J,8,FALSE)),"")</f>
        <v/>
      </c>
      <c r="L291" s="46" t="str">
        <f>IF(ISBLANK(B291)=FALSE,IF(VLOOKUP(B291,Data_source!A:J,9,FALSE)=0,"",VLOOKUP(B291,Data_source!A:J,9,FALSE)),"")</f>
        <v/>
      </c>
      <c r="M291" s="23"/>
    </row>
    <row r="292" spans="1:13" x14ac:dyDescent="0.2">
      <c r="A292" s="13">
        <v>281</v>
      </c>
      <c r="B292" s="23"/>
      <c r="C292" s="10" t="str">
        <f>IF($E$5=1,IF(ISBLANK(B292)=FALSE,VLOOKUP(B292,Data_source!A:J,4,FALSE),""),IF(ISBLANK(B292)=FALSE,VLOOKUP(B292,Data_source!A:J,5,FALSE),""))</f>
        <v/>
      </c>
      <c r="D292" s="11" t="str">
        <f>IF(ISBLANK(B292)=FALSE,IF(VLOOKUP(B292,Data_source!A:J,2,FALSE)="---","",VLOOKUP(B292,Data_source!A:J,2,FALSE)),"")</f>
        <v/>
      </c>
      <c r="E292" s="11" t="str">
        <f t="shared" si="12"/>
        <v/>
      </c>
      <c r="F292" s="11" t="str">
        <f>IF(ISBLANK(B292)=FALSE,IF(VLOOKUP(B292,Data_source!A:J,3,FALSE)="---","",VLOOKUP(B292,Data_source!A:J,3,FALSE)),"")</f>
        <v/>
      </c>
      <c r="G292" s="11" t="str">
        <f t="shared" si="13"/>
        <v/>
      </c>
      <c r="H292" s="12" t="str">
        <f>IF(ISBLANK(B292)=FALSE,IF(VLOOKUP(B292,Data_source!A:J,6,FALSE)="---","",VLOOKUP(B292,Data_source!A:J,6,FALSE)),"")</f>
        <v/>
      </c>
      <c r="I292" s="12" t="str">
        <f t="shared" si="14"/>
        <v/>
      </c>
      <c r="J292" s="46" t="str">
        <f>IF(ISBLANK(B292)=FALSE,IF(VLOOKUP(B292,Data_source!A:J,7,FALSE)=0,"",VLOOKUP(B292,Data_source!A:J,7,FALSE)),"")</f>
        <v/>
      </c>
      <c r="K292" s="46" t="str">
        <f>IF(ISBLANK(B292)=FALSE,IF(VLOOKUP(B292,Data_source!A:J,8,FALSE)=0,"",VLOOKUP(B292,Data_source!A:J,8,FALSE)),"")</f>
        <v/>
      </c>
      <c r="L292" s="46" t="str">
        <f>IF(ISBLANK(B292)=FALSE,IF(VLOOKUP(B292,Data_source!A:J,9,FALSE)=0,"",VLOOKUP(B292,Data_source!A:J,9,FALSE)),"")</f>
        <v/>
      </c>
      <c r="M292" s="23"/>
    </row>
    <row r="293" spans="1:13" x14ac:dyDescent="0.2">
      <c r="A293" s="13">
        <v>282</v>
      </c>
      <c r="B293" s="23"/>
      <c r="C293" s="10" t="str">
        <f>IF($E$5=1,IF(ISBLANK(B293)=FALSE,VLOOKUP(B293,Data_source!A:J,4,FALSE),""),IF(ISBLANK(B293)=FALSE,VLOOKUP(B293,Data_source!A:J,5,FALSE),""))</f>
        <v/>
      </c>
      <c r="D293" s="11" t="str">
        <f>IF(ISBLANK(B293)=FALSE,IF(VLOOKUP(B293,Data_source!A:J,2,FALSE)="---","",VLOOKUP(B293,Data_source!A:J,2,FALSE)),"")</f>
        <v/>
      </c>
      <c r="E293" s="11" t="str">
        <f t="shared" si="12"/>
        <v/>
      </c>
      <c r="F293" s="11" t="str">
        <f>IF(ISBLANK(B293)=FALSE,IF(VLOOKUP(B293,Data_source!A:J,3,FALSE)="---","",VLOOKUP(B293,Data_source!A:J,3,FALSE)),"")</f>
        <v/>
      </c>
      <c r="G293" s="11" t="str">
        <f t="shared" si="13"/>
        <v/>
      </c>
      <c r="H293" s="12" t="str">
        <f>IF(ISBLANK(B293)=FALSE,IF(VLOOKUP(B293,Data_source!A:J,6,FALSE)="---","",VLOOKUP(B293,Data_source!A:J,6,FALSE)),"")</f>
        <v/>
      </c>
      <c r="I293" s="12" t="str">
        <f t="shared" si="14"/>
        <v/>
      </c>
      <c r="J293" s="46" t="str">
        <f>IF(ISBLANK(B293)=FALSE,IF(VLOOKUP(B293,Data_source!A:J,7,FALSE)=0,"",VLOOKUP(B293,Data_source!A:J,7,FALSE)),"")</f>
        <v/>
      </c>
      <c r="K293" s="46" t="str">
        <f>IF(ISBLANK(B293)=FALSE,IF(VLOOKUP(B293,Data_source!A:J,8,FALSE)=0,"",VLOOKUP(B293,Data_source!A:J,8,FALSE)),"")</f>
        <v/>
      </c>
      <c r="L293" s="46" t="str">
        <f>IF(ISBLANK(B293)=FALSE,IF(VLOOKUP(B293,Data_source!A:J,9,FALSE)=0,"",VLOOKUP(B293,Data_source!A:J,9,FALSE)),"")</f>
        <v/>
      </c>
      <c r="M293" s="23"/>
    </row>
    <row r="294" spans="1:13" x14ac:dyDescent="0.2">
      <c r="A294" s="13">
        <v>283</v>
      </c>
      <c r="B294" s="23"/>
      <c r="C294" s="10" t="str">
        <f>IF($E$5=1,IF(ISBLANK(B294)=FALSE,VLOOKUP(B294,Data_source!A:J,4,FALSE),""),IF(ISBLANK(B294)=FALSE,VLOOKUP(B294,Data_source!A:J,5,FALSE),""))</f>
        <v/>
      </c>
      <c r="D294" s="11" t="str">
        <f>IF(ISBLANK(B294)=FALSE,IF(VLOOKUP(B294,Data_source!A:J,2,FALSE)="---","",VLOOKUP(B294,Data_source!A:J,2,FALSE)),"")</f>
        <v/>
      </c>
      <c r="E294" s="11" t="str">
        <f t="shared" si="12"/>
        <v/>
      </c>
      <c r="F294" s="11" t="str">
        <f>IF(ISBLANK(B294)=FALSE,IF(VLOOKUP(B294,Data_source!A:J,3,FALSE)="---","",VLOOKUP(B294,Data_source!A:J,3,FALSE)),"")</f>
        <v/>
      </c>
      <c r="G294" s="11" t="str">
        <f t="shared" si="13"/>
        <v/>
      </c>
      <c r="H294" s="12" t="str">
        <f>IF(ISBLANK(B294)=FALSE,IF(VLOOKUP(B294,Data_source!A:J,6,FALSE)="---","",VLOOKUP(B294,Data_source!A:J,6,FALSE)),"")</f>
        <v/>
      </c>
      <c r="I294" s="12" t="str">
        <f t="shared" si="14"/>
        <v/>
      </c>
      <c r="J294" s="46" t="str">
        <f>IF(ISBLANK(B294)=FALSE,IF(VLOOKUP(B294,Data_source!A:J,7,FALSE)=0,"",VLOOKUP(B294,Data_source!A:J,7,FALSE)),"")</f>
        <v/>
      </c>
      <c r="K294" s="46" t="str">
        <f>IF(ISBLANK(B294)=FALSE,IF(VLOOKUP(B294,Data_source!A:J,8,FALSE)=0,"",VLOOKUP(B294,Data_source!A:J,8,FALSE)),"")</f>
        <v/>
      </c>
      <c r="L294" s="46" t="str">
        <f>IF(ISBLANK(B294)=FALSE,IF(VLOOKUP(B294,Data_source!A:J,9,FALSE)=0,"",VLOOKUP(B294,Data_source!A:J,9,FALSE)),"")</f>
        <v/>
      </c>
      <c r="M294" s="23"/>
    </row>
    <row r="295" spans="1:13" x14ac:dyDescent="0.2">
      <c r="A295" s="13">
        <v>284</v>
      </c>
      <c r="B295" s="23"/>
      <c r="C295" s="10" t="str">
        <f>IF($E$5=1,IF(ISBLANK(B295)=FALSE,VLOOKUP(B295,Data_source!A:J,4,FALSE),""),IF(ISBLANK(B295)=FALSE,VLOOKUP(B295,Data_source!A:J,5,FALSE),""))</f>
        <v/>
      </c>
      <c r="D295" s="11" t="str">
        <f>IF(ISBLANK(B295)=FALSE,IF(VLOOKUP(B295,Data_source!A:J,2,FALSE)="---","",VLOOKUP(B295,Data_source!A:J,2,FALSE)),"")</f>
        <v/>
      </c>
      <c r="E295" s="11" t="str">
        <f t="shared" si="12"/>
        <v/>
      </c>
      <c r="F295" s="11" t="str">
        <f>IF(ISBLANK(B295)=FALSE,IF(VLOOKUP(B295,Data_source!A:J,3,FALSE)="---","",VLOOKUP(B295,Data_source!A:J,3,FALSE)),"")</f>
        <v/>
      </c>
      <c r="G295" s="11" t="str">
        <f t="shared" si="13"/>
        <v/>
      </c>
      <c r="H295" s="12" t="str">
        <f>IF(ISBLANK(B295)=FALSE,IF(VLOOKUP(B295,Data_source!A:J,6,FALSE)="---","",VLOOKUP(B295,Data_source!A:J,6,FALSE)),"")</f>
        <v/>
      </c>
      <c r="I295" s="12" t="str">
        <f t="shared" si="14"/>
        <v/>
      </c>
      <c r="J295" s="46" t="str">
        <f>IF(ISBLANK(B295)=FALSE,IF(VLOOKUP(B295,Data_source!A:J,7,FALSE)=0,"",VLOOKUP(B295,Data_source!A:J,7,FALSE)),"")</f>
        <v/>
      </c>
      <c r="K295" s="46" t="str">
        <f>IF(ISBLANK(B295)=FALSE,IF(VLOOKUP(B295,Data_source!A:J,8,FALSE)=0,"",VLOOKUP(B295,Data_source!A:J,8,FALSE)),"")</f>
        <v/>
      </c>
      <c r="L295" s="46" t="str">
        <f>IF(ISBLANK(B295)=FALSE,IF(VLOOKUP(B295,Data_source!A:J,9,FALSE)=0,"",VLOOKUP(B295,Data_source!A:J,9,FALSE)),"")</f>
        <v/>
      </c>
      <c r="M295" s="23"/>
    </row>
    <row r="296" spans="1:13" x14ac:dyDescent="0.2">
      <c r="A296" s="13">
        <v>285</v>
      </c>
      <c r="B296" s="23"/>
      <c r="C296" s="10" t="str">
        <f>IF($E$5=1,IF(ISBLANK(B296)=FALSE,VLOOKUP(B296,Data_source!A:J,4,FALSE),""),IF(ISBLANK(B296)=FALSE,VLOOKUP(B296,Data_source!A:J,5,FALSE),""))</f>
        <v/>
      </c>
      <c r="D296" s="11" t="str">
        <f>IF(ISBLANK(B296)=FALSE,IF(VLOOKUP(B296,Data_source!A:J,2,FALSE)="---","",VLOOKUP(B296,Data_source!A:J,2,FALSE)),"")</f>
        <v/>
      </c>
      <c r="E296" s="11" t="str">
        <f t="shared" si="12"/>
        <v/>
      </c>
      <c r="F296" s="11" t="str">
        <f>IF(ISBLANK(B296)=FALSE,IF(VLOOKUP(B296,Data_source!A:J,3,FALSE)="---","",VLOOKUP(B296,Data_source!A:J,3,FALSE)),"")</f>
        <v/>
      </c>
      <c r="G296" s="11" t="str">
        <f t="shared" si="13"/>
        <v/>
      </c>
      <c r="H296" s="12" t="str">
        <f>IF(ISBLANK(B296)=FALSE,IF(VLOOKUP(B296,Data_source!A:J,6,FALSE)="---","",VLOOKUP(B296,Data_source!A:J,6,FALSE)),"")</f>
        <v/>
      </c>
      <c r="I296" s="12" t="str">
        <f t="shared" si="14"/>
        <v/>
      </c>
      <c r="J296" s="46" t="str">
        <f>IF(ISBLANK(B296)=FALSE,IF(VLOOKUP(B296,Data_source!A:J,7,FALSE)=0,"",VLOOKUP(B296,Data_source!A:J,7,FALSE)),"")</f>
        <v/>
      </c>
      <c r="K296" s="46" t="str">
        <f>IF(ISBLANK(B296)=FALSE,IF(VLOOKUP(B296,Data_source!A:J,8,FALSE)=0,"",VLOOKUP(B296,Data_source!A:J,8,FALSE)),"")</f>
        <v/>
      </c>
      <c r="L296" s="46" t="str">
        <f>IF(ISBLANK(B296)=FALSE,IF(VLOOKUP(B296,Data_source!A:J,9,FALSE)=0,"",VLOOKUP(B296,Data_source!A:J,9,FALSE)),"")</f>
        <v/>
      </c>
      <c r="M296" s="23"/>
    </row>
    <row r="297" spans="1:13" x14ac:dyDescent="0.2">
      <c r="A297" s="13">
        <v>286</v>
      </c>
      <c r="B297" s="23"/>
      <c r="C297" s="10" t="str">
        <f>IF($E$5=1,IF(ISBLANK(B297)=FALSE,VLOOKUP(B297,Data_source!A:J,4,FALSE),""),IF(ISBLANK(B297)=FALSE,VLOOKUP(B297,Data_source!A:J,5,FALSE),""))</f>
        <v/>
      </c>
      <c r="D297" s="11" t="str">
        <f>IF(ISBLANK(B297)=FALSE,IF(VLOOKUP(B297,Data_source!A:J,2,FALSE)="---","",VLOOKUP(B297,Data_source!A:J,2,FALSE)),"")</f>
        <v/>
      </c>
      <c r="E297" s="11" t="str">
        <f t="shared" si="12"/>
        <v/>
      </c>
      <c r="F297" s="11" t="str">
        <f>IF(ISBLANK(B297)=FALSE,IF(VLOOKUP(B297,Data_source!A:J,3,FALSE)="---","",VLOOKUP(B297,Data_source!A:J,3,FALSE)),"")</f>
        <v/>
      </c>
      <c r="G297" s="11" t="str">
        <f t="shared" si="13"/>
        <v/>
      </c>
      <c r="H297" s="12" t="str">
        <f>IF(ISBLANK(B297)=FALSE,IF(VLOOKUP(B297,Data_source!A:J,6,FALSE)="---","",VLOOKUP(B297,Data_source!A:J,6,FALSE)),"")</f>
        <v/>
      </c>
      <c r="I297" s="12" t="str">
        <f t="shared" si="14"/>
        <v/>
      </c>
      <c r="J297" s="46" t="str">
        <f>IF(ISBLANK(B297)=FALSE,IF(VLOOKUP(B297,Data_source!A:J,7,FALSE)=0,"",VLOOKUP(B297,Data_source!A:J,7,FALSE)),"")</f>
        <v/>
      </c>
      <c r="K297" s="46" t="str">
        <f>IF(ISBLANK(B297)=FALSE,IF(VLOOKUP(B297,Data_source!A:J,8,FALSE)=0,"",VLOOKUP(B297,Data_source!A:J,8,FALSE)),"")</f>
        <v/>
      </c>
      <c r="L297" s="46" t="str">
        <f>IF(ISBLANK(B297)=FALSE,IF(VLOOKUP(B297,Data_source!A:J,9,FALSE)=0,"",VLOOKUP(B297,Data_source!A:J,9,FALSE)),"")</f>
        <v/>
      </c>
      <c r="M297" s="23"/>
    </row>
    <row r="298" spans="1:13" x14ac:dyDescent="0.2">
      <c r="A298" s="13">
        <v>287</v>
      </c>
      <c r="B298" s="23"/>
      <c r="C298" s="10" t="str">
        <f>IF($E$5=1,IF(ISBLANK(B298)=FALSE,VLOOKUP(B298,Data_source!A:J,4,FALSE),""),IF(ISBLANK(B298)=FALSE,VLOOKUP(B298,Data_source!A:J,5,FALSE),""))</f>
        <v/>
      </c>
      <c r="D298" s="11" t="str">
        <f>IF(ISBLANK(B298)=FALSE,IF(VLOOKUP(B298,Data_source!A:J,2,FALSE)="---","",VLOOKUP(B298,Data_source!A:J,2,FALSE)),"")</f>
        <v/>
      </c>
      <c r="E298" s="11" t="str">
        <f t="shared" si="12"/>
        <v/>
      </c>
      <c r="F298" s="11" t="str">
        <f>IF(ISBLANK(B298)=FALSE,IF(VLOOKUP(B298,Data_source!A:J,3,FALSE)="---","",VLOOKUP(B298,Data_source!A:J,3,FALSE)),"")</f>
        <v/>
      </c>
      <c r="G298" s="11" t="str">
        <f t="shared" si="13"/>
        <v/>
      </c>
      <c r="H298" s="12" t="str">
        <f>IF(ISBLANK(B298)=FALSE,IF(VLOOKUP(B298,Data_source!A:J,6,FALSE)="---","",VLOOKUP(B298,Data_source!A:J,6,FALSE)),"")</f>
        <v/>
      </c>
      <c r="I298" s="12" t="str">
        <f t="shared" si="14"/>
        <v/>
      </c>
      <c r="J298" s="46" t="str">
        <f>IF(ISBLANK(B298)=FALSE,IF(VLOOKUP(B298,Data_source!A:J,7,FALSE)=0,"",VLOOKUP(B298,Data_source!A:J,7,FALSE)),"")</f>
        <v/>
      </c>
      <c r="K298" s="46" t="str">
        <f>IF(ISBLANK(B298)=FALSE,IF(VLOOKUP(B298,Data_source!A:J,8,FALSE)=0,"",VLOOKUP(B298,Data_source!A:J,8,FALSE)),"")</f>
        <v/>
      </c>
      <c r="L298" s="46" t="str">
        <f>IF(ISBLANK(B298)=FALSE,IF(VLOOKUP(B298,Data_source!A:J,9,FALSE)=0,"",VLOOKUP(B298,Data_source!A:J,9,FALSE)),"")</f>
        <v/>
      </c>
      <c r="M298" s="23"/>
    </row>
    <row r="299" spans="1:13" x14ac:dyDescent="0.2">
      <c r="A299" s="13">
        <v>288</v>
      </c>
      <c r="B299" s="23"/>
      <c r="C299" s="10" t="str">
        <f>IF($E$5=1,IF(ISBLANK(B299)=FALSE,VLOOKUP(B299,Data_source!A:J,4,FALSE),""),IF(ISBLANK(B299)=FALSE,VLOOKUP(B299,Data_source!A:J,5,FALSE),""))</f>
        <v/>
      </c>
      <c r="D299" s="11" t="str">
        <f>IF(ISBLANK(B299)=FALSE,IF(VLOOKUP(B299,Data_source!A:J,2,FALSE)="---","",VLOOKUP(B299,Data_source!A:J,2,FALSE)),"")</f>
        <v/>
      </c>
      <c r="E299" s="11" t="str">
        <f t="shared" si="12"/>
        <v/>
      </c>
      <c r="F299" s="11" t="str">
        <f>IF(ISBLANK(B299)=FALSE,IF(VLOOKUP(B299,Data_source!A:J,3,FALSE)="---","",VLOOKUP(B299,Data_source!A:J,3,FALSE)),"")</f>
        <v/>
      </c>
      <c r="G299" s="11" t="str">
        <f t="shared" si="13"/>
        <v/>
      </c>
      <c r="H299" s="12" t="str">
        <f>IF(ISBLANK(B299)=FALSE,IF(VLOOKUP(B299,Data_source!A:J,6,FALSE)="---","",VLOOKUP(B299,Data_source!A:J,6,FALSE)),"")</f>
        <v/>
      </c>
      <c r="I299" s="12" t="str">
        <f t="shared" si="14"/>
        <v/>
      </c>
      <c r="J299" s="46" t="str">
        <f>IF(ISBLANK(B299)=FALSE,IF(VLOOKUP(B299,Data_source!A:J,7,FALSE)=0,"",VLOOKUP(B299,Data_source!A:J,7,FALSE)),"")</f>
        <v/>
      </c>
      <c r="K299" s="46" t="str">
        <f>IF(ISBLANK(B299)=FALSE,IF(VLOOKUP(B299,Data_source!A:J,8,FALSE)=0,"",VLOOKUP(B299,Data_source!A:J,8,FALSE)),"")</f>
        <v/>
      </c>
      <c r="L299" s="46" t="str">
        <f>IF(ISBLANK(B299)=FALSE,IF(VLOOKUP(B299,Data_source!A:J,9,FALSE)=0,"",VLOOKUP(B299,Data_source!A:J,9,FALSE)),"")</f>
        <v/>
      </c>
      <c r="M299" s="23"/>
    </row>
    <row r="300" spans="1:13" x14ac:dyDescent="0.2">
      <c r="A300" s="13">
        <v>289</v>
      </c>
      <c r="B300" s="23"/>
      <c r="C300" s="10" t="str">
        <f>IF($E$5=1,IF(ISBLANK(B300)=FALSE,VLOOKUP(B300,Data_source!A:J,4,FALSE),""),IF(ISBLANK(B300)=FALSE,VLOOKUP(B300,Data_source!A:J,5,FALSE),""))</f>
        <v/>
      </c>
      <c r="D300" s="11" t="str">
        <f>IF(ISBLANK(B300)=FALSE,IF(VLOOKUP(B300,Data_source!A:J,2,FALSE)="---","",VLOOKUP(B300,Data_source!A:J,2,FALSE)),"")</f>
        <v/>
      </c>
      <c r="E300" s="11" t="str">
        <f t="shared" si="12"/>
        <v/>
      </c>
      <c r="F300" s="11" t="str">
        <f>IF(ISBLANK(B300)=FALSE,IF(VLOOKUP(B300,Data_source!A:J,3,FALSE)="---","",VLOOKUP(B300,Data_source!A:J,3,FALSE)),"")</f>
        <v/>
      </c>
      <c r="G300" s="11" t="str">
        <f t="shared" si="13"/>
        <v/>
      </c>
      <c r="H300" s="12" t="str">
        <f>IF(ISBLANK(B300)=FALSE,IF(VLOOKUP(B300,Data_source!A:J,6,FALSE)="---","",VLOOKUP(B300,Data_source!A:J,6,FALSE)),"")</f>
        <v/>
      </c>
      <c r="I300" s="12" t="str">
        <f t="shared" si="14"/>
        <v/>
      </c>
      <c r="J300" s="46" t="str">
        <f>IF(ISBLANK(B300)=FALSE,IF(VLOOKUP(B300,Data_source!A:J,7,FALSE)=0,"",VLOOKUP(B300,Data_source!A:J,7,FALSE)),"")</f>
        <v/>
      </c>
      <c r="K300" s="46" t="str">
        <f>IF(ISBLANK(B300)=FALSE,IF(VLOOKUP(B300,Data_source!A:J,8,FALSE)=0,"",VLOOKUP(B300,Data_source!A:J,8,FALSE)),"")</f>
        <v/>
      </c>
      <c r="L300" s="46" t="str">
        <f>IF(ISBLANK(B300)=FALSE,IF(VLOOKUP(B300,Data_source!A:J,9,FALSE)=0,"",VLOOKUP(B300,Data_source!A:J,9,FALSE)),"")</f>
        <v/>
      </c>
      <c r="M300" s="23"/>
    </row>
    <row r="301" spans="1:13" x14ac:dyDescent="0.2">
      <c r="A301" s="13">
        <v>290</v>
      </c>
      <c r="B301" s="23"/>
      <c r="C301" s="10" t="str">
        <f>IF($E$5=1,IF(ISBLANK(B301)=FALSE,VLOOKUP(B301,Data_source!A:J,4,FALSE),""),IF(ISBLANK(B301)=FALSE,VLOOKUP(B301,Data_source!A:J,5,FALSE),""))</f>
        <v/>
      </c>
      <c r="D301" s="11" t="str">
        <f>IF(ISBLANK(B301)=FALSE,IF(VLOOKUP(B301,Data_source!A:J,2,FALSE)="---","",VLOOKUP(B301,Data_source!A:J,2,FALSE)),"")</f>
        <v/>
      </c>
      <c r="E301" s="11" t="str">
        <f t="shared" si="12"/>
        <v/>
      </c>
      <c r="F301" s="11" t="str">
        <f>IF(ISBLANK(B301)=FALSE,IF(VLOOKUP(B301,Data_source!A:J,3,FALSE)="---","",VLOOKUP(B301,Data_source!A:J,3,FALSE)),"")</f>
        <v/>
      </c>
      <c r="G301" s="11" t="str">
        <f t="shared" si="13"/>
        <v/>
      </c>
      <c r="H301" s="12" t="str">
        <f>IF(ISBLANK(B301)=FALSE,IF(VLOOKUP(B301,Data_source!A:J,6,FALSE)="---","",VLOOKUP(B301,Data_source!A:J,6,FALSE)),"")</f>
        <v/>
      </c>
      <c r="I301" s="12" t="str">
        <f t="shared" si="14"/>
        <v/>
      </c>
      <c r="J301" s="46" t="str">
        <f>IF(ISBLANK(B301)=FALSE,IF(VLOOKUP(B301,Data_source!A:J,7,FALSE)=0,"",VLOOKUP(B301,Data_source!A:J,7,FALSE)),"")</f>
        <v/>
      </c>
      <c r="K301" s="46" t="str">
        <f>IF(ISBLANK(B301)=FALSE,IF(VLOOKUP(B301,Data_source!A:J,8,FALSE)=0,"",VLOOKUP(B301,Data_source!A:J,8,FALSE)),"")</f>
        <v/>
      </c>
      <c r="L301" s="46" t="str">
        <f>IF(ISBLANK(B301)=FALSE,IF(VLOOKUP(B301,Data_source!A:J,9,FALSE)=0,"",VLOOKUP(B301,Data_source!A:J,9,FALSE)),"")</f>
        <v/>
      </c>
      <c r="M301" s="23"/>
    </row>
    <row r="302" spans="1:13" x14ac:dyDescent="0.2">
      <c r="A302" s="13">
        <v>291</v>
      </c>
      <c r="B302" s="23"/>
      <c r="C302" s="10" t="str">
        <f>IF($E$5=1,IF(ISBLANK(B302)=FALSE,VLOOKUP(B302,Data_source!A:J,4,FALSE),""),IF(ISBLANK(B302)=FALSE,VLOOKUP(B302,Data_source!A:J,5,FALSE),""))</f>
        <v/>
      </c>
      <c r="D302" s="11" t="str">
        <f>IF(ISBLANK(B302)=FALSE,IF(VLOOKUP(B302,Data_source!A:J,2,FALSE)="---","",VLOOKUP(B302,Data_source!A:J,2,FALSE)),"")</f>
        <v/>
      </c>
      <c r="E302" s="11" t="str">
        <f t="shared" si="12"/>
        <v/>
      </c>
      <c r="F302" s="11" t="str">
        <f>IF(ISBLANK(B302)=FALSE,IF(VLOOKUP(B302,Data_source!A:J,3,FALSE)="---","",VLOOKUP(B302,Data_source!A:J,3,FALSE)),"")</f>
        <v/>
      </c>
      <c r="G302" s="11" t="str">
        <f t="shared" si="13"/>
        <v/>
      </c>
      <c r="H302" s="12" t="str">
        <f>IF(ISBLANK(B302)=FALSE,IF(VLOOKUP(B302,Data_source!A:J,6,FALSE)="---","",VLOOKUP(B302,Data_source!A:J,6,FALSE)),"")</f>
        <v/>
      </c>
      <c r="I302" s="12" t="str">
        <f t="shared" si="14"/>
        <v/>
      </c>
      <c r="J302" s="46" t="str">
        <f>IF(ISBLANK(B302)=FALSE,IF(VLOOKUP(B302,Data_source!A:J,7,FALSE)=0,"",VLOOKUP(B302,Data_source!A:J,7,FALSE)),"")</f>
        <v/>
      </c>
      <c r="K302" s="46" t="str">
        <f>IF(ISBLANK(B302)=FALSE,IF(VLOOKUP(B302,Data_source!A:J,8,FALSE)=0,"",VLOOKUP(B302,Data_source!A:J,8,FALSE)),"")</f>
        <v/>
      </c>
      <c r="L302" s="46" t="str">
        <f>IF(ISBLANK(B302)=FALSE,IF(VLOOKUP(B302,Data_source!A:J,9,FALSE)=0,"",VLOOKUP(B302,Data_source!A:J,9,FALSE)),"")</f>
        <v/>
      </c>
      <c r="M302" s="23"/>
    </row>
    <row r="303" spans="1:13" x14ac:dyDescent="0.2">
      <c r="A303" s="13">
        <v>292</v>
      </c>
      <c r="B303" s="23"/>
      <c r="C303" s="10" t="str">
        <f>IF($E$5=1,IF(ISBLANK(B303)=FALSE,VLOOKUP(B303,Data_source!A:J,4,FALSE),""),IF(ISBLANK(B303)=FALSE,VLOOKUP(B303,Data_source!A:J,5,FALSE),""))</f>
        <v/>
      </c>
      <c r="D303" s="11" t="str">
        <f>IF(ISBLANK(B303)=FALSE,IF(VLOOKUP(B303,Data_source!A:J,2,FALSE)="---","",VLOOKUP(B303,Data_source!A:J,2,FALSE)),"")</f>
        <v/>
      </c>
      <c r="E303" s="11" t="str">
        <f t="shared" si="12"/>
        <v/>
      </c>
      <c r="F303" s="11" t="str">
        <f>IF(ISBLANK(B303)=FALSE,IF(VLOOKUP(B303,Data_source!A:J,3,FALSE)="---","",VLOOKUP(B303,Data_source!A:J,3,FALSE)),"")</f>
        <v/>
      </c>
      <c r="G303" s="11" t="str">
        <f t="shared" si="13"/>
        <v/>
      </c>
      <c r="H303" s="12" t="str">
        <f>IF(ISBLANK(B303)=FALSE,IF(VLOOKUP(B303,Data_source!A:J,6,FALSE)="---","",VLOOKUP(B303,Data_source!A:J,6,FALSE)),"")</f>
        <v/>
      </c>
      <c r="I303" s="12" t="str">
        <f t="shared" si="14"/>
        <v/>
      </c>
      <c r="J303" s="46" t="str">
        <f>IF(ISBLANK(B303)=FALSE,IF(VLOOKUP(B303,Data_source!A:J,7,FALSE)=0,"",VLOOKUP(B303,Data_source!A:J,7,FALSE)),"")</f>
        <v/>
      </c>
      <c r="K303" s="46" t="str">
        <f>IF(ISBLANK(B303)=FALSE,IF(VLOOKUP(B303,Data_source!A:J,8,FALSE)=0,"",VLOOKUP(B303,Data_source!A:J,8,FALSE)),"")</f>
        <v/>
      </c>
      <c r="L303" s="46" t="str">
        <f>IF(ISBLANK(B303)=FALSE,IF(VLOOKUP(B303,Data_source!A:J,9,FALSE)=0,"",VLOOKUP(B303,Data_source!A:J,9,FALSE)),"")</f>
        <v/>
      </c>
      <c r="M303" s="23"/>
    </row>
    <row r="304" spans="1:13" x14ac:dyDescent="0.2">
      <c r="A304" s="13">
        <v>293</v>
      </c>
      <c r="B304" s="23"/>
      <c r="C304" s="10" t="str">
        <f>IF($E$5=1,IF(ISBLANK(B304)=FALSE,VLOOKUP(B304,Data_source!A:J,4,FALSE),""),IF(ISBLANK(B304)=FALSE,VLOOKUP(B304,Data_source!A:J,5,FALSE),""))</f>
        <v/>
      </c>
      <c r="D304" s="11" t="str">
        <f>IF(ISBLANK(B304)=FALSE,IF(VLOOKUP(B304,Data_source!A:J,2,FALSE)="---","",VLOOKUP(B304,Data_source!A:J,2,FALSE)),"")</f>
        <v/>
      </c>
      <c r="E304" s="11" t="str">
        <f t="shared" si="12"/>
        <v/>
      </c>
      <c r="F304" s="11" t="str">
        <f>IF(ISBLANK(B304)=FALSE,IF(VLOOKUP(B304,Data_source!A:J,3,FALSE)="---","",VLOOKUP(B304,Data_source!A:J,3,FALSE)),"")</f>
        <v/>
      </c>
      <c r="G304" s="11" t="str">
        <f t="shared" si="13"/>
        <v/>
      </c>
      <c r="H304" s="12" t="str">
        <f>IF(ISBLANK(B304)=FALSE,IF(VLOOKUP(B304,Data_source!A:J,6,FALSE)="---","",VLOOKUP(B304,Data_source!A:J,6,FALSE)),"")</f>
        <v/>
      </c>
      <c r="I304" s="12" t="str">
        <f t="shared" si="14"/>
        <v/>
      </c>
      <c r="J304" s="46" t="str">
        <f>IF(ISBLANK(B304)=FALSE,IF(VLOOKUP(B304,Data_source!A:J,7,FALSE)=0,"",VLOOKUP(B304,Data_source!A:J,7,FALSE)),"")</f>
        <v/>
      </c>
      <c r="K304" s="46" t="str">
        <f>IF(ISBLANK(B304)=FALSE,IF(VLOOKUP(B304,Data_source!A:J,8,FALSE)=0,"",VLOOKUP(B304,Data_source!A:J,8,FALSE)),"")</f>
        <v/>
      </c>
      <c r="L304" s="46" t="str">
        <f>IF(ISBLANK(B304)=FALSE,IF(VLOOKUP(B304,Data_source!A:J,9,FALSE)=0,"",VLOOKUP(B304,Data_source!A:J,9,FALSE)),"")</f>
        <v/>
      </c>
      <c r="M304" s="23"/>
    </row>
    <row r="305" spans="1:13" x14ac:dyDescent="0.2">
      <c r="A305" s="13">
        <v>294</v>
      </c>
      <c r="B305" s="23"/>
      <c r="C305" s="10" t="str">
        <f>IF($E$5=1,IF(ISBLANK(B305)=FALSE,VLOOKUP(B305,Data_source!A:J,4,FALSE),""),IF(ISBLANK(B305)=FALSE,VLOOKUP(B305,Data_source!A:J,5,FALSE),""))</f>
        <v/>
      </c>
      <c r="D305" s="11" t="str">
        <f>IF(ISBLANK(B305)=FALSE,IF(VLOOKUP(B305,Data_source!A:J,2,FALSE)="---","",VLOOKUP(B305,Data_source!A:J,2,FALSE)),"")</f>
        <v/>
      </c>
      <c r="E305" s="11" t="str">
        <f t="shared" si="12"/>
        <v/>
      </c>
      <c r="F305" s="11" t="str">
        <f>IF(ISBLANK(B305)=FALSE,IF(VLOOKUP(B305,Data_source!A:J,3,FALSE)="---","",VLOOKUP(B305,Data_source!A:J,3,FALSE)),"")</f>
        <v/>
      </c>
      <c r="G305" s="11" t="str">
        <f t="shared" si="13"/>
        <v/>
      </c>
      <c r="H305" s="12" t="str">
        <f>IF(ISBLANK(B305)=FALSE,IF(VLOOKUP(B305,Data_source!A:J,6,FALSE)="---","",VLOOKUP(B305,Data_source!A:J,6,FALSE)),"")</f>
        <v/>
      </c>
      <c r="I305" s="12" t="str">
        <f t="shared" si="14"/>
        <v/>
      </c>
      <c r="J305" s="46" t="str">
        <f>IF(ISBLANK(B305)=FALSE,IF(VLOOKUP(B305,Data_source!A:J,7,FALSE)=0,"",VLOOKUP(B305,Data_source!A:J,7,FALSE)),"")</f>
        <v/>
      </c>
      <c r="K305" s="46" t="str">
        <f>IF(ISBLANK(B305)=FALSE,IF(VLOOKUP(B305,Data_source!A:J,8,FALSE)=0,"",VLOOKUP(B305,Data_source!A:J,8,FALSE)),"")</f>
        <v/>
      </c>
      <c r="L305" s="46" t="str">
        <f>IF(ISBLANK(B305)=FALSE,IF(VLOOKUP(B305,Data_source!A:J,9,FALSE)=0,"",VLOOKUP(B305,Data_source!A:J,9,FALSE)),"")</f>
        <v/>
      </c>
      <c r="M305" s="23"/>
    </row>
    <row r="306" spans="1:13" x14ac:dyDescent="0.2">
      <c r="A306" s="13">
        <v>295</v>
      </c>
      <c r="B306" s="23"/>
      <c r="C306" s="10" t="str">
        <f>IF($E$5=1,IF(ISBLANK(B306)=FALSE,VLOOKUP(B306,Data_source!A:J,4,FALSE),""),IF(ISBLANK(B306)=FALSE,VLOOKUP(B306,Data_source!A:J,5,FALSE),""))</f>
        <v/>
      </c>
      <c r="D306" s="11" t="str">
        <f>IF(ISBLANK(B306)=FALSE,IF(VLOOKUP(B306,Data_source!A:J,2,FALSE)="---","",VLOOKUP(B306,Data_source!A:J,2,FALSE)),"")</f>
        <v/>
      </c>
      <c r="E306" s="11" t="str">
        <f t="shared" si="12"/>
        <v/>
      </c>
      <c r="F306" s="11" t="str">
        <f>IF(ISBLANK(B306)=FALSE,IF(VLOOKUP(B306,Data_source!A:J,3,FALSE)="---","",VLOOKUP(B306,Data_source!A:J,3,FALSE)),"")</f>
        <v/>
      </c>
      <c r="G306" s="11" t="str">
        <f t="shared" si="13"/>
        <v/>
      </c>
      <c r="H306" s="12" t="str">
        <f>IF(ISBLANK(B306)=FALSE,IF(VLOOKUP(B306,Data_source!A:J,6,FALSE)="---","",VLOOKUP(B306,Data_source!A:J,6,FALSE)),"")</f>
        <v/>
      </c>
      <c r="I306" s="12" t="str">
        <f t="shared" si="14"/>
        <v/>
      </c>
      <c r="J306" s="46" t="str">
        <f>IF(ISBLANK(B306)=FALSE,IF(VLOOKUP(B306,Data_source!A:J,7,FALSE)=0,"",VLOOKUP(B306,Data_source!A:J,7,FALSE)),"")</f>
        <v/>
      </c>
      <c r="K306" s="46" t="str">
        <f>IF(ISBLANK(B306)=FALSE,IF(VLOOKUP(B306,Data_source!A:J,8,FALSE)=0,"",VLOOKUP(B306,Data_source!A:J,8,FALSE)),"")</f>
        <v/>
      </c>
      <c r="L306" s="46" t="str">
        <f>IF(ISBLANK(B306)=FALSE,IF(VLOOKUP(B306,Data_source!A:J,9,FALSE)=0,"",VLOOKUP(B306,Data_source!A:J,9,FALSE)),"")</f>
        <v/>
      </c>
      <c r="M306" s="23"/>
    </row>
    <row r="307" spans="1:13" x14ac:dyDescent="0.2">
      <c r="A307" s="13">
        <v>296</v>
      </c>
      <c r="B307" s="23"/>
      <c r="C307" s="10" t="str">
        <f>IF($E$5=1,IF(ISBLANK(B307)=FALSE,VLOOKUP(B307,Data_source!A:J,4,FALSE),""),IF(ISBLANK(B307)=FALSE,VLOOKUP(B307,Data_source!A:J,5,FALSE),""))</f>
        <v/>
      </c>
      <c r="D307" s="11" t="str">
        <f>IF(ISBLANK(B307)=FALSE,IF(VLOOKUP(B307,Data_source!A:J,2,FALSE)="---","",VLOOKUP(B307,Data_source!A:J,2,FALSE)),"")</f>
        <v/>
      </c>
      <c r="E307" s="11" t="str">
        <f t="shared" si="12"/>
        <v/>
      </c>
      <c r="F307" s="11" t="str">
        <f>IF(ISBLANK(B307)=FALSE,IF(VLOOKUP(B307,Data_source!A:J,3,FALSE)="---","",VLOOKUP(B307,Data_source!A:J,3,FALSE)),"")</f>
        <v/>
      </c>
      <c r="G307" s="11" t="str">
        <f t="shared" si="13"/>
        <v/>
      </c>
      <c r="H307" s="12" t="str">
        <f>IF(ISBLANK(B307)=FALSE,IF(VLOOKUP(B307,Data_source!A:J,6,FALSE)="---","",VLOOKUP(B307,Data_source!A:J,6,FALSE)),"")</f>
        <v/>
      </c>
      <c r="I307" s="12" t="str">
        <f t="shared" si="14"/>
        <v/>
      </c>
      <c r="J307" s="46" t="str">
        <f>IF(ISBLANK(B307)=FALSE,IF(VLOOKUP(B307,Data_source!A:J,7,FALSE)=0,"",VLOOKUP(B307,Data_source!A:J,7,FALSE)),"")</f>
        <v/>
      </c>
      <c r="K307" s="46" t="str">
        <f>IF(ISBLANK(B307)=FALSE,IF(VLOOKUP(B307,Data_source!A:J,8,FALSE)=0,"",VLOOKUP(B307,Data_source!A:J,8,FALSE)),"")</f>
        <v/>
      </c>
      <c r="L307" s="46" t="str">
        <f>IF(ISBLANK(B307)=FALSE,IF(VLOOKUP(B307,Data_source!A:J,9,FALSE)=0,"",VLOOKUP(B307,Data_source!A:J,9,FALSE)),"")</f>
        <v/>
      </c>
      <c r="M307" s="23"/>
    </row>
    <row r="308" spans="1:13" x14ac:dyDescent="0.2">
      <c r="A308" s="13">
        <v>297</v>
      </c>
      <c r="B308" s="23"/>
      <c r="C308" s="10" t="str">
        <f>IF($E$5=1,IF(ISBLANK(B308)=FALSE,VLOOKUP(B308,Data_source!A:J,4,FALSE),""),IF(ISBLANK(B308)=FALSE,VLOOKUP(B308,Data_source!A:J,5,FALSE),""))</f>
        <v/>
      </c>
      <c r="D308" s="11" t="str">
        <f>IF(ISBLANK(B308)=FALSE,IF(VLOOKUP(B308,Data_source!A:J,2,FALSE)="---","",VLOOKUP(B308,Data_source!A:J,2,FALSE)),"")</f>
        <v/>
      </c>
      <c r="E308" s="11" t="str">
        <f t="shared" si="12"/>
        <v/>
      </c>
      <c r="F308" s="11" t="str">
        <f>IF(ISBLANK(B308)=FALSE,IF(VLOOKUP(B308,Data_source!A:J,3,FALSE)="---","",VLOOKUP(B308,Data_source!A:J,3,FALSE)),"")</f>
        <v/>
      </c>
      <c r="G308" s="11" t="str">
        <f t="shared" si="13"/>
        <v/>
      </c>
      <c r="H308" s="12" t="str">
        <f>IF(ISBLANK(B308)=FALSE,IF(VLOOKUP(B308,Data_source!A:J,6,FALSE)="---","",VLOOKUP(B308,Data_source!A:J,6,FALSE)),"")</f>
        <v/>
      </c>
      <c r="I308" s="12" t="str">
        <f t="shared" si="14"/>
        <v/>
      </c>
      <c r="J308" s="46" t="str">
        <f>IF(ISBLANK(B308)=FALSE,IF(VLOOKUP(B308,Data_source!A:J,7,FALSE)=0,"",VLOOKUP(B308,Data_source!A:J,7,FALSE)),"")</f>
        <v/>
      </c>
      <c r="K308" s="46" t="str">
        <f>IF(ISBLANK(B308)=FALSE,IF(VLOOKUP(B308,Data_source!A:J,8,FALSE)=0,"",VLOOKUP(B308,Data_source!A:J,8,FALSE)),"")</f>
        <v/>
      </c>
      <c r="L308" s="46" t="str">
        <f>IF(ISBLANK(B308)=FALSE,IF(VLOOKUP(B308,Data_source!A:J,9,FALSE)=0,"",VLOOKUP(B308,Data_source!A:J,9,FALSE)),"")</f>
        <v/>
      </c>
      <c r="M308" s="23"/>
    </row>
    <row r="309" spans="1:13" x14ac:dyDescent="0.2">
      <c r="A309" s="13">
        <v>298</v>
      </c>
      <c r="B309" s="23"/>
      <c r="C309" s="10" t="str">
        <f>IF($E$5=1,IF(ISBLANK(B309)=FALSE,VLOOKUP(B309,Data_source!A:J,4,FALSE),""),IF(ISBLANK(B309)=FALSE,VLOOKUP(B309,Data_source!A:J,5,FALSE),""))</f>
        <v/>
      </c>
      <c r="D309" s="11" t="str">
        <f>IF(ISBLANK(B309)=FALSE,IF(VLOOKUP(B309,Data_source!A:J,2,FALSE)="---","",VLOOKUP(B309,Data_source!A:J,2,FALSE)),"")</f>
        <v/>
      </c>
      <c r="E309" s="11" t="str">
        <f t="shared" si="12"/>
        <v/>
      </c>
      <c r="F309" s="11" t="str">
        <f>IF(ISBLANK(B309)=FALSE,IF(VLOOKUP(B309,Data_source!A:J,3,FALSE)="---","",VLOOKUP(B309,Data_source!A:J,3,FALSE)),"")</f>
        <v/>
      </c>
      <c r="G309" s="11" t="str">
        <f t="shared" si="13"/>
        <v/>
      </c>
      <c r="H309" s="12" t="str">
        <f>IF(ISBLANK(B309)=FALSE,IF(VLOOKUP(B309,Data_source!A:J,6,FALSE)="---","",VLOOKUP(B309,Data_source!A:J,6,FALSE)),"")</f>
        <v/>
      </c>
      <c r="I309" s="12" t="str">
        <f t="shared" si="14"/>
        <v/>
      </c>
      <c r="J309" s="46" t="str">
        <f>IF(ISBLANK(B309)=FALSE,IF(VLOOKUP(B309,Data_source!A:J,7,FALSE)=0,"",VLOOKUP(B309,Data_source!A:J,7,FALSE)),"")</f>
        <v/>
      </c>
      <c r="K309" s="46" t="str">
        <f>IF(ISBLANK(B309)=FALSE,IF(VLOOKUP(B309,Data_source!A:J,8,FALSE)=0,"",VLOOKUP(B309,Data_source!A:J,8,FALSE)),"")</f>
        <v/>
      </c>
      <c r="L309" s="46" t="str">
        <f>IF(ISBLANK(B309)=FALSE,IF(VLOOKUP(B309,Data_source!A:J,9,FALSE)=0,"",VLOOKUP(B309,Data_source!A:J,9,FALSE)),"")</f>
        <v/>
      </c>
      <c r="M309" s="23"/>
    </row>
    <row r="310" spans="1:13" x14ac:dyDescent="0.2">
      <c r="A310" s="13">
        <v>299</v>
      </c>
      <c r="B310" s="23"/>
      <c r="C310" s="10" t="str">
        <f>IF($E$5=1,IF(ISBLANK(B310)=FALSE,VLOOKUP(B310,Data_source!A:J,4,FALSE),""),IF(ISBLANK(B310)=FALSE,VLOOKUP(B310,Data_source!A:J,5,FALSE),""))</f>
        <v/>
      </c>
      <c r="D310" s="11" t="str">
        <f>IF(ISBLANK(B310)=FALSE,IF(VLOOKUP(B310,Data_source!A:J,2,FALSE)="---","",VLOOKUP(B310,Data_source!A:J,2,FALSE)),"")</f>
        <v/>
      </c>
      <c r="E310" s="11" t="str">
        <f t="shared" si="12"/>
        <v/>
      </c>
      <c r="F310" s="11" t="str">
        <f>IF(ISBLANK(B310)=FALSE,IF(VLOOKUP(B310,Data_source!A:J,3,FALSE)="---","",VLOOKUP(B310,Data_source!A:J,3,FALSE)),"")</f>
        <v/>
      </c>
      <c r="G310" s="11" t="str">
        <f t="shared" si="13"/>
        <v/>
      </c>
      <c r="H310" s="12" t="str">
        <f>IF(ISBLANK(B310)=FALSE,IF(VLOOKUP(B310,Data_source!A:J,6,FALSE)="---","",VLOOKUP(B310,Data_source!A:J,6,FALSE)),"")</f>
        <v/>
      </c>
      <c r="I310" s="12" t="str">
        <f t="shared" si="14"/>
        <v/>
      </c>
      <c r="J310" s="46" t="str">
        <f>IF(ISBLANK(B310)=FALSE,IF(VLOOKUP(B310,Data_source!A:J,7,FALSE)=0,"",VLOOKUP(B310,Data_source!A:J,7,FALSE)),"")</f>
        <v/>
      </c>
      <c r="K310" s="46" t="str">
        <f>IF(ISBLANK(B310)=FALSE,IF(VLOOKUP(B310,Data_source!A:J,8,FALSE)=0,"",VLOOKUP(B310,Data_source!A:J,8,FALSE)),"")</f>
        <v/>
      </c>
      <c r="L310" s="46" t="str">
        <f>IF(ISBLANK(B310)=FALSE,IF(VLOOKUP(B310,Data_source!A:J,9,FALSE)=0,"",VLOOKUP(B310,Data_source!A:J,9,FALSE)),"")</f>
        <v/>
      </c>
      <c r="M310" s="23"/>
    </row>
    <row r="311" spans="1:13" ht="13.5" thickBot="1" x14ac:dyDescent="0.25">
      <c r="A311" s="14">
        <v>300</v>
      </c>
      <c r="B311" s="27"/>
      <c r="C311" s="15" t="str">
        <f>IF($E$5=1,IF(ISBLANK(B311)=FALSE,VLOOKUP(B311,Data_source!A:J,4,FALSE),""),IF(ISBLANK(B311)=FALSE,VLOOKUP(B311,Data_source!A:J,5,FALSE),""))</f>
        <v/>
      </c>
      <c r="D311" s="16" t="str">
        <f>IF(ISBLANK(B311)=FALSE,IF(VLOOKUP(B311,Data_source!A:J,2,FALSE)="---","",VLOOKUP(B311,Data_source!A:J,2,FALSE)),"")</f>
        <v/>
      </c>
      <c r="E311" s="16" t="str">
        <f t="shared" si="12"/>
        <v/>
      </c>
      <c r="F311" s="16" t="str">
        <f>IF(ISBLANK(B311)=FALSE,IF(VLOOKUP(B311,Data_source!A:J,3,FALSE)="---","",VLOOKUP(B311,Data_source!A:J,3,FALSE)),"")</f>
        <v/>
      </c>
      <c r="G311" s="16" t="str">
        <f t="shared" si="13"/>
        <v/>
      </c>
      <c r="H311" s="17" t="str">
        <f>IF(ISBLANK(B311)=FALSE,IF(VLOOKUP(B311,Data_source!A:J,6,FALSE)="---","",VLOOKUP(B311,Data_source!A:J,6,FALSE)),"")</f>
        <v/>
      </c>
      <c r="I311" s="17" t="str">
        <f t="shared" si="14"/>
        <v/>
      </c>
      <c r="J311" s="47" t="str">
        <f>IF(ISBLANK(B311)=FALSE,IF(VLOOKUP(B311,Data_source!A:J,7,FALSE)=0,"",VLOOKUP(B311,Data_source!A:J,7,FALSE)),"")</f>
        <v/>
      </c>
      <c r="K311" s="47" t="str">
        <f>IF(ISBLANK(B311)=FALSE,IF(VLOOKUP(B311,Data_source!A:J,8,FALSE)=0,"",VLOOKUP(B311,Data_source!A:J,8,FALSE)),"")</f>
        <v/>
      </c>
      <c r="L311" s="47" t="str">
        <f>IF(ISBLANK(B311)=FALSE,IF(VLOOKUP(B311,Data_source!A:J,9,FALSE)=0,"",VLOOKUP(B311,Data_source!A:J,9,FALSE)),"")</f>
        <v/>
      </c>
      <c r="M311" s="27"/>
    </row>
  </sheetData>
  <sheetProtection algorithmName="SHA-512" hashValue="Jv54kA74Z87vh+gUHpGyUCQonoVMa9F0dwHYZgL1ryU60xET56B27YrZxPma1vnOS1CO0spuGBBARtbmZjAQeQ==" saltValue="nF4ubPsDqs2dVENDvU6wdw==" spinCount="100000" sheet="1" objects="1" scenarios="1" formatCells="0" selectLockedCells="1" autoFilter="0"/>
  <mergeCells count="25">
    <mergeCell ref="K6:M6"/>
    <mergeCell ref="K7:M7"/>
    <mergeCell ref="K8:M8"/>
    <mergeCell ref="A5:B5"/>
    <mergeCell ref="C1:M1"/>
    <mergeCell ref="C2:M2"/>
    <mergeCell ref="A7:B7"/>
    <mergeCell ref="K4:M4"/>
    <mergeCell ref="K5:M5"/>
    <mergeCell ref="E7:H7"/>
    <mergeCell ref="E8:H8"/>
    <mergeCell ref="E6:H6"/>
    <mergeCell ref="A10:A11"/>
    <mergeCell ref="B10:B11"/>
    <mergeCell ref="C10:C11"/>
    <mergeCell ref="D10:D11"/>
    <mergeCell ref="E10:E11"/>
    <mergeCell ref="K9:M9"/>
    <mergeCell ref="M10:M11"/>
    <mergeCell ref="F10:F11"/>
    <mergeCell ref="G10:G11"/>
    <mergeCell ref="H10:H11"/>
    <mergeCell ref="I10:I11"/>
    <mergeCell ref="J10:L10"/>
    <mergeCell ref="E9:H9"/>
  </mergeCells>
  <phoneticPr fontId="0" type="noConversion"/>
  <conditionalFormatting sqref="E12:E311">
    <cfRule type="cellIs" dxfId="24" priority="6" operator="lessThan">
      <formula>0</formula>
    </cfRule>
    <cfRule type="expression" dxfId="23" priority="7">
      <formula>AND(E12&lt;&gt;"",E13="",E11&lt;&gt;"")</formula>
    </cfRule>
    <cfRule type="expression" dxfId="22" priority="30">
      <formula>AND(E13&gt;E12,E11&lt;&gt;"")</formula>
    </cfRule>
  </conditionalFormatting>
  <conditionalFormatting sqref="G12:G311">
    <cfRule type="cellIs" dxfId="21" priority="4" operator="lessThan">
      <formula>0</formula>
    </cfRule>
    <cfRule type="expression" dxfId="20" priority="5">
      <formula>AND(G12&lt;&gt;"",G13="",G11&lt;&gt;"")</formula>
    </cfRule>
    <cfRule type="expression" dxfId="19" priority="29">
      <formula>AND(G13&gt;G12,G11&lt;&gt;"")</formula>
    </cfRule>
  </conditionalFormatting>
  <conditionalFormatting sqref="D12:D311">
    <cfRule type="cellIs" dxfId="18" priority="2" operator="greaterThan">
      <formula>0</formula>
    </cfRule>
    <cfRule type="cellIs" dxfId="17" priority="25" operator="lessThan">
      <formula>0</formula>
    </cfRule>
  </conditionalFormatting>
  <conditionalFormatting sqref="F12:F311">
    <cfRule type="cellIs" dxfId="16" priority="1" operator="greaterThan">
      <formula>0</formula>
    </cfRule>
    <cfRule type="cellIs" dxfId="15" priority="24" operator="lessThan">
      <formula>0</formula>
    </cfRule>
  </conditionalFormatting>
  <conditionalFormatting sqref="J34">
    <cfRule type="expression" dxfId="14" priority="22">
      <formula>AND(J34="|",J33="===")</formula>
    </cfRule>
  </conditionalFormatting>
  <conditionalFormatting sqref="J12:L311">
    <cfRule type="expression" dxfId="13" priority="3">
      <formula>AND(J12="-T-",J11="T")</formula>
    </cfRule>
    <cfRule type="expression" dxfId="12" priority="9">
      <formula>AND(J12="T",J11="---")</formula>
    </cfRule>
    <cfRule type="expression" dxfId="11" priority="10">
      <formula>AND(J12="---",J11="---")</formula>
    </cfRule>
    <cfRule type="expression" dxfId="10" priority="15">
      <formula>AND(J12="===",J11="---")</formula>
    </cfRule>
    <cfRule type="expression" dxfId="9" priority="19">
      <formula>AND(J12="|",J11="")</formula>
    </cfRule>
    <cfRule type="expression" dxfId="8" priority="20">
      <formula>AND(J12="|",J11="---")</formula>
    </cfRule>
    <cfRule type="expression" dxfId="7" priority="21">
      <formula>AND(J12="|",J11="===")</formula>
    </cfRule>
  </conditionalFormatting>
  <conditionalFormatting sqref="J12:J311">
    <cfRule type="expression" dxfId="6" priority="14">
      <formula>AND(OR(D12&lt;&gt;"",F12&lt;&gt;""),J12="",J11="---")</formula>
    </cfRule>
    <cfRule type="expression" dxfId="5" priority="18">
      <formula>AND(J12="===",I11="")</formula>
    </cfRule>
  </conditionalFormatting>
  <conditionalFormatting sqref="K12:K311">
    <cfRule type="expression" dxfId="4" priority="13">
      <formula>AND(OR(D12&lt;&gt;"",F12&lt;&gt;""),K12="",K11="---")</formula>
    </cfRule>
    <cfRule type="expression" dxfId="3" priority="17">
      <formula>AND(K12="===",I11="")</formula>
    </cfRule>
  </conditionalFormatting>
  <conditionalFormatting sqref="L12:L311">
    <cfRule type="expression" dxfId="2" priority="11">
      <formula>AND(OR(D12&lt;&gt;"",F12&lt;&gt;""),L12="",L11="---",J12&lt;&gt;"-T-")</formula>
    </cfRule>
    <cfRule type="expression" dxfId="1" priority="16">
      <formula>AND(L12="===",I11="")</formula>
    </cfRule>
  </conditionalFormatting>
  <conditionalFormatting sqref="I12:I311">
    <cfRule type="expression" dxfId="0" priority="8">
      <formula>AND(I12&lt;&gt;"",I13="")</formula>
    </cfRule>
  </conditionalFormatting>
  <pageMargins left="0.78740157499999996" right="0.78740157499999996" top="0.984251969" bottom="0.984251969" header="0.4921259845" footer="0.4921259845"/>
  <pageSetup paperSize="9" scale="64" orientation="landscape" r:id="rId1"/>
  <headerFooter alignWithMargins="0">
    <oddHeader>&amp;L&amp;F&amp;R&amp;D</oddHeader>
    <oddFooter>&amp;C&amp;P/&amp;N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6" r:id="rId4" name="Drop Down 2">
              <controlPr locked="0" defaultSize="0" autoLine="0" autoPict="0">
                <anchor moveWithCells="1">
                  <from>
                    <xdr:col>1</xdr:col>
                    <xdr:colOff>1171575</xdr:colOff>
                    <xdr:row>4</xdr:row>
                    <xdr:rowOff>0</xdr:rowOff>
                  </from>
                  <to>
                    <xdr:col>2</xdr:col>
                    <xdr:colOff>6172200</xdr:colOff>
                    <xdr:row>4</xdr:row>
                    <xdr:rowOff>161925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22"/>
  <sheetViews>
    <sheetView zoomScale="85" zoomScaleNormal="85" workbookViewId="0">
      <pane xSplit="1" ySplit="1" topLeftCell="B764" activePane="bottomRight" state="frozenSplit"/>
      <selection pane="topRight" activeCell="B1" sqref="B1"/>
      <selection pane="bottomLeft" activeCell="A2" sqref="A2"/>
      <selection pane="bottomRight" activeCell="G778" sqref="G778"/>
    </sheetView>
  </sheetViews>
  <sheetFormatPr baseColWidth="10" defaultRowHeight="12.75" x14ac:dyDescent="0.2"/>
  <cols>
    <col min="1" max="1" width="18.42578125" style="20" customWidth="1"/>
    <col min="2" max="3" width="9.5703125" style="20" customWidth="1"/>
    <col min="4" max="4" width="92.85546875" style="20" customWidth="1"/>
    <col min="5" max="5" width="92.7109375" style="20" customWidth="1"/>
    <col min="6" max="6" width="12.7109375" style="20" customWidth="1"/>
    <col min="7" max="10" width="12.7109375" style="21" customWidth="1"/>
    <col min="11" max="16384" width="11.42578125" style="20"/>
  </cols>
  <sheetData>
    <row r="1" spans="1:10" s="1" customFormat="1" ht="45" customHeight="1" thickBot="1" x14ac:dyDescent="0.25">
      <c r="A1" s="76" t="str">
        <f>IF(System_configuration!E5=1, "Produkt", "Product")</f>
        <v>Product</v>
      </c>
      <c r="B1" s="77" t="str">
        <f>IF(System_configuration!E5=1, "E-Bus 
Strom
(mA)", "E-Bus 
current
(mA)")</f>
        <v>E-Bus 
current
(mA)</v>
      </c>
      <c r="C1" s="77" t="str">
        <f>IF(System_configuration!E5=1, "K-Bus 
Strom
(mA)", "K-Bus 
current
(mA)")</f>
        <v>K-Bus 
current
(mA)</v>
      </c>
      <c r="D1" s="76" t="str">
        <f>IF(System_configuration!E5=1, "Produkt Beschreibung (German)", "Product Description (German)")</f>
        <v>Product Description (German)</v>
      </c>
      <c r="E1" s="76" t="str">
        <f>IF(System_configuration!E5=1, "Produkt Beschreibung (English)", "Product Description (English)")</f>
        <v>Product Description (English)</v>
      </c>
      <c r="F1" s="77" t="str">
        <f>IF(System_configuration!E5=1, "Produkt
Breite
(mm)", "Product 
width
(mm)")</f>
        <v>Product 
width
(mm)</v>
      </c>
      <c r="G1" s="77" t="str">
        <f>IF(System_configuration!E5=1, "Power
Kontakt
+", "Power
contact
+")</f>
        <v>Power
contact
+</v>
      </c>
      <c r="H1" s="77" t="str">
        <f>IF(System_configuration!E5=1, "Power
Kontakt
-", "Power
contact
-")</f>
        <v>Power
contact
-</v>
      </c>
      <c r="I1" s="77" t="str">
        <f>IF(System_configuration!E5=1, "Power
Kontakt
PE", "Power
contact
PE")</f>
        <v>Power
contact
PE</v>
      </c>
      <c r="J1" s="28" t="str">
        <f>IF(System_configuration!E5=1, "Anzahl der 
Produkte
(Stück)", "Number of
Products
(piece)")</f>
        <v>Number of
Products
(piece)</v>
      </c>
    </row>
    <row r="2" spans="1:10" s="29" customFormat="1" ht="25.5" x14ac:dyDescent="0.2">
      <c r="A2" s="85" t="s">
        <v>1262</v>
      </c>
      <c r="B2" s="59" t="s">
        <v>1534</v>
      </c>
      <c r="C2" s="42">
        <v>1750</v>
      </c>
      <c r="D2" s="35" t="s">
        <v>1263</v>
      </c>
      <c r="E2" s="35" t="s">
        <v>1264</v>
      </c>
      <c r="F2" s="42">
        <v>49</v>
      </c>
      <c r="G2" s="49" t="s">
        <v>3569</v>
      </c>
      <c r="H2" s="49" t="s">
        <v>3569</v>
      </c>
      <c r="I2" s="49" t="s">
        <v>3569</v>
      </c>
      <c r="J2" s="44">
        <f>COUNTIF(System_configuration!B:B,A2)</f>
        <v>0</v>
      </c>
    </row>
    <row r="3" spans="1:10" s="29" customFormat="1" ht="25.5" x14ac:dyDescent="0.2">
      <c r="A3" s="83" t="s">
        <v>1265</v>
      </c>
      <c r="B3" s="43" t="s">
        <v>1534</v>
      </c>
      <c r="C3" s="39">
        <v>1000</v>
      </c>
      <c r="D3" s="61" t="s">
        <v>1266</v>
      </c>
      <c r="E3" s="37" t="s">
        <v>1267</v>
      </c>
      <c r="F3" s="39">
        <v>44</v>
      </c>
      <c r="G3" s="49" t="s">
        <v>3569</v>
      </c>
      <c r="H3" s="49" t="s">
        <v>3569</v>
      </c>
      <c r="I3" s="49"/>
      <c r="J3" s="40">
        <f>COUNTIF(System_configuration!B:B,A3)</f>
        <v>0</v>
      </c>
    </row>
    <row r="4" spans="1:10" s="29" customFormat="1" ht="25.5" x14ac:dyDescent="0.2">
      <c r="A4" s="83" t="s">
        <v>1268</v>
      </c>
      <c r="B4" s="43" t="s">
        <v>1534</v>
      </c>
      <c r="C4" s="39">
        <v>1000</v>
      </c>
      <c r="D4" s="61" t="s">
        <v>1269</v>
      </c>
      <c r="E4" s="37" t="s">
        <v>1270</v>
      </c>
      <c r="F4" s="39">
        <v>44</v>
      </c>
      <c r="G4" s="49" t="s">
        <v>3569</v>
      </c>
      <c r="H4" s="49" t="s">
        <v>3569</v>
      </c>
      <c r="I4" s="49"/>
      <c r="J4" s="40">
        <f>COUNTIF(System_configuration!B:B,A4)</f>
        <v>0</v>
      </c>
    </row>
    <row r="5" spans="1:10" s="29" customFormat="1" ht="25.5" x14ac:dyDescent="0.2">
      <c r="A5" s="83" t="s">
        <v>1271</v>
      </c>
      <c r="B5" s="43" t="s">
        <v>1534</v>
      </c>
      <c r="C5" s="39">
        <v>1000</v>
      </c>
      <c r="D5" s="37" t="s">
        <v>1272</v>
      </c>
      <c r="E5" s="37" t="s">
        <v>1273</v>
      </c>
      <c r="F5" s="39">
        <v>49</v>
      </c>
      <c r="G5" s="49" t="s">
        <v>3569</v>
      </c>
      <c r="H5" s="49" t="s">
        <v>3569</v>
      </c>
      <c r="I5" s="49"/>
      <c r="J5" s="40">
        <f>COUNTIF(System_configuration!B:B,A5)</f>
        <v>0</v>
      </c>
    </row>
    <row r="6" spans="1:10" s="29" customFormat="1" ht="25.5" x14ac:dyDescent="0.2">
      <c r="A6" s="83" t="s">
        <v>1274</v>
      </c>
      <c r="B6" s="43" t="s">
        <v>1534</v>
      </c>
      <c r="C6" s="39">
        <v>1750</v>
      </c>
      <c r="D6" s="37" t="s">
        <v>1275</v>
      </c>
      <c r="E6" s="37" t="s">
        <v>1276</v>
      </c>
      <c r="F6" s="39">
        <v>49</v>
      </c>
      <c r="G6" s="49" t="s">
        <v>3569</v>
      </c>
      <c r="H6" s="49" t="s">
        <v>3569</v>
      </c>
      <c r="I6" s="49" t="s">
        <v>3569</v>
      </c>
      <c r="J6" s="40">
        <f>COUNTIF(System_configuration!B:B,A6)</f>
        <v>0</v>
      </c>
    </row>
    <row r="7" spans="1:10" s="29" customFormat="1" ht="25.5" x14ac:dyDescent="0.2">
      <c r="A7" s="83" t="s">
        <v>1277</v>
      </c>
      <c r="B7" s="43" t="s">
        <v>1534</v>
      </c>
      <c r="C7" s="39">
        <v>1000</v>
      </c>
      <c r="D7" s="37" t="s">
        <v>1278</v>
      </c>
      <c r="E7" s="37" t="s">
        <v>1279</v>
      </c>
      <c r="F7" s="39">
        <v>44</v>
      </c>
      <c r="G7" s="49" t="s">
        <v>3569</v>
      </c>
      <c r="H7" s="49" t="s">
        <v>3569</v>
      </c>
      <c r="I7" s="49"/>
      <c r="J7" s="40">
        <f>COUNTIF(System_configuration!B:B,A7)</f>
        <v>0</v>
      </c>
    </row>
    <row r="8" spans="1:10" s="29" customFormat="1" ht="25.5" x14ac:dyDescent="0.2">
      <c r="A8" s="83" t="s">
        <v>1280</v>
      </c>
      <c r="B8" s="43" t="s">
        <v>1534</v>
      </c>
      <c r="C8" s="39">
        <v>1000</v>
      </c>
      <c r="D8" s="37" t="s">
        <v>1281</v>
      </c>
      <c r="E8" s="37" t="s">
        <v>1282</v>
      </c>
      <c r="F8" s="39">
        <v>44</v>
      </c>
      <c r="G8" s="49" t="s">
        <v>3569</v>
      </c>
      <c r="H8" s="49" t="s">
        <v>3569</v>
      </c>
      <c r="I8" s="49"/>
      <c r="J8" s="40">
        <f>COUNTIF(System_configuration!B:B,A8)</f>
        <v>0</v>
      </c>
    </row>
    <row r="9" spans="1:10" s="29" customFormat="1" ht="25.5" x14ac:dyDescent="0.2">
      <c r="A9" s="83" t="s">
        <v>1283</v>
      </c>
      <c r="B9" s="43" t="s">
        <v>1534</v>
      </c>
      <c r="C9" s="39">
        <v>1750</v>
      </c>
      <c r="D9" s="37" t="s">
        <v>1284</v>
      </c>
      <c r="E9" s="37" t="s">
        <v>1285</v>
      </c>
      <c r="F9" s="39">
        <v>49</v>
      </c>
      <c r="G9" s="49" t="s">
        <v>3569</v>
      </c>
      <c r="H9" s="49" t="s">
        <v>3569</v>
      </c>
      <c r="I9" s="49" t="s">
        <v>3569</v>
      </c>
      <c r="J9" s="40">
        <f>COUNTIF(System_configuration!B:B,A9)</f>
        <v>0</v>
      </c>
    </row>
    <row r="10" spans="1:10" s="29" customFormat="1" ht="25.5" x14ac:dyDescent="0.2">
      <c r="A10" s="83" t="s">
        <v>1286</v>
      </c>
      <c r="B10" s="43" t="s">
        <v>1534</v>
      </c>
      <c r="C10" s="39">
        <v>1750</v>
      </c>
      <c r="D10" s="37" t="s">
        <v>1287</v>
      </c>
      <c r="E10" s="37" t="s">
        <v>1288</v>
      </c>
      <c r="F10" s="39">
        <v>49</v>
      </c>
      <c r="G10" s="49" t="s">
        <v>3569</v>
      </c>
      <c r="H10" s="49" t="s">
        <v>3569</v>
      </c>
      <c r="I10" s="49" t="s">
        <v>3569</v>
      </c>
      <c r="J10" s="40">
        <f>COUNTIF(System_configuration!B:B,A10)</f>
        <v>0</v>
      </c>
    </row>
    <row r="11" spans="1:10" s="29" customFormat="1" ht="25.5" x14ac:dyDescent="0.2">
      <c r="A11" s="83" t="s">
        <v>1289</v>
      </c>
      <c r="B11" s="43" t="s">
        <v>1534</v>
      </c>
      <c r="C11" s="39">
        <v>1000</v>
      </c>
      <c r="D11" s="37" t="s">
        <v>1290</v>
      </c>
      <c r="E11" s="37" t="s">
        <v>1291</v>
      </c>
      <c r="F11" s="39">
        <v>44</v>
      </c>
      <c r="G11" s="49" t="s">
        <v>3569</v>
      </c>
      <c r="H11" s="49" t="s">
        <v>3569</v>
      </c>
      <c r="I11" s="49"/>
      <c r="J11" s="40">
        <f>COUNTIF(System_configuration!B:B,A11)</f>
        <v>0</v>
      </c>
    </row>
    <row r="12" spans="1:10" s="29" customFormat="1" ht="38.25" x14ac:dyDescent="0.2">
      <c r="A12" s="83" t="s">
        <v>1292</v>
      </c>
      <c r="B12" s="43" t="s">
        <v>1534</v>
      </c>
      <c r="C12" s="39">
        <v>1750</v>
      </c>
      <c r="D12" s="37" t="s">
        <v>1293</v>
      </c>
      <c r="E12" s="37" t="s">
        <v>1294</v>
      </c>
      <c r="F12" s="39">
        <v>49</v>
      </c>
      <c r="G12" s="49" t="s">
        <v>3569</v>
      </c>
      <c r="H12" s="49" t="s">
        <v>3569</v>
      </c>
      <c r="I12" s="49" t="s">
        <v>3569</v>
      </c>
      <c r="J12" s="40">
        <f>COUNTIF(System_configuration!B:B,A12)</f>
        <v>0</v>
      </c>
    </row>
    <row r="13" spans="1:10" s="29" customFormat="1" ht="38.25" x14ac:dyDescent="0.2">
      <c r="A13" s="83" t="s">
        <v>1295</v>
      </c>
      <c r="B13" s="43" t="s">
        <v>1534</v>
      </c>
      <c r="C13" s="39">
        <v>1750</v>
      </c>
      <c r="D13" s="37" t="s">
        <v>1296</v>
      </c>
      <c r="E13" s="37" t="s">
        <v>1297</v>
      </c>
      <c r="F13" s="39">
        <v>49</v>
      </c>
      <c r="G13" s="49" t="s">
        <v>3569</v>
      </c>
      <c r="H13" s="49" t="s">
        <v>3569</v>
      </c>
      <c r="I13" s="49" t="s">
        <v>3569</v>
      </c>
      <c r="J13" s="40">
        <f>COUNTIF(System_configuration!B:B,A13)</f>
        <v>0</v>
      </c>
    </row>
    <row r="14" spans="1:10" s="29" customFormat="1" ht="216.75" x14ac:dyDescent="0.2">
      <c r="A14" s="83" t="s">
        <v>1298</v>
      </c>
      <c r="B14" s="43" t="s">
        <v>1534</v>
      </c>
      <c r="C14" s="39">
        <v>200</v>
      </c>
      <c r="D14" s="37" t="s">
        <v>1299</v>
      </c>
      <c r="E14" s="37" t="s">
        <v>1300</v>
      </c>
      <c r="F14" s="39">
        <v>122</v>
      </c>
      <c r="G14" s="49"/>
      <c r="H14" s="49"/>
      <c r="I14" s="49"/>
      <c r="J14" s="40">
        <f>COUNTIF(System_configuration!B:B,A14)</f>
        <v>0</v>
      </c>
    </row>
    <row r="15" spans="1:10" s="29" customFormat="1" ht="216.75" x14ac:dyDescent="0.2">
      <c r="A15" s="83" t="s">
        <v>1301</v>
      </c>
      <c r="B15" s="43" t="s">
        <v>1534</v>
      </c>
      <c r="C15" s="39">
        <v>200</v>
      </c>
      <c r="D15" s="37" t="s">
        <v>1302</v>
      </c>
      <c r="E15" s="37" t="s">
        <v>1303</v>
      </c>
      <c r="F15" s="39">
        <v>122</v>
      </c>
      <c r="G15" s="49"/>
      <c r="H15" s="49"/>
      <c r="I15" s="49"/>
      <c r="J15" s="40">
        <f>COUNTIF(System_configuration!B:B,A15)</f>
        <v>0</v>
      </c>
    </row>
    <row r="16" spans="1:10" s="29" customFormat="1" x14ac:dyDescent="0.2">
      <c r="A16" s="83" t="s">
        <v>1304</v>
      </c>
      <c r="B16" s="43" t="s">
        <v>1534</v>
      </c>
      <c r="C16" s="39">
        <v>1750</v>
      </c>
      <c r="D16" s="37" t="s">
        <v>1305</v>
      </c>
      <c r="E16" s="37" t="s">
        <v>1306</v>
      </c>
      <c r="F16" s="39">
        <v>49</v>
      </c>
      <c r="G16" s="49" t="s">
        <v>3569</v>
      </c>
      <c r="H16" s="49" t="s">
        <v>3569</v>
      </c>
      <c r="I16" s="49" t="s">
        <v>3569</v>
      </c>
      <c r="J16" s="40">
        <f>COUNTIF(System_configuration!B:B,A16)</f>
        <v>0</v>
      </c>
    </row>
    <row r="17" spans="1:10" s="29" customFormat="1" x14ac:dyDescent="0.2">
      <c r="A17" s="83" t="s">
        <v>1253</v>
      </c>
      <c r="B17" s="43" t="s">
        <v>1534</v>
      </c>
      <c r="C17" s="39">
        <v>2000</v>
      </c>
      <c r="D17" s="37" t="s">
        <v>1307</v>
      </c>
      <c r="E17" s="37" t="s">
        <v>1308</v>
      </c>
      <c r="F17" s="39">
        <v>44</v>
      </c>
      <c r="G17" s="49" t="s">
        <v>3569</v>
      </c>
      <c r="H17" s="49" t="s">
        <v>3569</v>
      </c>
      <c r="I17" s="49" t="s">
        <v>3569</v>
      </c>
      <c r="J17" s="40">
        <f>COUNTIF(System_configuration!B:B,A17)</f>
        <v>0</v>
      </c>
    </row>
    <row r="18" spans="1:10" s="29" customFormat="1" ht="25.5" x14ac:dyDescent="0.2">
      <c r="A18" s="83" t="s">
        <v>263</v>
      </c>
      <c r="B18" s="43" t="s">
        <v>1534</v>
      </c>
      <c r="C18" s="39">
        <v>500</v>
      </c>
      <c r="D18" s="37" t="s">
        <v>726</v>
      </c>
      <c r="E18" s="37" t="s">
        <v>1013</v>
      </c>
      <c r="F18" s="39">
        <v>12</v>
      </c>
      <c r="G18" s="49" t="s">
        <v>3567</v>
      </c>
      <c r="H18" s="49" t="s">
        <v>3567</v>
      </c>
      <c r="I18" s="49" t="s">
        <v>3567</v>
      </c>
      <c r="J18" s="40">
        <f>COUNTIF(System_configuration!B:B,A18)</f>
        <v>0</v>
      </c>
    </row>
    <row r="19" spans="1:10" s="29" customFormat="1" x14ac:dyDescent="0.2">
      <c r="A19" s="83" t="s">
        <v>1309</v>
      </c>
      <c r="B19" s="43" t="s">
        <v>1534</v>
      </c>
      <c r="C19" s="39">
        <v>1750</v>
      </c>
      <c r="D19" s="37" t="s">
        <v>1310</v>
      </c>
      <c r="E19" s="37" t="s">
        <v>1311</v>
      </c>
      <c r="F19" s="39">
        <v>49</v>
      </c>
      <c r="G19" s="49" t="s">
        <v>3569</v>
      </c>
      <c r="H19" s="49" t="s">
        <v>3569</v>
      </c>
      <c r="I19" s="49" t="s">
        <v>3569</v>
      </c>
      <c r="J19" s="40">
        <f>COUNTIF(System_configuration!B:B,A19)</f>
        <v>0</v>
      </c>
    </row>
    <row r="20" spans="1:10" s="29" customFormat="1" x14ac:dyDescent="0.2">
      <c r="A20" s="83" t="s">
        <v>1312</v>
      </c>
      <c r="B20" s="43" t="s">
        <v>1534</v>
      </c>
      <c r="C20" s="39">
        <v>500</v>
      </c>
      <c r="D20" s="37" t="s">
        <v>1313</v>
      </c>
      <c r="E20" s="37" t="s">
        <v>1314</v>
      </c>
      <c r="F20" s="39">
        <v>49</v>
      </c>
      <c r="G20" s="49" t="s">
        <v>3569</v>
      </c>
      <c r="H20" s="49" t="s">
        <v>3569</v>
      </c>
      <c r="I20" s="49" t="s">
        <v>3569</v>
      </c>
      <c r="J20" s="40">
        <f>COUNTIF(System_configuration!B:B,A20)</f>
        <v>0</v>
      </c>
    </row>
    <row r="21" spans="1:10" s="29" customFormat="1" x14ac:dyDescent="0.2">
      <c r="A21" s="83" t="s">
        <v>1315</v>
      </c>
      <c r="B21" s="43" t="s">
        <v>1534</v>
      </c>
      <c r="C21" s="39">
        <v>1750</v>
      </c>
      <c r="D21" s="37" t="s">
        <v>1316</v>
      </c>
      <c r="E21" s="37" t="s">
        <v>1317</v>
      </c>
      <c r="F21" s="39">
        <v>49</v>
      </c>
      <c r="G21" s="49" t="s">
        <v>3569</v>
      </c>
      <c r="H21" s="49" t="s">
        <v>3569</v>
      </c>
      <c r="I21" s="49" t="s">
        <v>3569</v>
      </c>
      <c r="J21" s="40">
        <f>COUNTIF(System_configuration!B:B,A21)</f>
        <v>0</v>
      </c>
    </row>
    <row r="22" spans="1:10" s="29" customFormat="1" x14ac:dyDescent="0.2">
      <c r="A22" s="83" t="s">
        <v>1318</v>
      </c>
      <c r="B22" s="43" t="s">
        <v>1534</v>
      </c>
      <c r="C22" s="39">
        <v>500</v>
      </c>
      <c r="D22" s="37" t="s">
        <v>1319</v>
      </c>
      <c r="E22" s="37" t="s">
        <v>1320</v>
      </c>
      <c r="F22" s="39">
        <v>49</v>
      </c>
      <c r="G22" s="49" t="s">
        <v>3569</v>
      </c>
      <c r="H22" s="49" t="s">
        <v>3569</v>
      </c>
      <c r="I22" s="49" t="s">
        <v>3569</v>
      </c>
      <c r="J22" s="40">
        <f>COUNTIF(System_configuration!B:B,A22)</f>
        <v>0</v>
      </c>
    </row>
    <row r="23" spans="1:10" s="29" customFormat="1" x14ac:dyDescent="0.2">
      <c r="A23" s="83" t="s">
        <v>1321</v>
      </c>
      <c r="B23" s="43" t="s">
        <v>1534</v>
      </c>
      <c r="C23" s="39">
        <v>1750</v>
      </c>
      <c r="D23" s="37" t="s">
        <v>1322</v>
      </c>
      <c r="E23" s="37" t="s">
        <v>1323</v>
      </c>
      <c r="F23" s="39">
        <v>49</v>
      </c>
      <c r="G23" s="49" t="s">
        <v>3569</v>
      </c>
      <c r="H23" s="49" t="s">
        <v>3569</v>
      </c>
      <c r="I23" s="49" t="s">
        <v>3569</v>
      </c>
      <c r="J23" s="40">
        <f>COUNTIF(System_configuration!B:B,A23)</f>
        <v>0</v>
      </c>
    </row>
    <row r="24" spans="1:10" s="29" customFormat="1" x14ac:dyDescent="0.2">
      <c r="A24" s="83" t="s">
        <v>1324</v>
      </c>
      <c r="B24" s="43" t="s">
        <v>1534</v>
      </c>
      <c r="C24" s="39">
        <v>500</v>
      </c>
      <c r="D24" s="37" t="s">
        <v>1325</v>
      </c>
      <c r="E24" s="37" t="s">
        <v>1326</v>
      </c>
      <c r="F24" s="39">
        <v>49</v>
      </c>
      <c r="G24" s="49" t="s">
        <v>3569</v>
      </c>
      <c r="H24" s="49" t="s">
        <v>3569</v>
      </c>
      <c r="I24" s="49" t="s">
        <v>3569</v>
      </c>
      <c r="J24" s="40">
        <f>COUNTIF(System_configuration!B:B,A24)</f>
        <v>0</v>
      </c>
    </row>
    <row r="25" spans="1:10" s="29" customFormat="1" x14ac:dyDescent="0.2">
      <c r="A25" s="83" t="s">
        <v>1327</v>
      </c>
      <c r="B25" s="43" t="s">
        <v>1534</v>
      </c>
      <c r="C25" s="39">
        <v>1750</v>
      </c>
      <c r="D25" s="37" t="s">
        <v>1328</v>
      </c>
      <c r="E25" s="37" t="s">
        <v>1329</v>
      </c>
      <c r="F25" s="39">
        <v>49</v>
      </c>
      <c r="G25" s="49" t="s">
        <v>3569</v>
      </c>
      <c r="H25" s="49" t="s">
        <v>3569</v>
      </c>
      <c r="I25" s="49" t="s">
        <v>3569</v>
      </c>
      <c r="J25" s="40">
        <f>COUNTIF(System_configuration!B:B,A25)</f>
        <v>0</v>
      </c>
    </row>
    <row r="26" spans="1:10" s="29" customFormat="1" x14ac:dyDescent="0.2">
      <c r="A26" s="83" t="s">
        <v>1330</v>
      </c>
      <c r="B26" s="43" t="s">
        <v>1534</v>
      </c>
      <c r="C26" s="39">
        <v>1000</v>
      </c>
      <c r="D26" s="37" t="s">
        <v>1331</v>
      </c>
      <c r="E26" s="37" t="s">
        <v>1332</v>
      </c>
      <c r="F26" s="39">
        <v>44</v>
      </c>
      <c r="G26" s="49" t="s">
        <v>3569</v>
      </c>
      <c r="H26" s="49" t="s">
        <v>3569</v>
      </c>
      <c r="I26" s="49"/>
      <c r="J26" s="40">
        <f>COUNTIF(System_configuration!B:B,A26)</f>
        <v>0</v>
      </c>
    </row>
    <row r="27" spans="1:10" s="29" customFormat="1" ht="25.5" x14ac:dyDescent="0.2">
      <c r="A27" s="83" t="s">
        <v>1333</v>
      </c>
      <c r="B27" s="43" t="s">
        <v>1534</v>
      </c>
      <c r="C27" s="39">
        <v>1750</v>
      </c>
      <c r="D27" s="37" t="s">
        <v>1334</v>
      </c>
      <c r="E27" s="37" t="s">
        <v>1335</v>
      </c>
      <c r="F27" s="39">
        <v>49</v>
      </c>
      <c r="G27" s="49" t="s">
        <v>3569</v>
      </c>
      <c r="H27" s="49" t="s">
        <v>3569</v>
      </c>
      <c r="I27" s="49" t="s">
        <v>3569</v>
      </c>
      <c r="J27" s="40">
        <f>COUNTIF(System_configuration!B:B,A27)</f>
        <v>0</v>
      </c>
    </row>
    <row r="28" spans="1:10" s="29" customFormat="1" x14ac:dyDescent="0.2">
      <c r="A28" s="83" t="s">
        <v>1336</v>
      </c>
      <c r="B28" s="43" t="s">
        <v>1534</v>
      </c>
      <c r="C28" s="39">
        <v>1750</v>
      </c>
      <c r="D28" s="37" t="s">
        <v>1337</v>
      </c>
      <c r="E28" s="37" t="s">
        <v>1338</v>
      </c>
      <c r="F28" s="39">
        <v>49</v>
      </c>
      <c r="G28" s="49" t="s">
        <v>3569</v>
      </c>
      <c r="H28" s="49" t="s">
        <v>3569</v>
      </c>
      <c r="I28" s="49" t="s">
        <v>3569</v>
      </c>
      <c r="J28" s="40">
        <f>COUNTIF(System_configuration!B:B,A28)</f>
        <v>0</v>
      </c>
    </row>
    <row r="29" spans="1:10" s="29" customFormat="1" x14ac:dyDescent="0.2">
      <c r="A29" s="83" t="s">
        <v>1339</v>
      </c>
      <c r="B29" s="43" t="s">
        <v>1534</v>
      </c>
      <c r="C29" s="39">
        <v>1750</v>
      </c>
      <c r="D29" s="37" t="s">
        <v>1340</v>
      </c>
      <c r="E29" s="37" t="s">
        <v>1341</v>
      </c>
      <c r="F29" s="39">
        <v>49</v>
      </c>
      <c r="G29" s="49" t="s">
        <v>3569</v>
      </c>
      <c r="H29" s="49" t="s">
        <v>3569</v>
      </c>
      <c r="I29" s="49" t="s">
        <v>3569</v>
      </c>
      <c r="J29" s="40">
        <f>COUNTIF(System_configuration!B:B,A29)</f>
        <v>0</v>
      </c>
    </row>
    <row r="30" spans="1:10" s="29" customFormat="1" x14ac:dyDescent="0.2">
      <c r="A30" s="83" t="s">
        <v>1342</v>
      </c>
      <c r="B30" s="43" t="s">
        <v>1534</v>
      </c>
      <c r="C30" s="39">
        <v>500</v>
      </c>
      <c r="D30" s="37" t="s">
        <v>1343</v>
      </c>
      <c r="E30" s="37" t="s">
        <v>1344</v>
      </c>
      <c r="F30" s="39">
        <v>49</v>
      </c>
      <c r="G30" s="49" t="s">
        <v>3569</v>
      </c>
      <c r="H30" s="49" t="s">
        <v>3569</v>
      </c>
      <c r="I30" s="49" t="s">
        <v>3569</v>
      </c>
      <c r="J30" s="40">
        <f>COUNTIF(System_configuration!B:B,A30)</f>
        <v>0</v>
      </c>
    </row>
    <row r="31" spans="1:10" s="29" customFormat="1" x14ac:dyDescent="0.2">
      <c r="A31" s="83" t="s">
        <v>1345</v>
      </c>
      <c r="B31" s="43" t="s">
        <v>1534</v>
      </c>
      <c r="C31" s="39">
        <v>1750</v>
      </c>
      <c r="D31" s="37" t="s">
        <v>1346</v>
      </c>
      <c r="E31" s="37" t="s">
        <v>1347</v>
      </c>
      <c r="F31" s="39">
        <v>49</v>
      </c>
      <c r="G31" s="49" t="s">
        <v>3569</v>
      </c>
      <c r="H31" s="49" t="s">
        <v>3569</v>
      </c>
      <c r="I31" s="49" t="s">
        <v>3569</v>
      </c>
      <c r="J31" s="40">
        <f>COUNTIF(System_configuration!B:B,A31)</f>
        <v>0</v>
      </c>
    </row>
    <row r="32" spans="1:10" s="29" customFormat="1" x14ac:dyDescent="0.2">
      <c r="A32" s="83" t="s">
        <v>1348</v>
      </c>
      <c r="B32" s="43" t="s">
        <v>1534</v>
      </c>
      <c r="C32" s="39">
        <v>1000</v>
      </c>
      <c r="D32" s="37" t="s">
        <v>1349</v>
      </c>
      <c r="E32" s="37" t="s">
        <v>1350</v>
      </c>
      <c r="F32" s="39">
        <v>44</v>
      </c>
      <c r="G32" s="49" t="s">
        <v>3569</v>
      </c>
      <c r="H32" s="49" t="s">
        <v>3569</v>
      </c>
      <c r="I32" s="49"/>
      <c r="J32" s="40">
        <f>COUNTIF(System_configuration!B:B,A32)</f>
        <v>0</v>
      </c>
    </row>
    <row r="33" spans="1:10" s="29" customFormat="1" ht="25.5" x14ac:dyDescent="0.2">
      <c r="A33" s="83" t="s">
        <v>1351</v>
      </c>
      <c r="B33" s="43" t="s">
        <v>1534</v>
      </c>
      <c r="C33" s="39">
        <v>1000</v>
      </c>
      <c r="D33" s="37" t="s">
        <v>1352</v>
      </c>
      <c r="E33" s="37" t="s">
        <v>1353</v>
      </c>
      <c r="F33" s="39">
        <v>44</v>
      </c>
      <c r="G33" s="49" t="s">
        <v>3569</v>
      </c>
      <c r="H33" s="49" t="s">
        <v>3569</v>
      </c>
      <c r="I33" s="49"/>
      <c r="J33" s="40">
        <f>COUNTIF(System_configuration!B:B,A33)</f>
        <v>0</v>
      </c>
    </row>
    <row r="34" spans="1:10" s="29" customFormat="1" x14ac:dyDescent="0.2">
      <c r="A34" s="83" t="s">
        <v>1354</v>
      </c>
      <c r="B34" s="43" t="s">
        <v>1534</v>
      </c>
      <c r="C34" s="39">
        <v>1750</v>
      </c>
      <c r="D34" s="37" t="s">
        <v>1355</v>
      </c>
      <c r="E34" s="37" t="s">
        <v>1356</v>
      </c>
      <c r="F34" s="39">
        <v>49</v>
      </c>
      <c r="G34" s="49" t="s">
        <v>3569</v>
      </c>
      <c r="H34" s="49" t="s">
        <v>3569</v>
      </c>
      <c r="I34" s="49" t="s">
        <v>3569</v>
      </c>
      <c r="J34" s="40">
        <f>COUNTIF(System_configuration!B:B,A34)</f>
        <v>0</v>
      </c>
    </row>
    <row r="35" spans="1:10" s="29" customFormat="1" x14ac:dyDescent="0.2">
      <c r="A35" s="83" t="s">
        <v>1357</v>
      </c>
      <c r="B35" s="43" t="s">
        <v>1534</v>
      </c>
      <c r="C35" s="39">
        <v>500</v>
      </c>
      <c r="D35" s="37" t="s">
        <v>1358</v>
      </c>
      <c r="E35" s="37" t="s">
        <v>1359</v>
      </c>
      <c r="F35" s="39">
        <v>49</v>
      </c>
      <c r="G35" s="49" t="s">
        <v>3569</v>
      </c>
      <c r="H35" s="49" t="s">
        <v>3569</v>
      </c>
      <c r="I35" s="49" t="s">
        <v>3569</v>
      </c>
      <c r="J35" s="40">
        <f>COUNTIF(System_configuration!B:B,A35)</f>
        <v>0</v>
      </c>
    </row>
    <row r="36" spans="1:10" s="29" customFormat="1" x14ac:dyDescent="0.2">
      <c r="A36" s="83" t="s">
        <v>1360</v>
      </c>
      <c r="B36" s="43" t="s">
        <v>1534</v>
      </c>
      <c r="C36" s="39">
        <v>1750</v>
      </c>
      <c r="D36" s="37" t="s">
        <v>1361</v>
      </c>
      <c r="E36" s="37" t="s">
        <v>1362</v>
      </c>
      <c r="F36" s="39">
        <v>49</v>
      </c>
      <c r="G36" s="49" t="s">
        <v>3569</v>
      </c>
      <c r="H36" s="49" t="s">
        <v>3569</v>
      </c>
      <c r="I36" s="49" t="s">
        <v>3569</v>
      </c>
      <c r="J36" s="40">
        <f>COUNTIF(System_configuration!B:B,A36)</f>
        <v>0</v>
      </c>
    </row>
    <row r="37" spans="1:10" s="29" customFormat="1" x14ac:dyDescent="0.2">
      <c r="A37" s="83" t="s">
        <v>1363</v>
      </c>
      <c r="B37" s="43" t="s">
        <v>1534</v>
      </c>
      <c r="C37" s="39">
        <v>1000</v>
      </c>
      <c r="D37" s="37" t="s">
        <v>1364</v>
      </c>
      <c r="E37" s="37" t="s">
        <v>1365</v>
      </c>
      <c r="F37" s="39">
        <v>44</v>
      </c>
      <c r="G37" s="49" t="s">
        <v>3569</v>
      </c>
      <c r="H37" s="49" t="s">
        <v>3569</v>
      </c>
      <c r="I37" s="49"/>
      <c r="J37" s="40">
        <f>COUNTIF(System_configuration!B:B,A37)</f>
        <v>0</v>
      </c>
    </row>
    <row r="38" spans="1:10" s="29" customFormat="1" x14ac:dyDescent="0.2">
      <c r="A38" s="83" t="s">
        <v>1366</v>
      </c>
      <c r="B38" s="43" t="s">
        <v>1534</v>
      </c>
      <c r="C38" s="39">
        <v>1750</v>
      </c>
      <c r="D38" s="37" t="s">
        <v>1367</v>
      </c>
      <c r="E38" s="37" t="s">
        <v>1368</v>
      </c>
      <c r="F38" s="39">
        <v>49</v>
      </c>
      <c r="G38" s="49" t="s">
        <v>3569</v>
      </c>
      <c r="H38" s="49" t="s">
        <v>3569</v>
      </c>
      <c r="I38" s="49" t="s">
        <v>3569</v>
      </c>
      <c r="J38" s="40">
        <f>COUNTIF(System_configuration!B:B,A38)</f>
        <v>0</v>
      </c>
    </row>
    <row r="39" spans="1:10" s="29" customFormat="1" x14ac:dyDescent="0.2">
      <c r="A39" s="83" t="s">
        <v>1369</v>
      </c>
      <c r="B39" s="43" t="s">
        <v>1534</v>
      </c>
      <c r="C39" s="39">
        <v>1000</v>
      </c>
      <c r="D39" s="37" t="s">
        <v>1370</v>
      </c>
      <c r="E39" s="37" t="s">
        <v>1371</v>
      </c>
      <c r="F39" s="39">
        <v>44</v>
      </c>
      <c r="G39" s="49" t="s">
        <v>3569</v>
      </c>
      <c r="H39" s="49" t="s">
        <v>3569</v>
      </c>
      <c r="I39" s="49"/>
      <c r="J39" s="40">
        <f>COUNTIF(System_configuration!B:B,A39)</f>
        <v>0</v>
      </c>
    </row>
    <row r="40" spans="1:10" s="29" customFormat="1" x14ac:dyDescent="0.2">
      <c r="A40" s="83" t="s">
        <v>1372</v>
      </c>
      <c r="B40" s="43" t="s">
        <v>1534</v>
      </c>
      <c r="C40" s="39">
        <v>1750</v>
      </c>
      <c r="D40" s="37" t="s">
        <v>1373</v>
      </c>
      <c r="E40" s="37" t="s">
        <v>1374</v>
      </c>
      <c r="F40" s="39">
        <v>49</v>
      </c>
      <c r="G40" s="49" t="s">
        <v>3569</v>
      </c>
      <c r="H40" s="49" t="s">
        <v>3569</v>
      </c>
      <c r="I40" s="49" t="s">
        <v>3569</v>
      </c>
      <c r="J40" s="40">
        <f>COUNTIF(System_configuration!B:B,A40)</f>
        <v>0</v>
      </c>
    </row>
    <row r="41" spans="1:10" s="29" customFormat="1" x14ac:dyDescent="0.2">
      <c r="A41" s="83" t="s">
        <v>1375</v>
      </c>
      <c r="B41" s="43" t="s">
        <v>1534</v>
      </c>
      <c r="C41" s="39">
        <v>1000</v>
      </c>
      <c r="D41" s="37" t="s">
        <v>1376</v>
      </c>
      <c r="E41" s="37" t="s">
        <v>1377</v>
      </c>
      <c r="F41" s="39">
        <v>44</v>
      </c>
      <c r="G41" s="49" t="s">
        <v>3569</v>
      </c>
      <c r="H41" s="49" t="s">
        <v>3569</v>
      </c>
      <c r="I41" s="49"/>
      <c r="J41" s="40">
        <f>COUNTIF(System_configuration!B:B,A41)</f>
        <v>0</v>
      </c>
    </row>
    <row r="42" spans="1:10" s="29" customFormat="1" x14ac:dyDescent="0.2">
      <c r="A42" s="83" t="s">
        <v>1378</v>
      </c>
      <c r="B42" s="43" t="s">
        <v>1534</v>
      </c>
      <c r="C42" s="39">
        <v>1750</v>
      </c>
      <c r="D42" s="37" t="s">
        <v>1379</v>
      </c>
      <c r="E42" s="37" t="s">
        <v>1380</v>
      </c>
      <c r="F42" s="39">
        <v>49</v>
      </c>
      <c r="G42" s="49" t="s">
        <v>3569</v>
      </c>
      <c r="H42" s="49" t="s">
        <v>3569</v>
      </c>
      <c r="I42" s="49" t="s">
        <v>3569</v>
      </c>
      <c r="J42" s="40">
        <f>COUNTIF(System_configuration!B:B,A42)</f>
        <v>0</v>
      </c>
    </row>
    <row r="43" spans="1:10" s="29" customFormat="1" ht="25.5" x14ac:dyDescent="0.2">
      <c r="A43" s="83" t="s">
        <v>1381</v>
      </c>
      <c r="B43" s="43" t="s">
        <v>1534</v>
      </c>
      <c r="C43" s="39">
        <v>1750</v>
      </c>
      <c r="D43" s="37" t="s">
        <v>1382</v>
      </c>
      <c r="E43" s="37" t="s">
        <v>1383</v>
      </c>
      <c r="F43" s="39">
        <v>49</v>
      </c>
      <c r="G43" s="49" t="s">
        <v>3569</v>
      </c>
      <c r="H43" s="49" t="s">
        <v>3569</v>
      </c>
      <c r="I43" s="49" t="s">
        <v>3569</v>
      </c>
      <c r="J43" s="40">
        <f>COUNTIF(System_configuration!B:B,A43)</f>
        <v>0</v>
      </c>
    </row>
    <row r="44" spans="1:10" s="29" customFormat="1" x14ac:dyDescent="0.2">
      <c r="A44" s="83" t="s">
        <v>1384</v>
      </c>
      <c r="B44" s="43" t="s">
        <v>1534</v>
      </c>
      <c r="C44" s="39">
        <v>1750</v>
      </c>
      <c r="D44" s="37" t="s">
        <v>1385</v>
      </c>
      <c r="E44" s="37" t="s">
        <v>1386</v>
      </c>
      <c r="F44" s="39">
        <v>49</v>
      </c>
      <c r="G44" s="49" t="s">
        <v>3569</v>
      </c>
      <c r="H44" s="49" t="s">
        <v>3569</v>
      </c>
      <c r="I44" s="49" t="s">
        <v>3569</v>
      </c>
      <c r="J44" s="40">
        <f>COUNTIF(System_configuration!B:B,A44)</f>
        <v>0</v>
      </c>
    </row>
    <row r="45" spans="1:10" s="29" customFormat="1" x14ac:dyDescent="0.2">
      <c r="A45" s="83" t="s">
        <v>1387</v>
      </c>
      <c r="B45" s="43" t="s">
        <v>1534</v>
      </c>
      <c r="C45" s="39">
        <v>1750</v>
      </c>
      <c r="D45" s="37" t="s">
        <v>1388</v>
      </c>
      <c r="E45" s="37" t="s">
        <v>1389</v>
      </c>
      <c r="F45" s="39">
        <v>49</v>
      </c>
      <c r="G45" s="49" t="s">
        <v>3569</v>
      </c>
      <c r="H45" s="49" t="s">
        <v>3569</v>
      </c>
      <c r="I45" s="49" t="s">
        <v>3569</v>
      </c>
      <c r="J45" s="40">
        <f>COUNTIF(System_configuration!B:B,A45)</f>
        <v>0</v>
      </c>
    </row>
    <row r="46" spans="1:10" s="29" customFormat="1" ht="25.5" x14ac:dyDescent="0.2">
      <c r="A46" s="83" t="s">
        <v>1390</v>
      </c>
      <c r="B46" s="43" t="s">
        <v>1534</v>
      </c>
      <c r="C46" s="39">
        <v>1750</v>
      </c>
      <c r="D46" s="37" t="s">
        <v>1391</v>
      </c>
      <c r="E46" s="37" t="s">
        <v>1392</v>
      </c>
      <c r="F46" s="39">
        <v>49</v>
      </c>
      <c r="G46" s="49" t="s">
        <v>3569</v>
      </c>
      <c r="H46" s="49" t="s">
        <v>3569</v>
      </c>
      <c r="I46" s="49" t="s">
        <v>3569</v>
      </c>
      <c r="J46" s="40">
        <f>COUNTIF(System_configuration!B:B,A46)</f>
        <v>0</v>
      </c>
    </row>
    <row r="47" spans="1:10" s="29" customFormat="1" x14ac:dyDescent="0.2">
      <c r="A47" s="83" t="s">
        <v>1393</v>
      </c>
      <c r="B47" s="43" t="s">
        <v>1534</v>
      </c>
      <c r="C47" s="39">
        <v>1000</v>
      </c>
      <c r="D47" s="37" t="s">
        <v>1394</v>
      </c>
      <c r="E47" s="37" t="s">
        <v>1395</v>
      </c>
      <c r="F47" s="39">
        <v>44</v>
      </c>
      <c r="G47" s="49" t="s">
        <v>3569</v>
      </c>
      <c r="H47" s="49" t="s">
        <v>3569</v>
      </c>
      <c r="I47" s="49"/>
      <c r="J47" s="40">
        <f>COUNTIF(System_configuration!B:B,A47)</f>
        <v>0</v>
      </c>
    </row>
    <row r="48" spans="1:10" s="29" customFormat="1" x14ac:dyDescent="0.2">
      <c r="A48" s="83" t="s">
        <v>1396</v>
      </c>
      <c r="B48" s="43" t="s">
        <v>1534</v>
      </c>
      <c r="C48" s="39">
        <v>1750</v>
      </c>
      <c r="D48" s="37" t="s">
        <v>1397</v>
      </c>
      <c r="E48" s="37" t="s">
        <v>1398</v>
      </c>
      <c r="F48" s="39">
        <v>44</v>
      </c>
      <c r="G48" s="49" t="s">
        <v>3569</v>
      </c>
      <c r="H48" s="49" t="s">
        <v>3569</v>
      </c>
      <c r="I48" s="49"/>
      <c r="J48" s="40">
        <f>COUNTIF(System_configuration!B:B,A48)</f>
        <v>0</v>
      </c>
    </row>
    <row r="49" spans="1:10" s="29" customFormat="1" x14ac:dyDescent="0.2">
      <c r="A49" s="83" t="s">
        <v>1399</v>
      </c>
      <c r="B49" s="43" t="s">
        <v>1534</v>
      </c>
      <c r="C49" s="39">
        <v>1000</v>
      </c>
      <c r="D49" s="37" t="s">
        <v>1400</v>
      </c>
      <c r="E49" s="37" t="s">
        <v>1401</v>
      </c>
      <c r="F49" s="39">
        <v>44</v>
      </c>
      <c r="G49" s="49" t="s">
        <v>3569</v>
      </c>
      <c r="H49" s="49" t="s">
        <v>3569</v>
      </c>
      <c r="I49" s="49"/>
      <c r="J49" s="40">
        <f>COUNTIF(System_configuration!B:B,A49)</f>
        <v>0</v>
      </c>
    </row>
    <row r="50" spans="1:10" s="29" customFormat="1" ht="38.25" x14ac:dyDescent="0.2">
      <c r="A50" s="83" t="s">
        <v>1402</v>
      </c>
      <c r="B50" s="43" t="s">
        <v>1534</v>
      </c>
      <c r="C50" s="39">
        <v>1750</v>
      </c>
      <c r="D50" s="37" t="s">
        <v>1403</v>
      </c>
      <c r="E50" s="37" t="s">
        <v>1404</v>
      </c>
      <c r="F50" s="39">
        <v>49</v>
      </c>
      <c r="G50" s="49" t="s">
        <v>3569</v>
      </c>
      <c r="H50" s="49" t="s">
        <v>3569</v>
      </c>
      <c r="I50" s="49" t="s">
        <v>3569</v>
      </c>
      <c r="J50" s="40">
        <f>COUNTIF(System_configuration!B:B,A50)</f>
        <v>0</v>
      </c>
    </row>
    <row r="51" spans="1:10" s="29" customFormat="1" x14ac:dyDescent="0.2">
      <c r="A51" s="83" t="s">
        <v>1405</v>
      </c>
      <c r="B51" s="43" t="s">
        <v>1534</v>
      </c>
      <c r="C51" s="39">
        <v>1750</v>
      </c>
      <c r="D51" s="37" t="s">
        <v>1406</v>
      </c>
      <c r="E51" s="37" t="s">
        <v>1407</v>
      </c>
      <c r="F51" s="39">
        <v>49</v>
      </c>
      <c r="G51" s="49" t="s">
        <v>3569</v>
      </c>
      <c r="H51" s="49" t="s">
        <v>3569</v>
      </c>
      <c r="I51" s="49" t="s">
        <v>3569</v>
      </c>
      <c r="J51" s="40">
        <f>COUNTIF(System_configuration!B:B,A51)</f>
        <v>0</v>
      </c>
    </row>
    <row r="52" spans="1:10" s="29" customFormat="1" x14ac:dyDescent="0.2">
      <c r="A52" s="83" t="s">
        <v>1408</v>
      </c>
      <c r="B52" s="43" t="s">
        <v>1534</v>
      </c>
      <c r="C52" s="39">
        <v>1750</v>
      </c>
      <c r="D52" s="37" t="s">
        <v>1409</v>
      </c>
      <c r="E52" s="37" t="s">
        <v>1410</v>
      </c>
      <c r="F52" s="39">
        <v>49</v>
      </c>
      <c r="G52" s="49" t="s">
        <v>3569</v>
      </c>
      <c r="H52" s="49" t="s">
        <v>3569</v>
      </c>
      <c r="I52" s="49" t="s">
        <v>3569</v>
      </c>
      <c r="J52" s="40">
        <f>COUNTIF(System_configuration!B:B,A52)</f>
        <v>0</v>
      </c>
    </row>
    <row r="53" spans="1:10" s="29" customFormat="1" x14ac:dyDescent="0.2">
      <c r="A53" s="83" t="s">
        <v>1411</v>
      </c>
      <c r="B53" s="43" t="s">
        <v>1534</v>
      </c>
      <c r="C53" s="39">
        <v>1750</v>
      </c>
      <c r="D53" s="37" t="s">
        <v>1412</v>
      </c>
      <c r="E53" s="37" t="s">
        <v>1413</v>
      </c>
      <c r="F53" s="39">
        <v>49</v>
      </c>
      <c r="G53" s="49" t="s">
        <v>3569</v>
      </c>
      <c r="H53" s="49" t="s">
        <v>3569</v>
      </c>
      <c r="I53" s="49" t="s">
        <v>3569</v>
      </c>
      <c r="J53" s="40">
        <f>COUNTIF(System_configuration!B:B,A53)</f>
        <v>0</v>
      </c>
    </row>
    <row r="54" spans="1:10" s="29" customFormat="1" ht="25.5" x14ac:dyDescent="0.2">
      <c r="A54" s="83" t="s">
        <v>1414</v>
      </c>
      <c r="B54" s="43" t="s">
        <v>1534</v>
      </c>
      <c r="C54" s="39">
        <v>1450</v>
      </c>
      <c r="D54" s="37" t="s">
        <v>1415</v>
      </c>
      <c r="E54" s="37" t="s">
        <v>1416</v>
      </c>
      <c r="F54" s="39">
        <v>81</v>
      </c>
      <c r="G54" s="49" t="s">
        <v>3569</v>
      </c>
      <c r="H54" s="49" t="s">
        <v>3569</v>
      </c>
      <c r="I54" s="49" t="s">
        <v>3569</v>
      </c>
      <c r="J54" s="40">
        <f>COUNTIF(System_configuration!B:B,A54)</f>
        <v>0</v>
      </c>
    </row>
    <row r="55" spans="1:10" s="29" customFormat="1" ht="25.5" x14ac:dyDescent="0.2">
      <c r="A55" s="83" t="s">
        <v>1417</v>
      </c>
      <c r="B55" s="43" t="s">
        <v>1534</v>
      </c>
      <c r="C55" s="39">
        <v>1450</v>
      </c>
      <c r="D55" s="37" t="s">
        <v>1418</v>
      </c>
      <c r="E55" s="37" t="s">
        <v>1419</v>
      </c>
      <c r="F55" s="39">
        <v>81</v>
      </c>
      <c r="G55" s="49" t="s">
        <v>3569</v>
      </c>
      <c r="H55" s="49" t="s">
        <v>3569</v>
      </c>
      <c r="I55" s="49" t="s">
        <v>3569</v>
      </c>
      <c r="J55" s="40">
        <f>COUNTIF(System_configuration!B:B,A55)</f>
        <v>0</v>
      </c>
    </row>
    <row r="56" spans="1:10" s="29" customFormat="1" ht="25.5" x14ac:dyDescent="0.2">
      <c r="A56" s="83" t="s">
        <v>1420</v>
      </c>
      <c r="B56" s="43" t="s">
        <v>1534</v>
      </c>
      <c r="C56" s="39">
        <v>1450</v>
      </c>
      <c r="D56" s="37" t="s">
        <v>1421</v>
      </c>
      <c r="E56" s="37" t="s">
        <v>1422</v>
      </c>
      <c r="F56" s="39">
        <v>81</v>
      </c>
      <c r="G56" s="49" t="s">
        <v>3569</v>
      </c>
      <c r="H56" s="49" t="s">
        <v>3569</v>
      </c>
      <c r="I56" s="49" t="s">
        <v>3569</v>
      </c>
      <c r="J56" s="40">
        <f>COUNTIF(System_configuration!B:B,A56)</f>
        <v>0</v>
      </c>
    </row>
    <row r="57" spans="1:10" s="29" customFormat="1" ht="25.5" x14ac:dyDescent="0.2">
      <c r="A57" s="83" t="s">
        <v>1423</v>
      </c>
      <c r="B57" s="43" t="s">
        <v>1534</v>
      </c>
      <c r="C57" s="39">
        <v>1450</v>
      </c>
      <c r="D57" s="37" t="s">
        <v>1424</v>
      </c>
      <c r="E57" s="37" t="s">
        <v>1425</v>
      </c>
      <c r="F57" s="39">
        <v>81</v>
      </c>
      <c r="G57" s="49" t="s">
        <v>3569</v>
      </c>
      <c r="H57" s="49" t="s">
        <v>3569</v>
      </c>
      <c r="I57" s="49" t="s">
        <v>3569</v>
      </c>
      <c r="J57" s="40">
        <f>COUNTIF(System_configuration!B:B,A57)</f>
        <v>0</v>
      </c>
    </row>
    <row r="58" spans="1:10" s="29" customFormat="1" ht="25.5" x14ac:dyDescent="0.2">
      <c r="A58" s="83" t="s">
        <v>1426</v>
      </c>
      <c r="B58" s="43" t="s">
        <v>1534</v>
      </c>
      <c r="C58" s="39">
        <v>1450</v>
      </c>
      <c r="D58" s="37" t="s">
        <v>1427</v>
      </c>
      <c r="E58" s="37" t="s">
        <v>1428</v>
      </c>
      <c r="F58" s="39">
        <v>81</v>
      </c>
      <c r="G58" s="49" t="s">
        <v>3569</v>
      </c>
      <c r="H58" s="49" t="s">
        <v>3569</v>
      </c>
      <c r="I58" s="49" t="s">
        <v>3569</v>
      </c>
      <c r="J58" s="40">
        <f>COUNTIF(System_configuration!B:B,A58)</f>
        <v>0</v>
      </c>
    </row>
    <row r="59" spans="1:10" s="29" customFormat="1" x14ac:dyDescent="0.2">
      <c r="A59" s="86" t="s">
        <v>2466</v>
      </c>
      <c r="B59" s="43" t="s">
        <v>1534</v>
      </c>
      <c r="C59" s="43" t="s">
        <v>1534</v>
      </c>
      <c r="D59" s="45" t="s">
        <v>2467</v>
      </c>
      <c r="E59" s="45" t="s">
        <v>2468</v>
      </c>
      <c r="F59" s="45">
        <v>57</v>
      </c>
      <c r="G59" s="50"/>
      <c r="H59" s="50"/>
      <c r="I59" s="50"/>
      <c r="J59" s="40">
        <f>COUNTIF(System_configuration!B:B,A59)</f>
        <v>0</v>
      </c>
    </row>
    <row r="60" spans="1:10" s="29" customFormat="1" x14ac:dyDescent="0.2">
      <c r="A60" s="86" t="s">
        <v>2469</v>
      </c>
      <c r="B60" s="43" t="s">
        <v>1534</v>
      </c>
      <c r="C60" s="43" t="s">
        <v>1534</v>
      </c>
      <c r="D60" s="45" t="s">
        <v>2470</v>
      </c>
      <c r="E60" s="45" t="s">
        <v>2471</v>
      </c>
      <c r="F60" s="45">
        <v>57</v>
      </c>
      <c r="G60" s="50"/>
      <c r="H60" s="50"/>
      <c r="I60" s="50"/>
      <c r="J60" s="40">
        <f>COUNTIF(System_configuration!B:B,A60)</f>
        <v>0</v>
      </c>
    </row>
    <row r="61" spans="1:10" s="29" customFormat="1" x14ac:dyDescent="0.2">
      <c r="A61" s="86" t="s">
        <v>2472</v>
      </c>
      <c r="B61" s="43" t="s">
        <v>1534</v>
      </c>
      <c r="C61" s="43" t="s">
        <v>1534</v>
      </c>
      <c r="D61" s="45" t="s">
        <v>2473</v>
      </c>
      <c r="E61" s="45" t="s">
        <v>2474</v>
      </c>
      <c r="F61" s="45">
        <v>57</v>
      </c>
      <c r="G61" s="50"/>
      <c r="H61" s="50"/>
      <c r="I61" s="50"/>
      <c r="J61" s="40">
        <f>COUNTIF(System_configuration!B:B,A61)</f>
        <v>0</v>
      </c>
    </row>
    <row r="62" spans="1:10" s="29" customFormat="1" x14ac:dyDescent="0.2">
      <c r="A62" s="86" t="s">
        <v>2475</v>
      </c>
      <c r="B62" s="43" t="s">
        <v>1534</v>
      </c>
      <c r="C62" s="43" t="s">
        <v>1534</v>
      </c>
      <c r="D62" s="45" t="s">
        <v>2476</v>
      </c>
      <c r="E62" s="45" t="s">
        <v>2477</v>
      </c>
      <c r="F62" s="45">
        <v>57</v>
      </c>
      <c r="G62" s="50"/>
      <c r="H62" s="50"/>
      <c r="I62" s="50"/>
      <c r="J62" s="40">
        <f>COUNTIF(System_configuration!B:B,A62)</f>
        <v>0</v>
      </c>
    </row>
    <row r="63" spans="1:10" s="29" customFormat="1" x14ac:dyDescent="0.2">
      <c r="A63" s="86" t="s">
        <v>2478</v>
      </c>
      <c r="B63" s="43" t="s">
        <v>1534</v>
      </c>
      <c r="C63" s="43" t="s">
        <v>1534</v>
      </c>
      <c r="D63" s="45" t="s">
        <v>2479</v>
      </c>
      <c r="E63" s="45" t="s">
        <v>2480</v>
      </c>
      <c r="F63" s="45">
        <v>57</v>
      </c>
      <c r="G63" s="50"/>
      <c r="H63" s="50"/>
      <c r="I63" s="50"/>
      <c r="J63" s="40">
        <f>COUNTIF(System_configuration!B:B,A63)</f>
        <v>0</v>
      </c>
    </row>
    <row r="64" spans="1:10" s="29" customFormat="1" x14ac:dyDescent="0.2">
      <c r="A64" s="86" t="s">
        <v>2481</v>
      </c>
      <c r="B64" s="43" t="s">
        <v>1534</v>
      </c>
      <c r="C64" s="43" t="s">
        <v>1534</v>
      </c>
      <c r="D64" s="45" t="s">
        <v>2482</v>
      </c>
      <c r="E64" s="45" t="s">
        <v>2483</v>
      </c>
      <c r="F64" s="45">
        <v>57</v>
      </c>
      <c r="G64" s="50"/>
      <c r="H64" s="50"/>
      <c r="I64" s="50"/>
      <c r="J64" s="40">
        <f>COUNTIF(System_configuration!B:B,A64)</f>
        <v>0</v>
      </c>
    </row>
    <row r="65" spans="1:10" s="29" customFormat="1" x14ac:dyDescent="0.2">
      <c r="A65" s="86" t="s">
        <v>2484</v>
      </c>
      <c r="B65" s="43" t="s">
        <v>1534</v>
      </c>
      <c r="C65" s="43" t="s">
        <v>1534</v>
      </c>
      <c r="D65" s="45" t="s">
        <v>2485</v>
      </c>
      <c r="E65" s="45" t="s">
        <v>2486</v>
      </c>
      <c r="F65" s="45">
        <v>19</v>
      </c>
      <c r="G65" s="50"/>
      <c r="H65" s="50"/>
      <c r="I65" s="50"/>
      <c r="J65" s="40">
        <f>COUNTIF(System_configuration!B:B,A65)</f>
        <v>0</v>
      </c>
    </row>
    <row r="66" spans="1:10" s="29" customFormat="1" x14ac:dyDescent="0.2">
      <c r="A66" s="86" t="s">
        <v>2487</v>
      </c>
      <c r="B66" s="43" t="s">
        <v>1534</v>
      </c>
      <c r="C66" s="43" t="s">
        <v>1534</v>
      </c>
      <c r="D66" s="45" t="s">
        <v>2488</v>
      </c>
      <c r="E66" s="45" t="s">
        <v>2489</v>
      </c>
      <c r="F66" s="45">
        <v>19</v>
      </c>
      <c r="G66" s="50"/>
      <c r="H66" s="50"/>
      <c r="I66" s="50"/>
      <c r="J66" s="40">
        <f>COUNTIF(System_configuration!B:B,A66)</f>
        <v>0</v>
      </c>
    </row>
    <row r="67" spans="1:10" s="29" customFormat="1" x14ac:dyDescent="0.2">
      <c r="A67" s="86" t="s">
        <v>2490</v>
      </c>
      <c r="B67" s="43" t="s">
        <v>1534</v>
      </c>
      <c r="C67" s="43" t="s">
        <v>1534</v>
      </c>
      <c r="D67" s="45" t="s">
        <v>2491</v>
      </c>
      <c r="E67" s="45" t="s">
        <v>2492</v>
      </c>
      <c r="F67" s="45">
        <v>19</v>
      </c>
      <c r="G67" s="50"/>
      <c r="H67" s="50"/>
      <c r="I67" s="50"/>
      <c r="J67" s="40">
        <f>COUNTIF(System_configuration!B:B,A67)</f>
        <v>0</v>
      </c>
    </row>
    <row r="68" spans="1:10" s="29" customFormat="1" x14ac:dyDescent="0.2">
      <c r="A68" s="86" t="s">
        <v>2493</v>
      </c>
      <c r="B68" s="43" t="s">
        <v>1534</v>
      </c>
      <c r="C68" s="43" t="s">
        <v>1534</v>
      </c>
      <c r="D68" s="45" t="s">
        <v>2494</v>
      </c>
      <c r="E68" s="45" t="s">
        <v>2495</v>
      </c>
      <c r="F68" s="45">
        <v>19</v>
      </c>
      <c r="G68" s="50"/>
      <c r="H68" s="50"/>
      <c r="I68" s="50"/>
      <c r="J68" s="40">
        <f>COUNTIF(System_configuration!B:B,A68)</f>
        <v>0</v>
      </c>
    </row>
    <row r="69" spans="1:10" s="29" customFormat="1" x14ac:dyDescent="0.2">
      <c r="A69" s="86" t="s">
        <v>2496</v>
      </c>
      <c r="B69" s="43" t="s">
        <v>1534</v>
      </c>
      <c r="C69" s="43" t="s">
        <v>1534</v>
      </c>
      <c r="D69" s="45" t="s">
        <v>2497</v>
      </c>
      <c r="E69" s="45" t="s">
        <v>2498</v>
      </c>
      <c r="F69" s="45">
        <v>57</v>
      </c>
      <c r="G69" s="50"/>
      <c r="H69" s="50"/>
      <c r="I69" s="50"/>
      <c r="J69" s="40">
        <f>COUNTIF(System_configuration!B:B,A69)</f>
        <v>0</v>
      </c>
    </row>
    <row r="70" spans="1:10" s="29" customFormat="1" x14ac:dyDescent="0.2">
      <c r="A70" s="86" t="s">
        <v>2499</v>
      </c>
      <c r="B70" s="43" t="s">
        <v>1534</v>
      </c>
      <c r="C70" s="43" t="s">
        <v>1534</v>
      </c>
      <c r="D70" s="45" t="s">
        <v>2500</v>
      </c>
      <c r="E70" s="45" t="s">
        <v>2501</v>
      </c>
      <c r="F70" s="45">
        <v>57</v>
      </c>
      <c r="G70" s="50"/>
      <c r="H70" s="50"/>
      <c r="I70" s="50"/>
      <c r="J70" s="40">
        <f>COUNTIF(System_configuration!B:B,A70)</f>
        <v>0</v>
      </c>
    </row>
    <row r="71" spans="1:10" s="29" customFormat="1" x14ac:dyDescent="0.2">
      <c r="A71" s="86" t="s">
        <v>2502</v>
      </c>
      <c r="B71" s="43" t="s">
        <v>1534</v>
      </c>
      <c r="C71" s="43" t="s">
        <v>1534</v>
      </c>
      <c r="D71" s="45" t="s">
        <v>2503</v>
      </c>
      <c r="E71" s="45" t="s">
        <v>2504</v>
      </c>
      <c r="F71" s="45">
        <v>57</v>
      </c>
      <c r="G71" s="50"/>
      <c r="H71" s="50"/>
      <c r="I71" s="50"/>
      <c r="J71" s="40">
        <f>COUNTIF(System_configuration!B:B,A71)</f>
        <v>0</v>
      </c>
    </row>
    <row r="72" spans="1:10" s="29" customFormat="1" x14ac:dyDescent="0.2">
      <c r="A72" s="86" t="s">
        <v>2505</v>
      </c>
      <c r="B72" s="43" t="s">
        <v>1534</v>
      </c>
      <c r="C72" s="43" t="s">
        <v>1534</v>
      </c>
      <c r="D72" s="45" t="s">
        <v>2506</v>
      </c>
      <c r="E72" s="45" t="s">
        <v>2507</v>
      </c>
      <c r="F72" s="45">
        <v>57</v>
      </c>
      <c r="G72" s="50"/>
      <c r="H72" s="50"/>
      <c r="I72" s="50"/>
      <c r="J72" s="40">
        <f>COUNTIF(System_configuration!B:B,A72)</f>
        <v>0</v>
      </c>
    </row>
    <row r="73" spans="1:10" s="29" customFormat="1" x14ac:dyDescent="0.2">
      <c r="A73" s="86" t="s">
        <v>2508</v>
      </c>
      <c r="B73" s="43" t="s">
        <v>1534</v>
      </c>
      <c r="C73" s="43" t="s">
        <v>1534</v>
      </c>
      <c r="D73" s="45" t="s">
        <v>2509</v>
      </c>
      <c r="E73" s="45" t="s">
        <v>2510</v>
      </c>
      <c r="F73" s="45">
        <v>57</v>
      </c>
      <c r="G73" s="50"/>
      <c r="H73" s="50"/>
      <c r="I73" s="50"/>
      <c r="J73" s="40">
        <f>COUNTIF(System_configuration!B:B,A73)</f>
        <v>0</v>
      </c>
    </row>
    <row r="74" spans="1:10" s="29" customFormat="1" x14ac:dyDescent="0.2">
      <c r="A74" s="86" t="s">
        <v>2511</v>
      </c>
      <c r="B74" s="43" t="s">
        <v>1534</v>
      </c>
      <c r="C74" s="43" t="s">
        <v>1534</v>
      </c>
      <c r="D74" s="45" t="s">
        <v>2512</v>
      </c>
      <c r="E74" s="45" t="s">
        <v>2513</v>
      </c>
      <c r="F74" s="45">
        <v>57</v>
      </c>
      <c r="G74" s="50"/>
      <c r="H74" s="50"/>
      <c r="I74" s="50"/>
      <c r="J74" s="40">
        <f>COUNTIF(System_configuration!B:B,A74)</f>
        <v>0</v>
      </c>
    </row>
    <row r="75" spans="1:10" s="29" customFormat="1" x14ac:dyDescent="0.2">
      <c r="A75" s="86" t="s">
        <v>2514</v>
      </c>
      <c r="B75" s="43" t="s">
        <v>1534</v>
      </c>
      <c r="C75" s="43" t="s">
        <v>1534</v>
      </c>
      <c r="D75" s="45" t="s">
        <v>2515</v>
      </c>
      <c r="E75" s="45" t="s">
        <v>2516</v>
      </c>
      <c r="F75" s="45">
        <v>57</v>
      </c>
      <c r="G75" s="50"/>
      <c r="H75" s="50"/>
      <c r="I75" s="50"/>
      <c r="J75" s="40">
        <f>COUNTIF(System_configuration!B:B,A75)</f>
        <v>0</v>
      </c>
    </row>
    <row r="76" spans="1:10" s="29" customFormat="1" x14ac:dyDescent="0.2">
      <c r="A76" s="86" t="s">
        <v>2517</v>
      </c>
      <c r="B76" s="43" t="s">
        <v>1534</v>
      </c>
      <c r="C76" s="43" t="s">
        <v>1534</v>
      </c>
      <c r="D76" s="45" t="s">
        <v>2518</v>
      </c>
      <c r="E76" s="45" t="s">
        <v>2519</v>
      </c>
      <c r="F76" s="45">
        <v>57</v>
      </c>
      <c r="G76" s="50"/>
      <c r="H76" s="50"/>
      <c r="I76" s="50"/>
      <c r="J76" s="40">
        <f>COUNTIF(System_configuration!B:B,A76)</f>
        <v>0</v>
      </c>
    </row>
    <row r="77" spans="1:10" s="29" customFormat="1" x14ac:dyDescent="0.2">
      <c r="A77" s="86" t="s">
        <v>2520</v>
      </c>
      <c r="B77" s="43" t="s">
        <v>1534</v>
      </c>
      <c r="C77" s="43" t="s">
        <v>1534</v>
      </c>
      <c r="D77" s="45" t="s">
        <v>2521</v>
      </c>
      <c r="E77" s="45" t="s">
        <v>2522</v>
      </c>
      <c r="F77" s="45">
        <v>57</v>
      </c>
      <c r="G77" s="50"/>
      <c r="H77" s="50"/>
      <c r="I77" s="50"/>
      <c r="J77" s="40">
        <f>COUNTIF(System_configuration!B:B,A77)</f>
        <v>0</v>
      </c>
    </row>
    <row r="78" spans="1:10" s="29" customFormat="1" x14ac:dyDescent="0.2">
      <c r="A78" s="86" t="s">
        <v>2523</v>
      </c>
      <c r="B78" s="43" t="s">
        <v>1534</v>
      </c>
      <c r="C78" s="43" t="s">
        <v>1534</v>
      </c>
      <c r="D78" s="45" t="s">
        <v>2524</v>
      </c>
      <c r="E78" s="45" t="s">
        <v>2525</v>
      </c>
      <c r="F78" s="45">
        <v>57</v>
      </c>
      <c r="G78" s="50"/>
      <c r="H78" s="50"/>
      <c r="I78" s="50"/>
      <c r="J78" s="40">
        <f>COUNTIF(System_configuration!B:B,A78)</f>
        <v>0</v>
      </c>
    </row>
    <row r="79" spans="1:10" s="29" customFormat="1" x14ac:dyDescent="0.2">
      <c r="A79" s="86" t="s">
        <v>2526</v>
      </c>
      <c r="B79" s="43" t="s">
        <v>1534</v>
      </c>
      <c r="C79" s="43" t="s">
        <v>1534</v>
      </c>
      <c r="D79" s="45" t="s">
        <v>2527</v>
      </c>
      <c r="E79" s="45" t="s">
        <v>2528</v>
      </c>
      <c r="F79" s="45">
        <v>57</v>
      </c>
      <c r="G79" s="50"/>
      <c r="H79" s="50"/>
      <c r="I79" s="50"/>
      <c r="J79" s="40">
        <f>COUNTIF(System_configuration!B:B,A79)</f>
        <v>0</v>
      </c>
    </row>
    <row r="80" spans="1:10" s="29" customFormat="1" x14ac:dyDescent="0.2">
      <c r="A80" s="86" t="s">
        <v>2529</v>
      </c>
      <c r="B80" s="43" t="s">
        <v>1534</v>
      </c>
      <c r="C80" s="43" t="s">
        <v>1534</v>
      </c>
      <c r="D80" s="45" t="s">
        <v>2530</v>
      </c>
      <c r="E80" s="45" t="s">
        <v>2531</v>
      </c>
      <c r="F80" s="45">
        <v>57</v>
      </c>
      <c r="G80" s="50"/>
      <c r="H80" s="50"/>
      <c r="I80" s="50"/>
      <c r="J80" s="40">
        <f>COUNTIF(System_configuration!B:B,A80)</f>
        <v>0</v>
      </c>
    </row>
    <row r="81" spans="1:10" s="29" customFormat="1" x14ac:dyDescent="0.2">
      <c r="A81" s="86" t="s">
        <v>2532</v>
      </c>
      <c r="B81" s="43" t="s">
        <v>1534</v>
      </c>
      <c r="C81" s="43" t="s">
        <v>1534</v>
      </c>
      <c r="D81" s="45" t="s">
        <v>2533</v>
      </c>
      <c r="E81" s="45" t="s">
        <v>2534</v>
      </c>
      <c r="F81" s="45">
        <v>57</v>
      </c>
      <c r="G81" s="50"/>
      <c r="H81" s="50"/>
      <c r="I81" s="50"/>
      <c r="J81" s="40">
        <f>COUNTIF(System_configuration!B:B,A81)</f>
        <v>0</v>
      </c>
    </row>
    <row r="82" spans="1:10" s="29" customFormat="1" x14ac:dyDescent="0.2">
      <c r="A82" s="86" t="s">
        <v>2535</v>
      </c>
      <c r="B82" s="43" t="s">
        <v>1534</v>
      </c>
      <c r="C82" s="43" t="s">
        <v>1534</v>
      </c>
      <c r="D82" s="45" t="s">
        <v>2536</v>
      </c>
      <c r="E82" s="45" t="s">
        <v>2537</v>
      </c>
      <c r="F82" s="45">
        <v>57</v>
      </c>
      <c r="G82" s="50"/>
      <c r="H82" s="50"/>
      <c r="I82" s="50"/>
      <c r="J82" s="40">
        <f>COUNTIF(System_configuration!B:B,A82)</f>
        <v>0</v>
      </c>
    </row>
    <row r="83" spans="1:10" s="29" customFormat="1" x14ac:dyDescent="0.2">
      <c r="A83" s="86" t="s">
        <v>2538</v>
      </c>
      <c r="B83" s="43" t="s">
        <v>1534</v>
      </c>
      <c r="C83" s="43" t="s">
        <v>1534</v>
      </c>
      <c r="D83" s="45" t="s">
        <v>2539</v>
      </c>
      <c r="E83" s="45" t="s">
        <v>2540</v>
      </c>
      <c r="F83" s="58" t="s">
        <v>1534</v>
      </c>
      <c r="G83" s="50"/>
      <c r="H83" s="50"/>
      <c r="I83" s="50"/>
      <c r="J83" s="40">
        <f>COUNTIF(System_configuration!B:B,A83)</f>
        <v>0</v>
      </c>
    </row>
    <row r="84" spans="1:10" s="29" customFormat="1" x14ac:dyDescent="0.2">
      <c r="A84" s="86" t="s">
        <v>2541</v>
      </c>
      <c r="B84" s="43" t="s">
        <v>1534</v>
      </c>
      <c r="C84" s="43" t="s">
        <v>1534</v>
      </c>
      <c r="D84" s="45" t="s">
        <v>2542</v>
      </c>
      <c r="E84" s="45" t="s">
        <v>2543</v>
      </c>
      <c r="F84" s="45">
        <v>58</v>
      </c>
      <c r="G84" s="50"/>
      <c r="H84" s="50"/>
      <c r="I84" s="50"/>
      <c r="J84" s="40">
        <f>COUNTIF(System_configuration!B:B,A84)</f>
        <v>0</v>
      </c>
    </row>
    <row r="85" spans="1:10" s="29" customFormat="1" x14ac:dyDescent="0.2">
      <c r="A85" s="86" t="s">
        <v>2544</v>
      </c>
      <c r="B85" s="43" t="s">
        <v>1534</v>
      </c>
      <c r="C85" s="43" t="s">
        <v>1534</v>
      </c>
      <c r="D85" s="45" t="s">
        <v>2545</v>
      </c>
      <c r="E85" s="45" t="s">
        <v>2546</v>
      </c>
      <c r="F85" s="45">
        <v>58</v>
      </c>
      <c r="G85" s="50"/>
      <c r="H85" s="50"/>
      <c r="I85" s="50"/>
      <c r="J85" s="40">
        <f>COUNTIF(System_configuration!B:B,A85)</f>
        <v>0</v>
      </c>
    </row>
    <row r="86" spans="1:10" s="29" customFormat="1" x14ac:dyDescent="0.2">
      <c r="A86" s="86" t="s">
        <v>2547</v>
      </c>
      <c r="B86" s="43" t="s">
        <v>1534</v>
      </c>
      <c r="C86" s="43" t="s">
        <v>1534</v>
      </c>
      <c r="D86" s="45" t="s">
        <v>2548</v>
      </c>
      <c r="E86" s="45" t="s">
        <v>2549</v>
      </c>
      <c r="F86" s="45">
        <v>58</v>
      </c>
      <c r="G86" s="50"/>
      <c r="H86" s="50"/>
      <c r="I86" s="50"/>
      <c r="J86" s="40">
        <f>COUNTIF(System_configuration!B:B,A86)</f>
        <v>0</v>
      </c>
    </row>
    <row r="87" spans="1:10" s="29" customFormat="1" x14ac:dyDescent="0.2">
      <c r="A87" s="86" t="s">
        <v>2550</v>
      </c>
      <c r="B87" s="43" t="s">
        <v>1534</v>
      </c>
      <c r="C87" s="43" t="s">
        <v>1534</v>
      </c>
      <c r="D87" s="45" t="s">
        <v>2551</v>
      </c>
      <c r="E87" s="45" t="s">
        <v>2552</v>
      </c>
      <c r="F87" s="45">
        <v>58</v>
      </c>
      <c r="G87" s="50"/>
      <c r="H87" s="50"/>
      <c r="I87" s="50"/>
      <c r="J87" s="40">
        <f>COUNTIF(System_configuration!B:B,A87)</f>
        <v>0</v>
      </c>
    </row>
    <row r="88" spans="1:10" s="29" customFormat="1" x14ac:dyDescent="0.2">
      <c r="A88" s="86" t="s">
        <v>2553</v>
      </c>
      <c r="B88" s="43" t="s">
        <v>1534</v>
      </c>
      <c r="C88" s="43" t="s">
        <v>1534</v>
      </c>
      <c r="D88" s="45" t="s">
        <v>2554</v>
      </c>
      <c r="E88" s="45" t="s">
        <v>2555</v>
      </c>
      <c r="F88" s="45">
        <v>58</v>
      </c>
      <c r="G88" s="50"/>
      <c r="H88" s="50"/>
      <c r="I88" s="50"/>
      <c r="J88" s="40">
        <f>COUNTIF(System_configuration!B:B,A88)</f>
        <v>0</v>
      </c>
    </row>
    <row r="89" spans="1:10" s="29" customFormat="1" x14ac:dyDescent="0.2">
      <c r="A89" s="86" t="s">
        <v>2556</v>
      </c>
      <c r="B89" s="43" t="s">
        <v>1534</v>
      </c>
      <c r="C89" s="43" t="s">
        <v>1534</v>
      </c>
      <c r="D89" s="45" t="s">
        <v>2557</v>
      </c>
      <c r="E89" s="45" t="s">
        <v>2558</v>
      </c>
      <c r="F89" s="45">
        <v>58</v>
      </c>
      <c r="G89" s="50"/>
      <c r="H89" s="50"/>
      <c r="I89" s="50"/>
      <c r="J89" s="40">
        <f>COUNTIF(System_configuration!B:B,A89)</f>
        <v>0</v>
      </c>
    </row>
    <row r="90" spans="1:10" s="29" customFormat="1" x14ac:dyDescent="0.2">
      <c r="A90" s="86" t="s">
        <v>2559</v>
      </c>
      <c r="B90" s="43" t="s">
        <v>1534</v>
      </c>
      <c r="C90" s="43" t="s">
        <v>1534</v>
      </c>
      <c r="D90" s="45" t="s">
        <v>2560</v>
      </c>
      <c r="E90" s="45" t="s">
        <v>2561</v>
      </c>
      <c r="F90" s="45">
        <v>58</v>
      </c>
      <c r="G90" s="50"/>
      <c r="H90" s="50"/>
      <c r="I90" s="50"/>
      <c r="J90" s="40">
        <f>COUNTIF(System_configuration!B:B,A90)</f>
        <v>0</v>
      </c>
    </row>
    <row r="91" spans="1:10" s="29" customFormat="1" x14ac:dyDescent="0.2">
      <c r="A91" s="86" t="s">
        <v>2562</v>
      </c>
      <c r="B91" s="43" t="s">
        <v>1534</v>
      </c>
      <c r="C91" s="43" t="s">
        <v>1534</v>
      </c>
      <c r="D91" s="45" t="s">
        <v>2563</v>
      </c>
      <c r="E91" s="45" t="s">
        <v>2564</v>
      </c>
      <c r="F91" s="45">
        <v>58</v>
      </c>
      <c r="G91" s="50"/>
      <c r="H91" s="50"/>
      <c r="I91" s="50"/>
      <c r="J91" s="40">
        <f>COUNTIF(System_configuration!B:B,A91)</f>
        <v>0</v>
      </c>
    </row>
    <row r="92" spans="1:10" s="29" customFormat="1" x14ac:dyDescent="0.2">
      <c r="A92" s="86" t="s">
        <v>2565</v>
      </c>
      <c r="B92" s="43" t="s">
        <v>1534</v>
      </c>
      <c r="C92" s="43" t="s">
        <v>1534</v>
      </c>
      <c r="D92" s="45" t="s">
        <v>2566</v>
      </c>
      <c r="E92" s="45" t="s">
        <v>2567</v>
      </c>
      <c r="F92" s="45">
        <v>58</v>
      </c>
      <c r="G92" s="50"/>
      <c r="H92" s="50"/>
      <c r="I92" s="50"/>
      <c r="J92" s="40">
        <f>COUNTIF(System_configuration!B:B,A92)</f>
        <v>0</v>
      </c>
    </row>
    <row r="93" spans="1:10" s="29" customFormat="1" x14ac:dyDescent="0.2">
      <c r="A93" s="86" t="s">
        <v>2568</v>
      </c>
      <c r="B93" s="43" t="s">
        <v>1534</v>
      </c>
      <c r="C93" s="43" t="s">
        <v>1534</v>
      </c>
      <c r="D93" s="45" t="s">
        <v>2569</v>
      </c>
      <c r="E93" s="45" t="s">
        <v>2570</v>
      </c>
      <c r="F93" s="45">
        <v>58</v>
      </c>
      <c r="G93" s="50"/>
      <c r="H93" s="50"/>
      <c r="I93" s="50"/>
      <c r="J93" s="40">
        <f>COUNTIF(System_configuration!B:B,A93)</f>
        <v>0</v>
      </c>
    </row>
    <row r="94" spans="1:10" s="29" customFormat="1" x14ac:dyDescent="0.2">
      <c r="A94" s="86" t="s">
        <v>2571</v>
      </c>
      <c r="B94" s="43" t="s">
        <v>1534</v>
      </c>
      <c r="C94" s="43" t="s">
        <v>1534</v>
      </c>
      <c r="D94" s="45" t="s">
        <v>2572</v>
      </c>
      <c r="E94" s="45" t="s">
        <v>2573</v>
      </c>
      <c r="F94" s="45">
        <v>58</v>
      </c>
      <c r="G94" s="50"/>
      <c r="H94" s="50"/>
      <c r="I94" s="50"/>
      <c r="J94" s="40">
        <f>COUNTIF(System_configuration!B:B,A94)</f>
        <v>0</v>
      </c>
    </row>
    <row r="95" spans="1:10" s="29" customFormat="1" x14ac:dyDescent="0.2">
      <c r="A95" s="86" t="s">
        <v>2574</v>
      </c>
      <c r="B95" s="43" t="s">
        <v>1534</v>
      </c>
      <c r="C95" s="43" t="s">
        <v>1534</v>
      </c>
      <c r="D95" s="45" t="s">
        <v>2575</v>
      </c>
      <c r="E95" s="45" t="s">
        <v>2576</v>
      </c>
      <c r="F95" s="45">
        <v>58</v>
      </c>
      <c r="G95" s="50"/>
      <c r="H95" s="50"/>
      <c r="I95" s="50"/>
      <c r="J95" s="40">
        <f>COUNTIF(System_configuration!B:B,A95)</f>
        <v>0</v>
      </c>
    </row>
    <row r="96" spans="1:10" s="29" customFormat="1" x14ac:dyDescent="0.2">
      <c r="A96" s="86" t="s">
        <v>2577</v>
      </c>
      <c r="B96" s="43" t="s">
        <v>1534</v>
      </c>
      <c r="C96" s="43" t="s">
        <v>1534</v>
      </c>
      <c r="D96" s="45" t="s">
        <v>2578</v>
      </c>
      <c r="E96" s="45" t="s">
        <v>2579</v>
      </c>
      <c r="F96" s="45">
        <v>58</v>
      </c>
      <c r="G96" s="50"/>
      <c r="H96" s="50"/>
      <c r="I96" s="50"/>
      <c r="J96" s="40">
        <f>COUNTIF(System_configuration!B:B,A96)</f>
        <v>0</v>
      </c>
    </row>
    <row r="97" spans="1:10" s="29" customFormat="1" x14ac:dyDescent="0.2">
      <c r="A97" s="86" t="s">
        <v>2580</v>
      </c>
      <c r="B97" s="43" t="s">
        <v>1534</v>
      </c>
      <c r="C97" s="43" t="s">
        <v>1534</v>
      </c>
      <c r="D97" s="45" t="s">
        <v>2581</v>
      </c>
      <c r="E97" s="45" t="s">
        <v>2582</v>
      </c>
      <c r="F97" s="45">
        <v>58</v>
      </c>
      <c r="G97" s="50"/>
      <c r="H97" s="50"/>
      <c r="I97" s="50"/>
      <c r="J97" s="40">
        <f>COUNTIF(System_configuration!B:B,A97)</f>
        <v>0</v>
      </c>
    </row>
    <row r="98" spans="1:10" s="29" customFormat="1" x14ac:dyDescent="0.2">
      <c r="A98" s="86" t="s">
        <v>2583</v>
      </c>
      <c r="B98" s="43" t="s">
        <v>1534</v>
      </c>
      <c r="C98" s="43" t="s">
        <v>1534</v>
      </c>
      <c r="D98" s="45" t="s">
        <v>2584</v>
      </c>
      <c r="E98" s="45" t="s">
        <v>2585</v>
      </c>
      <c r="F98" s="45">
        <v>19</v>
      </c>
      <c r="G98" s="50"/>
      <c r="H98" s="50"/>
      <c r="I98" s="50"/>
      <c r="J98" s="40">
        <f>COUNTIF(System_configuration!B:B,A98)</f>
        <v>0</v>
      </c>
    </row>
    <row r="99" spans="1:10" s="29" customFormat="1" x14ac:dyDescent="0.2">
      <c r="A99" s="86" t="s">
        <v>2586</v>
      </c>
      <c r="B99" s="43" t="s">
        <v>1534</v>
      </c>
      <c r="C99" s="43" t="s">
        <v>1534</v>
      </c>
      <c r="D99" s="45" t="s">
        <v>2587</v>
      </c>
      <c r="E99" s="45" t="s">
        <v>2588</v>
      </c>
      <c r="F99" s="45">
        <v>19</v>
      </c>
      <c r="G99" s="50"/>
      <c r="H99" s="50"/>
      <c r="I99" s="50"/>
      <c r="J99" s="40">
        <f>COUNTIF(System_configuration!B:B,A99)</f>
        <v>0</v>
      </c>
    </row>
    <row r="100" spans="1:10" s="29" customFormat="1" x14ac:dyDescent="0.2">
      <c r="A100" s="86" t="s">
        <v>2589</v>
      </c>
      <c r="B100" s="43" t="s">
        <v>1534</v>
      </c>
      <c r="C100" s="43" t="s">
        <v>1534</v>
      </c>
      <c r="D100" s="45" t="s">
        <v>2590</v>
      </c>
      <c r="E100" s="45" t="s">
        <v>2591</v>
      </c>
      <c r="F100" s="45">
        <v>19</v>
      </c>
      <c r="G100" s="50"/>
      <c r="H100" s="50"/>
      <c r="I100" s="50"/>
      <c r="J100" s="40">
        <f>COUNTIF(System_configuration!B:B,A100)</f>
        <v>0</v>
      </c>
    </row>
    <row r="101" spans="1:10" s="29" customFormat="1" x14ac:dyDescent="0.2">
      <c r="A101" s="86" t="s">
        <v>2592</v>
      </c>
      <c r="B101" s="43" t="s">
        <v>1534</v>
      </c>
      <c r="C101" s="43" t="s">
        <v>1534</v>
      </c>
      <c r="D101" s="45" t="s">
        <v>2593</v>
      </c>
      <c r="E101" s="45" t="s">
        <v>2594</v>
      </c>
      <c r="F101" s="45">
        <v>19</v>
      </c>
      <c r="G101" s="50"/>
      <c r="H101" s="50"/>
      <c r="I101" s="50"/>
      <c r="J101" s="40">
        <f>COUNTIF(System_configuration!B:B,A101)</f>
        <v>0</v>
      </c>
    </row>
    <row r="102" spans="1:10" s="29" customFormat="1" x14ac:dyDescent="0.2">
      <c r="A102" s="86" t="s">
        <v>2595</v>
      </c>
      <c r="B102" s="43" t="s">
        <v>1534</v>
      </c>
      <c r="C102" s="43" t="s">
        <v>1534</v>
      </c>
      <c r="D102" s="45" t="s">
        <v>2596</v>
      </c>
      <c r="E102" s="45" t="s">
        <v>2597</v>
      </c>
      <c r="F102" s="45">
        <v>19</v>
      </c>
      <c r="G102" s="50"/>
      <c r="H102" s="50"/>
      <c r="I102" s="50"/>
      <c r="J102" s="40">
        <f>COUNTIF(System_configuration!B:B,A102)</f>
        <v>0</v>
      </c>
    </row>
    <row r="103" spans="1:10" s="29" customFormat="1" x14ac:dyDescent="0.2">
      <c r="A103" s="86" t="s">
        <v>2598</v>
      </c>
      <c r="B103" s="43" t="s">
        <v>1534</v>
      </c>
      <c r="C103" s="43" t="s">
        <v>1534</v>
      </c>
      <c r="D103" s="45" t="s">
        <v>2599</v>
      </c>
      <c r="E103" s="45" t="s">
        <v>2600</v>
      </c>
      <c r="F103" s="45">
        <v>19</v>
      </c>
      <c r="G103" s="50"/>
      <c r="H103" s="50"/>
      <c r="I103" s="50"/>
      <c r="J103" s="40">
        <f>COUNTIF(System_configuration!B:B,A103)</f>
        <v>0</v>
      </c>
    </row>
    <row r="104" spans="1:10" s="29" customFormat="1" x14ac:dyDescent="0.2">
      <c r="A104" s="86" t="s">
        <v>2601</v>
      </c>
      <c r="B104" s="43" t="s">
        <v>1534</v>
      </c>
      <c r="C104" s="43" t="s">
        <v>1534</v>
      </c>
      <c r="D104" s="45" t="s">
        <v>2602</v>
      </c>
      <c r="E104" s="45" t="s">
        <v>2603</v>
      </c>
      <c r="F104" s="45">
        <v>19</v>
      </c>
      <c r="G104" s="50"/>
      <c r="H104" s="50"/>
      <c r="I104" s="50"/>
      <c r="J104" s="40">
        <f>COUNTIF(System_configuration!B:B,A104)</f>
        <v>0</v>
      </c>
    </row>
    <row r="105" spans="1:10" s="29" customFormat="1" x14ac:dyDescent="0.2">
      <c r="A105" s="86" t="s">
        <v>2604</v>
      </c>
      <c r="B105" s="43" t="s">
        <v>1534</v>
      </c>
      <c r="C105" s="43" t="s">
        <v>1534</v>
      </c>
      <c r="D105" s="45" t="s">
        <v>2605</v>
      </c>
      <c r="E105" s="45" t="s">
        <v>2606</v>
      </c>
      <c r="F105" s="45">
        <v>96</v>
      </c>
      <c r="G105" s="50"/>
      <c r="H105" s="50"/>
      <c r="I105" s="50"/>
      <c r="J105" s="40">
        <f>COUNTIF(System_configuration!B:B,A105)</f>
        <v>0</v>
      </c>
    </row>
    <row r="106" spans="1:10" s="29" customFormat="1" x14ac:dyDescent="0.2">
      <c r="A106" s="86" t="s">
        <v>2607</v>
      </c>
      <c r="B106" s="43" t="s">
        <v>1534</v>
      </c>
      <c r="C106" s="43" t="s">
        <v>1534</v>
      </c>
      <c r="D106" s="45" t="s">
        <v>2608</v>
      </c>
      <c r="E106" s="45" t="s">
        <v>2609</v>
      </c>
      <c r="F106" s="45">
        <v>96</v>
      </c>
      <c r="G106" s="50"/>
      <c r="H106" s="50"/>
      <c r="I106" s="50"/>
      <c r="J106" s="40">
        <f>COUNTIF(System_configuration!B:B,A106)</f>
        <v>0</v>
      </c>
    </row>
    <row r="107" spans="1:10" s="29" customFormat="1" x14ac:dyDescent="0.2">
      <c r="A107" s="86" t="s">
        <v>2610</v>
      </c>
      <c r="B107" s="43" t="s">
        <v>1534</v>
      </c>
      <c r="C107" s="43" t="s">
        <v>1534</v>
      </c>
      <c r="D107" s="45" t="s">
        <v>2611</v>
      </c>
      <c r="E107" s="45" t="s">
        <v>2612</v>
      </c>
      <c r="F107" s="45">
        <v>96</v>
      </c>
      <c r="G107" s="50"/>
      <c r="H107" s="50"/>
      <c r="I107" s="50"/>
      <c r="J107" s="40">
        <f>COUNTIF(System_configuration!B:B,A107)</f>
        <v>0</v>
      </c>
    </row>
    <row r="108" spans="1:10" s="29" customFormat="1" x14ac:dyDescent="0.2">
      <c r="A108" s="86" t="s">
        <v>2613</v>
      </c>
      <c r="B108" s="43" t="s">
        <v>1534</v>
      </c>
      <c r="C108" s="43" t="s">
        <v>1534</v>
      </c>
      <c r="D108" s="45" t="s">
        <v>2614</v>
      </c>
      <c r="E108" s="45" t="s">
        <v>2615</v>
      </c>
      <c r="F108" s="45">
        <v>96</v>
      </c>
      <c r="G108" s="50"/>
      <c r="H108" s="50"/>
      <c r="I108" s="50"/>
      <c r="J108" s="40">
        <f>COUNTIF(System_configuration!B:B,A108)</f>
        <v>0</v>
      </c>
    </row>
    <row r="109" spans="1:10" s="29" customFormat="1" x14ac:dyDescent="0.2">
      <c r="A109" s="86" t="s">
        <v>2616</v>
      </c>
      <c r="B109" s="43" t="s">
        <v>1534</v>
      </c>
      <c r="C109" s="43" t="s">
        <v>1534</v>
      </c>
      <c r="D109" s="45" t="s">
        <v>2617</v>
      </c>
      <c r="E109" s="45" t="s">
        <v>2618</v>
      </c>
      <c r="F109" s="45">
        <v>96</v>
      </c>
      <c r="G109" s="50"/>
      <c r="H109" s="50"/>
      <c r="I109" s="50"/>
      <c r="J109" s="40">
        <f>COUNTIF(System_configuration!B:B,A109)</f>
        <v>0</v>
      </c>
    </row>
    <row r="110" spans="1:10" s="29" customFormat="1" x14ac:dyDescent="0.2">
      <c r="A110" s="86" t="s">
        <v>2619</v>
      </c>
      <c r="B110" s="43" t="s">
        <v>1534</v>
      </c>
      <c r="C110" s="43" t="s">
        <v>1534</v>
      </c>
      <c r="D110" s="45" t="s">
        <v>2620</v>
      </c>
      <c r="E110" s="45" t="s">
        <v>2621</v>
      </c>
      <c r="F110" s="45">
        <v>96</v>
      </c>
      <c r="G110" s="50"/>
      <c r="H110" s="50"/>
      <c r="I110" s="50"/>
      <c r="J110" s="40">
        <f>COUNTIF(System_configuration!B:B,A110)</f>
        <v>0</v>
      </c>
    </row>
    <row r="111" spans="1:10" s="29" customFormat="1" x14ac:dyDescent="0.2">
      <c r="A111" s="86" t="s">
        <v>2622</v>
      </c>
      <c r="B111" s="43" t="s">
        <v>1534</v>
      </c>
      <c r="C111" s="43" t="s">
        <v>1534</v>
      </c>
      <c r="D111" s="45" t="s">
        <v>2623</v>
      </c>
      <c r="E111" s="45" t="s">
        <v>2624</v>
      </c>
      <c r="F111" s="45">
        <v>96</v>
      </c>
      <c r="G111" s="50"/>
      <c r="H111" s="50"/>
      <c r="I111" s="50"/>
      <c r="J111" s="40">
        <f>COUNTIF(System_configuration!B:B,A111)</f>
        <v>0</v>
      </c>
    </row>
    <row r="112" spans="1:10" s="29" customFormat="1" x14ac:dyDescent="0.2">
      <c r="A112" s="86" t="s">
        <v>2625</v>
      </c>
      <c r="B112" s="43" t="s">
        <v>1534</v>
      </c>
      <c r="C112" s="43" t="s">
        <v>1534</v>
      </c>
      <c r="D112" s="45" t="s">
        <v>2626</v>
      </c>
      <c r="E112" s="45" t="s">
        <v>2627</v>
      </c>
      <c r="F112" s="45">
        <v>96</v>
      </c>
      <c r="G112" s="50"/>
      <c r="H112" s="50"/>
      <c r="I112" s="50"/>
      <c r="J112" s="40">
        <f>COUNTIF(System_configuration!B:B,A112)</f>
        <v>0</v>
      </c>
    </row>
    <row r="113" spans="1:10" s="29" customFormat="1" x14ac:dyDescent="0.2">
      <c r="A113" s="86" t="s">
        <v>2628</v>
      </c>
      <c r="B113" s="43" t="s">
        <v>1534</v>
      </c>
      <c r="C113" s="43" t="s">
        <v>1534</v>
      </c>
      <c r="D113" s="45" t="s">
        <v>2629</v>
      </c>
      <c r="E113" s="45" t="s">
        <v>2630</v>
      </c>
      <c r="F113" s="45">
        <v>96</v>
      </c>
      <c r="G113" s="50"/>
      <c r="H113" s="50"/>
      <c r="I113" s="50"/>
      <c r="J113" s="40">
        <f>COUNTIF(System_configuration!B:B,A113)</f>
        <v>0</v>
      </c>
    </row>
    <row r="114" spans="1:10" s="29" customFormat="1" x14ac:dyDescent="0.2">
      <c r="A114" s="86" t="s">
        <v>2631</v>
      </c>
      <c r="B114" s="43" t="s">
        <v>1534</v>
      </c>
      <c r="C114" s="43" t="s">
        <v>1534</v>
      </c>
      <c r="D114" s="45" t="s">
        <v>2632</v>
      </c>
      <c r="E114" s="45" t="s">
        <v>2633</v>
      </c>
      <c r="F114" s="45">
        <v>96</v>
      </c>
      <c r="G114" s="50"/>
      <c r="H114" s="50"/>
      <c r="I114" s="50"/>
      <c r="J114" s="40">
        <f>COUNTIF(System_configuration!B:B,A114)</f>
        <v>0</v>
      </c>
    </row>
    <row r="115" spans="1:10" s="29" customFormat="1" x14ac:dyDescent="0.2">
      <c r="A115" s="86" t="s">
        <v>2634</v>
      </c>
      <c r="B115" s="43" t="s">
        <v>1534</v>
      </c>
      <c r="C115" s="43" t="s">
        <v>1534</v>
      </c>
      <c r="D115" s="45" t="s">
        <v>2635</v>
      </c>
      <c r="E115" s="45" t="s">
        <v>2636</v>
      </c>
      <c r="F115" s="45">
        <v>96</v>
      </c>
      <c r="G115" s="50"/>
      <c r="H115" s="50"/>
      <c r="I115" s="50"/>
      <c r="J115" s="40">
        <f>COUNTIF(System_configuration!B:B,A115)</f>
        <v>0</v>
      </c>
    </row>
    <row r="116" spans="1:10" s="29" customFormat="1" x14ac:dyDescent="0.2">
      <c r="A116" s="86" t="s">
        <v>2637</v>
      </c>
      <c r="B116" s="43" t="s">
        <v>1534</v>
      </c>
      <c r="C116" s="43" t="s">
        <v>1534</v>
      </c>
      <c r="D116" s="45" t="s">
        <v>2638</v>
      </c>
      <c r="E116" s="45" t="s">
        <v>2639</v>
      </c>
      <c r="F116" s="45">
        <v>96</v>
      </c>
      <c r="G116" s="50"/>
      <c r="H116" s="50"/>
      <c r="I116" s="50"/>
      <c r="J116" s="40">
        <f>COUNTIF(System_configuration!B:B,A116)</f>
        <v>0</v>
      </c>
    </row>
    <row r="117" spans="1:10" s="29" customFormat="1" x14ac:dyDescent="0.2">
      <c r="A117" s="86" t="s">
        <v>2640</v>
      </c>
      <c r="B117" s="43" t="s">
        <v>1534</v>
      </c>
      <c r="C117" s="43" t="s">
        <v>1534</v>
      </c>
      <c r="D117" s="45" t="s">
        <v>2641</v>
      </c>
      <c r="E117" s="45" t="s">
        <v>2642</v>
      </c>
      <c r="F117" s="45">
        <v>96</v>
      </c>
      <c r="G117" s="50"/>
      <c r="H117" s="50"/>
      <c r="I117" s="50"/>
      <c r="J117" s="40">
        <f>COUNTIF(System_configuration!B:B,A117)</f>
        <v>0</v>
      </c>
    </row>
    <row r="118" spans="1:10" s="29" customFormat="1" x14ac:dyDescent="0.2">
      <c r="A118" s="86" t="s">
        <v>2643</v>
      </c>
      <c r="B118" s="43" t="s">
        <v>1534</v>
      </c>
      <c r="C118" s="43" t="s">
        <v>1534</v>
      </c>
      <c r="D118" s="45" t="s">
        <v>2644</v>
      </c>
      <c r="E118" s="45" t="s">
        <v>2645</v>
      </c>
      <c r="F118" s="45">
        <v>96</v>
      </c>
      <c r="G118" s="50"/>
      <c r="H118" s="50"/>
      <c r="I118" s="50"/>
      <c r="J118" s="40">
        <f>COUNTIF(System_configuration!B:B,A118)</f>
        <v>0</v>
      </c>
    </row>
    <row r="119" spans="1:10" s="29" customFormat="1" x14ac:dyDescent="0.2">
      <c r="A119" s="86" t="s">
        <v>2646</v>
      </c>
      <c r="B119" s="43" t="s">
        <v>1534</v>
      </c>
      <c r="C119" s="43" t="s">
        <v>1534</v>
      </c>
      <c r="D119" s="45" t="s">
        <v>2647</v>
      </c>
      <c r="E119" s="45" t="s">
        <v>2648</v>
      </c>
      <c r="F119" s="45">
        <v>96</v>
      </c>
      <c r="G119" s="50"/>
      <c r="H119" s="50"/>
      <c r="I119" s="50"/>
      <c r="J119" s="40">
        <f>COUNTIF(System_configuration!B:B,A119)</f>
        <v>0</v>
      </c>
    </row>
    <row r="120" spans="1:10" s="29" customFormat="1" x14ac:dyDescent="0.2">
      <c r="A120" s="86" t="s">
        <v>2649</v>
      </c>
      <c r="B120" s="43" t="s">
        <v>1534</v>
      </c>
      <c r="C120" s="43" t="s">
        <v>1534</v>
      </c>
      <c r="D120" s="45" t="s">
        <v>2650</v>
      </c>
      <c r="E120" s="45" t="s">
        <v>2651</v>
      </c>
      <c r="F120" s="45">
        <v>96</v>
      </c>
      <c r="G120" s="50"/>
      <c r="H120" s="50"/>
      <c r="I120" s="50"/>
      <c r="J120" s="40">
        <f>COUNTIF(System_configuration!B:B,A120)</f>
        <v>0</v>
      </c>
    </row>
    <row r="121" spans="1:10" s="29" customFormat="1" x14ac:dyDescent="0.2">
      <c r="A121" s="86" t="s">
        <v>2652</v>
      </c>
      <c r="B121" s="43" t="s">
        <v>1534</v>
      </c>
      <c r="C121" s="43" t="s">
        <v>1534</v>
      </c>
      <c r="D121" s="45" t="s">
        <v>2653</v>
      </c>
      <c r="E121" s="45" t="s">
        <v>2654</v>
      </c>
      <c r="F121" s="45">
        <v>96</v>
      </c>
      <c r="G121" s="50"/>
      <c r="H121" s="50"/>
      <c r="I121" s="50"/>
      <c r="J121" s="40">
        <f>COUNTIF(System_configuration!B:B,A121)</f>
        <v>0</v>
      </c>
    </row>
    <row r="122" spans="1:10" s="29" customFormat="1" x14ac:dyDescent="0.2">
      <c r="A122" s="86" t="s">
        <v>2655</v>
      </c>
      <c r="B122" s="43" t="s">
        <v>1534</v>
      </c>
      <c r="C122" s="43" t="s">
        <v>1534</v>
      </c>
      <c r="D122" s="45" t="s">
        <v>2656</v>
      </c>
      <c r="E122" s="45" t="s">
        <v>2657</v>
      </c>
      <c r="F122" s="45">
        <v>96</v>
      </c>
      <c r="G122" s="50"/>
      <c r="H122" s="50"/>
      <c r="I122" s="50"/>
      <c r="J122" s="40">
        <f>COUNTIF(System_configuration!B:B,A122)</f>
        <v>0</v>
      </c>
    </row>
    <row r="123" spans="1:10" s="29" customFormat="1" x14ac:dyDescent="0.2">
      <c r="A123" s="86" t="s">
        <v>2658</v>
      </c>
      <c r="B123" s="43" t="s">
        <v>1534</v>
      </c>
      <c r="C123" s="43" t="s">
        <v>1534</v>
      </c>
      <c r="D123" s="45" t="s">
        <v>2584</v>
      </c>
      <c r="E123" s="45" t="s">
        <v>2659</v>
      </c>
      <c r="F123" s="45">
        <v>19</v>
      </c>
      <c r="G123" s="50"/>
      <c r="H123" s="50"/>
      <c r="I123" s="50"/>
      <c r="J123" s="40">
        <f>COUNTIF(System_configuration!B:B,A123)</f>
        <v>0</v>
      </c>
    </row>
    <row r="124" spans="1:10" s="29" customFormat="1" x14ac:dyDescent="0.2">
      <c r="A124" s="86" t="s">
        <v>2660</v>
      </c>
      <c r="B124" s="43" t="s">
        <v>1534</v>
      </c>
      <c r="C124" s="43" t="s">
        <v>1534</v>
      </c>
      <c r="D124" s="45" t="s">
        <v>2587</v>
      </c>
      <c r="E124" s="45" t="s">
        <v>2588</v>
      </c>
      <c r="F124" s="45">
        <v>19</v>
      </c>
      <c r="G124" s="50"/>
      <c r="H124" s="50"/>
      <c r="I124" s="50"/>
      <c r="J124" s="40">
        <f>COUNTIF(System_configuration!B:B,A124)</f>
        <v>0</v>
      </c>
    </row>
    <row r="125" spans="1:10" s="29" customFormat="1" x14ac:dyDescent="0.2">
      <c r="A125" s="86" t="s">
        <v>2661</v>
      </c>
      <c r="B125" s="43" t="s">
        <v>1534</v>
      </c>
      <c r="C125" s="43" t="s">
        <v>1534</v>
      </c>
      <c r="D125" s="45" t="s">
        <v>2590</v>
      </c>
      <c r="E125" s="45" t="s">
        <v>2662</v>
      </c>
      <c r="F125" s="45">
        <v>19</v>
      </c>
      <c r="G125" s="50"/>
      <c r="H125" s="50"/>
      <c r="I125" s="50"/>
      <c r="J125" s="40">
        <f>COUNTIF(System_configuration!B:B,A125)</f>
        <v>0</v>
      </c>
    </row>
    <row r="126" spans="1:10" s="29" customFormat="1" x14ac:dyDescent="0.2">
      <c r="A126" s="86" t="s">
        <v>2663</v>
      </c>
      <c r="B126" s="43" t="s">
        <v>1534</v>
      </c>
      <c r="C126" s="43" t="s">
        <v>1534</v>
      </c>
      <c r="D126" s="45" t="s">
        <v>2664</v>
      </c>
      <c r="E126" s="45" t="s">
        <v>2665</v>
      </c>
      <c r="F126" s="45">
        <v>19</v>
      </c>
      <c r="G126" s="50"/>
      <c r="H126" s="50"/>
      <c r="I126" s="50"/>
      <c r="J126" s="40">
        <f>COUNTIF(System_configuration!B:B,A126)</f>
        <v>0</v>
      </c>
    </row>
    <row r="127" spans="1:10" s="29" customFormat="1" x14ac:dyDescent="0.2">
      <c r="A127" s="86" t="s">
        <v>2666</v>
      </c>
      <c r="B127" s="43" t="s">
        <v>1534</v>
      </c>
      <c r="C127" s="43" t="s">
        <v>1534</v>
      </c>
      <c r="D127" s="45" t="s">
        <v>2596</v>
      </c>
      <c r="E127" s="45" t="s">
        <v>2597</v>
      </c>
      <c r="F127" s="45">
        <v>19</v>
      </c>
      <c r="G127" s="50"/>
      <c r="H127" s="50"/>
      <c r="I127" s="50"/>
      <c r="J127" s="40">
        <f>COUNTIF(System_configuration!B:B,A127)</f>
        <v>0</v>
      </c>
    </row>
    <row r="128" spans="1:10" s="29" customFormat="1" x14ac:dyDescent="0.2">
      <c r="A128" s="86" t="s">
        <v>2667</v>
      </c>
      <c r="B128" s="43" t="s">
        <v>1534</v>
      </c>
      <c r="C128" s="43" t="s">
        <v>1534</v>
      </c>
      <c r="D128" s="45" t="s">
        <v>2668</v>
      </c>
      <c r="E128" s="45" t="s">
        <v>2669</v>
      </c>
      <c r="F128" s="45">
        <v>19</v>
      </c>
      <c r="G128" s="50"/>
      <c r="H128" s="50"/>
      <c r="I128" s="50"/>
      <c r="J128" s="40">
        <f>COUNTIF(System_configuration!B:B,A128)</f>
        <v>0</v>
      </c>
    </row>
    <row r="129" spans="1:10" s="29" customFormat="1" x14ac:dyDescent="0.2">
      <c r="A129" s="86" t="s">
        <v>2670</v>
      </c>
      <c r="B129" s="43" t="s">
        <v>1534</v>
      </c>
      <c r="C129" s="43" t="s">
        <v>1534</v>
      </c>
      <c r="D129" s="45" t="s">
        <v>2671</v>
      </c>
      <c r="E129" s="45" t="s">
        <v>2672</v>
      </c>
      <c r="F129" s="45">
        <v>19</v>
      </c>
      <c r="G129" s="50"/>
      <c r="H129" s="50"/>
      <c r="I129" s="50"/>
      <c r="J129" s="40">
        <f>COUNTIF(System_configuration!B:B,A129)</f>
        <v>0</v>
      </c>
    </row>
    <row r="130" spans="1:10" s="29" customFormat="1" x14ac:dyDescent="0.2">
      <c r="A130" s="86" t="s">
        <v>2673</v>
      </c>
      <c r="B130" s="43" t="s">
        <v>1534</v>
      </c>
      <c r="C130" s="43" t="s">
        <v>1534</v>
      </c>
      <c r="D130" s="45" t="s">
        <v>2674</v>
      </c>
      <c r="E130" s="45" t="s">
        <v>2675</v>
      </c>
      <c r="F130" s="45">
        <v>96</v>
      </c>
      <c r="G130" s="50"/>
      <c r="H130" s="50"/>
      <c r="I130" s="50"/>
      <c r="J130" s="40">
        <f>COUNTIF(System_configuration!B:B,A130)</f>
        <v>0</v>
      </c>
    </row>
    <row r="131" spans="1:10" s="29" customFormat="1" x14ac:dyDescent="0.2">
      <c r="A131" s="86" t="s">
        <v>2676</v>
      </c>
      <c r="B131" s="43" t="s">
        <v>1534</v>
      </c>
      <c r="C131" s="43" t="s">
        <v>1534</v>
      </c>
      <c r="D131" s="45" t="s">
        <v>2677</v>
      </c>
      <c r="E131" s="45" t="s">
        <v>2678</v>
      </c>
      <c r="F131" s="45">
        <v>96</v>
      </c>
      <c r="G131" s="50"/>
      <c r="H131" s="50"/>
      <c r="I131" s="50"/>
      <c r="J131" s="40">
        <f>COUNTIF(System_configuration!B:B,A131)</f>
        <v>0</v>
      </c>
    </row>
    <row r="132" spans="1:10" s="29" customFormat="1" x14ac:dyDescent="0.2">
      <c r="A132" s="86" t="s">
        <v>2679</v>
      </c>
      <c r="B132" s="43" t="s">
        <v>1534</v>
      </c>
      <c r="C132" s="43" t="s">
        <v>1534</v>
      </c>
      <c r="D132" s="45" t="s">
        <v>2680</v>
      </c>
      <c r="E132" s="45" t="s">
        <v>2681</v>
      </c>
      <c r="F132" s="45">
        <v>96</v>
      </c>
      <c r="G132" s="50"/>
      <c r="H132" s="50"/>
      <c r="I132" s="50"/>
      <c r="J132" s="40">
        <f>COUNTIF(System_configuration!B:B,A132)</f>
        <v>0</v>
      </c>
    </row>
    <row r="133" spans="1:10" s="29" customFormat="1" x14ac:dyDescent="0.2">
      <c r="A133" s="86" t="s">
        <v>2682</v>
      </c>
      <c r="B133" s="43" t="s">
        <v>1534</v>
      </c>
      <c r="C133" s="43" t="s">
        <v>1534</v>
      </c>
      <c r="D133" s="45" t="s">
        <v>2683</v>
      </c>
      <c r="E133" s="45" t="s">
        <v>2684</v>
      </c>
      <c r="F133" s="45">
        <v>96</v>
      </c>
      <c r="G133" s="50"/>
      <c r="H133" s="50"/>
      <c r="I133" s="50"/>
      <c r="J133" s="40">
        <f>COUNTIF(System_configuration!B:B,A133)</f>
        <v>0</v>
      </c>
    </row>
    <row r="134" spans="1:10" s="29" customFormat="1" x14ac:dyDescent="0.2">
      <c r="A134" s="86" t="s">
        <v>2685</v>
      </c>
      <c r="B134" s="43" t="s">
        <v>1534</v>
      </c>
      <c r="C134" s="43" t="s">
        <v>1534</v>
      </c>
      <c r="D134" s="45" t="s">
        <v>2686</v>
      </c>
      <c r="E134" s="45" t="s">
        <v>2687</v>
      </c>
      <c r="F134" s="45">
        <v>96</v>
      </c>
      <c r="G134" s="50"/>
      <c r="H134" s="50"/>
      <c r="I134" s="50"/>
      <c r="J134" s="40">
        <f>COUNTIF(System_configuration!B:B,A134)</f>
        <v>0</v>
      </c>
    </row>
    <row r="135" spans="1:10" s="29" customFormat="1" x14ac:dyDescent="0.2">
      <c r="A135" s="86" t="s">
        <v>2688</v>
      </c>
      <c r="B135" s="43" t="s">
        <v>1534</v>
      </c>
      <c r="C135" s="43" t="s">
        <v>1534</v>
      </c>
      <c r="D135" s="45" t="s">
        <v>2689</v>
      </c>
      <c r="E135" s="45" t="s">
        <v>2690</v>
      </c>
      <c r="F135" s="45">
        <v>96</v>
      </c>
      <c r="G135" s="50"/>
      <c r="H135" s="50"/>
      <c r="I135" s="50"/>
      <c r="J135" s="40">
        <f>COUNTIF(System_configuration!B:B,A135)</f>
        <v>0</v>
      </c>
    </row>
    <row r="136" spans="1:10" s="29" customFormat="1" x14ac:dyDescent="0.2">
      <c r="A136" s="86" t="s">
        <v>2691</v>
      </c>
      <c r="B136" s="43" t="s">
        <v>1534</v>
      </c>
      <c r="C136" s="43" t="s">
        <v>1534</v>
      </c>
      <c r="D136" s="45" t="s">
        <v>2692</v>
      </c>
      <c r="E136" s="45" t="s">
        <v>2693</v>
      </c>
      <c r="F136" s="45">
        <v>96</v>
      </c>
      <c r="G136" s="50"/>
      <c r="H136" s="50"/>
      <c r="I136" s="50"/>
      <c r="J136" s="40">
        <f>COUNTIF(System_configuration!B:B,A136)</f>
        <v>0</v>
      </c>
    </row>
    <row r="137" spans="1:10" s="29" customFormat="1" x14ac:dyDescent="0.2">
      <c r="A137" s="86" t="s">
        <v>2694</v>
      </c>
      <c r="B137" s="43" t="s">
        <v>1534</v>
      </c>
      <c r="C137" s="43" t="s">
        <v>1534</v>
      </c>
      <c r="D137" s="45" t="s">
        <v>2695</v>
      </c>
      <c r="E137" s="45" t="s">
        <v>2696</v>
      </c>
      <c r="F137" s="45">
        <v>96</v>
      </c>
      <c r="G137" s="50"/>
      <c r="H137" s="50"/>
      <c r="I137" s="50"/>
      <c r="J137" s="40">
        <f>COUNTIF(System_configuration!B:B,A137)</f>
        <v>0</v>
      </c>
    </row>
    <row r="138" spans="1:10" s="29" customFormat="1" x14ac:dyDescent="0.2">
      <c r="A138" s="86" t="s">
        <v>2697</v>
      </c>
      <c r="B138" s="43" t="s">
        <v>1534</v>
      </c>
      <c r="C138" s="43" t="s">
        <v>1534</v>
      </c>
      <c r="D138" s="45" t="s">
        <v>2698</v>
      </c>
      <c r="E138" s="45" t="s">
        <v>2699</v>
      </c>
      <c r="F138" s="45">
        <v>96</v>
      </c>
      <c r="G138" s="50"/>
      <c r="H138" s="50"/>
      <c r="I138" s="50"/>
      <c r="J138" s="40">
        <f>COUNTIF(System_configuration!B:B,A138)</f>
        <v>0</v>
      </c>
    </row>
    <row r="139" spans="1:10" s="29" customFormat="1" x14ac:dyDescent="0.2">
      <c r="A139" s="86" t="s">
        <v>2700</v>
      </c>
      <c r="B139" s="43" t="s">
        <v>1534</v>
      </c>
      <c r="C139" s="43" t="s">
        <v>1534</v>
      </c>
      <c r="D139" s="45" t="s">
        <v>2701</v>
      </c>
      <c r="E139" s="45" t="s">
        <v>2702</v>
      </c>
      <c r="F139" s="45">
        <v>96</v>
      </c>
      <c r="G139" s="50"/>
      <c r="H139" s="50"/>
      <c r="I139" s="50"/>
      <c r="J139" s="40">
        <f>COUNTIF(System_configuration!B:B,A139)</f>
        <v>0</v>
      </c>
    </row>
    <row r="140" spans="1:10" s="29" customFormat="1" x14ac:dyDescent="0.2">
      <c r="A140" s="86" t="s">
        <v>2703</v>
      </c>
      <c r="B140" s="43" t="s">
        <v>1534</v>
      </c>
      <c r="C140" s="43" t="s">
        <v>1534</v>
      </c>
      <c r="D140" s="45" t="s">
        <v>2704</v>
      </c>
      <c r="E140" s="45" t="s">
        <v>2705</v>
      </c>
      <c r="F140" s="45">
        <v>96</v>
      </c>
      <c r="G140" s="50"/>
      <c r="H140" s="50"/>
      <c r="I140" s="50"/>
      <c r="J140" s="40">
        <f>COUNTIF(System_configuration!B:B,A140)</f>
        <v>0</v>
      </c>
    </row>
    <row r="141" spans="1:10" s="29" customFormat="1" x14ac:dyDescent="0.2">
      <c r="A141" s="86" t="s">
        <v>2706</v>
      </c>
      <c r="B141" s="43" t="s">
        <v>1534</v>
      </c>
      <c r="C141" s="43" t="s">
        <v>1534</v>
      </c>
      <c r="D141" s="45" t="s">
        <v>2707</v>
      </c>
      <c r="E141" s="45" t="s">
        <v>2708</v>
      </c>
      <c r="F141" s="45">
        <v>96</v>
      </c>
      <c r="G141" s="50"/>
      <c r="H141" s="50"/>
      <c r="I141" s="50"/>
      <c r="J141" s="40">
        <f>COUNTIF(System_configuration!B:B,A141)</f>
        <v>0</v>
      </c>
    </row>
    <row r="142" spans="1:10" s="29" customFormat="1" x14ac:dyDescent="0.2">
      <c r="A142" s="86" t="s">
        <v>2709</v>
      </c>
      <c r="B142" s="43" t="s">
        <v>1534</v>
      </c>
      <c r="C142" s="43" t="s">
        <v>1534</v>
      </c>
      <c r="D142" s="45" t="s">
        <v>2710</v>
      </c>
      <c r="E142" s="45" t="s">
        <v>2711</v>
      </c>
      <c r="F142" s="45">
        <v>96</v>
      </c>
      <c r="G142" s="50"/>
      <c r="H142" s="50"/>
      <c r="I142" s="50"/>
      <c r="J142" s="40">
        <f>COUNTIF(System_configuration!B:B,A142)</f>
        <v>0</v>
      </c>
    </row>
    <row r="143" spans="1:10" s="29" customFormat="1" x14ac:dyDescent="0.2">
      <c r="A143" s="86" t="s">
        <v>2712</v>
      </c>
      <c r="B143" s="43" t="s">
        <v>1534</v>
      </c>
      <c r="C143" s="43" t="s">
        <v>1534</v>
      </c>
      <c r="D143" s="45" t="s">
        <v>2713</v>
      </c>
      <c r="E143" s="45" t="s">
        <v>2714</v>
      </c>
      <c r="F143" s="45">
        <v>96</v>
      </c>
      <c r="G143" s="50"/>
      <c r="H143" s="50"/>
      <c r="I143" s="50"/>
      <c r="J143" s="40">
        <f>COUNTIF(System_configuration!B:B,A143)</f>
        <v>0</v>
      </c>
    </row>
    <row r="144" spans="1:10" s="29" customFormat="1" x14ac:dyDescent="0.2">
      <c r="A144" s="86" t="s">
        <v>2715</v>
      </c>
      <c r="B144" s="43" t="s">
        <v>1534</v>
      </c>
      <c r="C144" s="43" t="s">
        <v>1534</v>
      </c>
      <c r="D144" s="45" t="s">
        <v>2716</v>
      </c>
      <c r="E144" s="45" t="s">
        <v>2717</v>
      </c>
      <c r="F144" s="45">
        <v>96</v>
      </c>
      <c r="G144" s="50"/>
      <c r="H144" s="50"/>
      <c r="I144" s="50"/>
      <c r="J144" s="40">
        <f>COUNTIF(System_configuration!B:B,A144)</f>
        <v>0</v>
      </c>
    </row>
    <row r="145" spans="1:10" s="29" customFormat="1" x14ac:dyDescent="0.2">
      <c r="A145" s="86" t="s">
        <v>2718</v>
      </c>
      <c r="B145" s="43" t="s">
        <v>1534</v>
      </c>
      <c r="C145" s="43" t="s">
        <v>1534</v>
      </c>
      <c r="D145" s="45" t="s">
        <v>2719</v>
      </c>
      <c r="E145" s="45" t="s">
        <v>2720</v>
      </c>
      <c r="F145" s="45">
        <v>96</v>
      </c>
      <c r="G145" s="50"/>
      <c r="H145" s="50"/>
      <c r="I145" s="50"/>
      <c r="J145" s="40">
        <f>COUNTIF(System_configuration!B:B,A145)</f>
        <v>0</v>
      </c>
    </row>
    <row r="146" spans="1:10" s="29" customFormat="1" x14ac:dyDescent="0.2">
      <c r="A146" s="86" t="s">
        <v>2721</v>
      </c>
      <c r="B146" s="43" t="s">
        <v>1534</v>
      </c>
      <c r="C146" s="43" t="s">
        <v>1534</v>
      </c>
      <c r="D146" s="45" t="s">
        <v>2722</v>
      </c>
      <c r="E146" s="45" t="s">
        <v>2723</v>
      </c>
      <c r="F146" s="45">
        <v>96</v>
      </c>
      <c r="G146" s="50"/>
      <c r="H146" s="50"/>
      <c r="I146" s="50"/>
      <c r="J146" s="40">
        <f>COUNTIF(System_configuration!B:B,A146)</f>
        <v>0</v>
      </c>
    </row>
    <row r="147" spans="1:10" s="29" customFormat="1" x14ac:dyDescent="0.2">
      <c r="A147" s="86" t="s">
        <v>2724</v>
      </c>
      <c r="B147" s="43" t="s">
        <v>1534</v>
      </c>
      <c r="C147" s="43" t="s">
        <v>1534</v>
      </c>
      <c r="D147" s="45" t="s">
        <v>2725</v>
      </c>
      <c r="E147" s="45" t="s">
        <v>2726</v>
      </c>
      <c r="F147" s="45">
        <v>96</v>
      </c>
      <c r="G147" s="50"/>
      <c r="H147" s="50"/>
      <c r="I147" s="50"/>
      <c r="J147" s="40">
        <f>COUNTIF(System_configuration!B:B,A147)</f>
        <v>0</v>
      </c>
    </row>
    <row r="148" spans="1:10" s="29" customFormat="1" x14ac:dyDescent="0.2">
      <c r="A148" s="86" t="s">
        <v>2727</v>
      </c>
      <c r="B148" s="43" t="s">
        <v>1534</v>
      </c>
      <c r="C148" s="43" t="s">
        <v>1534</v>
      </c>
      <c r="D148" s="45" t="s">
        <v>2728</v>
      </c>
      <c r="E148" s="45" t="s">
        <v>2659</v>
      </c>
      <c r="F148" s="45">
        <v>19</v>
      </c>
      <c r="G148" s="50"/>
      <c r="H148" s="50"/>
      <c r="I148" s="50"/>
      <c r="J148" s="40">
        <f>COUNTIF(System_configuration!B:B,A148)</f>
        <v>0</v>
      </c>
    </row>
    <row r="149" spans="1:10" s="29" customFormat="1" x14ac:dyDescent="0.2">
      <c r="A149" s="86" t="s">
        <v>2729</v>
      </c>
      <c r="B149" s="43" t="s">
        <v>1534</v>
      </c>
      <c r="C149" s="43" t="s">
        <v>1534</v>
      </c>
      <c r="D149" s="45" t="s">
        <v>2587</v>
      </c>
      <c r="E149" s="45" t="s">
        <v>2588</v>
      </c>
      <c r="F149" s="45">
        <v>19</v>
      </c>
      <c r="G149" s="50"/>
      <c r="H149" s="50"/>
      <c r="I149" s="50"/>
      <c r="J149" s="40">
        <f>COUNTIF(System_configuration!B:B,A149)</f>
        <v>0</v>
      </c>
    </row>
    <row r="150" spans="1:10" s="29" customFormat="1" x14ac:dyDescent="0.2">
      <c r="A150" s="86" t="s">
        <v>2730</v>
      </c>
      <c r="B150" s="43" t="s">
        <v>1534</v>
      </c>
      <c r="C150" s="43" t="s">
        <v>1534</v>
      </c>
      <c r="D150" s="45" t="s">
        <v>2590</v>
      </c>
      <c r="E150" s="45" t="s">
        <v>2662</v>
      </c>
      <c r="F150" s="45">
        <v>19</v>
      </c>
      <c r="G150" s="50"/>
      <c r="H150" s="50"/>
      <c r="I150" s="50"/>
      <c r="J150" s="40">
        <f>COUNTIF(System_configuration!B:B,A150)</f>
        <v>0</v>
      </c>
    </row>
    <row r="151" spans="1:10" s="29" customFormat="1" x14ac:dyDescent="0.2">
      <c r="A151" s="86" t="s">
        <v>2731</v>
      </c>
      <c r="B151" s="43" t="s">
        <v>1534</v>
      </c>
      <c r="C151" s="43" t="s">
        <v>1534</v>
      </c>
      <c r="D151" s="45" t="s">
        <v>2732</v>
      </c>
      <c r="E151" s="45" t="s">
        <v>2733</v>
      </c>
      <c r="F151" s="45">
        <v>19</v>
      </c>
      <c r="G151" s="50"/>
      <c r="H151" s="50"/>
      <c r="I151" s="50"/>
      <c r="J151" s="40">
        <f>COUNTIF(System_configuration!B:B,A151)</f>
        <v>0</v>
      </c>
    </row>
    <row r="152" spans="1:10" s="29" customFormat="1" x14ac:dyDescent="0.2">
      <c r="A152" s="86" t="s">
        <v>2734</v>
      </c>
      <c r="B152" s="43" t="s">
        <v>1534</v>
      </c>
      <c r="C152" s="43" t="s">
        <v>1534</v>
      </c>
      <c r="D152" s="45" t="s">
        <v>2596</v>
      </c>
      <c r="E152" s="45" t="s">
        <v>2597</v>
      </c>
      <c r="F152" s="45">
        <v>19</v>
      </c>
      <c r="G152" s="50"/>
      <c r="H152" s="50"/>
      <c r="I152" s="50"/>
      <c r="J152" s="40">
        <f>COUNTIF(System_configuration!B:B,A152)</f>
        <v>0</v>
      </c>
    </row>
    <row r="153" spans="1:10" s="29" customFormat="1" x14ac:dyDescent="0.2">
      <c r="A153" s="86" t="s">
        <v>2735</v>
      </c>
      <c r="B153" s="43" t="s">
        <v>1534</v>
      </c>
      <c r="C153" s="43" t="s">
        <v>1534</v>
      </c>
      <c r="D153" s="45" t="s">
        <v>2736</v>
      </c>
      <c r="E153" s="45" t="s">
        <v>2737</v>
      </c>
      <c r="F153" s="45">
        <v>19</v>
      </c>
      <c r="G153" s="50"/>
      <c r="H153" s="50"/>
      <c r="I153" s="50"/>
      <c r="J153" s="40">
        <f>COUNTIF(System_configuration!B:B,A153)</f>
        <v>0</v>
      </c>
    </row>
    <row r="154" spans="1:10" s="29" customFormat="1" x14ac:dyDescent="0.2">
      <c r="A154" s="86" t="s">
        <v>2738</v>
      </c>
      <c r="B154" s="43" t="s">
        <v>1534</v>
      </c>
      <c r="C154" s="43" t="s">
        <v>1534</v>
      </c>
      <c r="D154" s="45" t="s">
        <v>2739</v>
      </c>
      <c r="E154" s="45" t="s">
        <v>2740</v>
      </c>
      <c r="F154" s="45">
        <v>19</v>
      </c>
      <c r="G154" s="50"/>
      <c r="H154" s="50"/>
      <c r="I154" s="50"/>
      <c r="J154" s="40">
        <f>COUNTIF(System_configuration!B:B,A154)</f>
        <v>0</v>
      </c>
    </row>
    <row r="155" spans="1:10" s="29" customFormat="1" x14ac:dyDescent="0.2">
      <c r="A155" s="86" t="s">
        <v>2741</v>
      </c>
      <c r="B155" s="43" t="s">
        <v>1534</v>
      </c>
      <c r="C155" s="43" t="s">
        <v>1534</v>
      </c>
      <c r="D155" s="45" t="s">
        <v>2742</v>
      </c>
      <c r="E155" s="45" t="s">
        <v>2743</v>
      </c>
      <c r="F155" s="45">
        <v>45</v>
      </c>
      <c r="G155" s="50"/>
      <c r="H155" s="50"/>
      <c r="I155" s="50"/>
      <c r="J155" s="40">
        <f>COUNTIF(System_configuration!B:B,A155)</f>
        <v>0</v>
      </c>
    </row>
    <row r="156" spans="1:10" s="29" customFormat="1" x14ac:dyDescent="0.2">
      <c r="A156" s="86" t="s">
        <v>1258</v>
      </c>
      <c r="B156" s="43" t="s">
        <v>1534</v>
      </c>
      <c r="C156" s="45">
        <v>1750</v>
      </c>
      <c r="D156" s="45" t="s">
        <v>2744</v>
      </c>
      <c r="E156" s="45" t="s">
        <v>2745</v>
      </c>
      <c r="F156" s="45">
        <v>40</v>
      </c>
      <c r="G156" s="49" t="s">
        <v>3569</v>
      </c>
      <c r="H156" s="49" t="s">
        <v>3569</v>
      </c>
      <c r="I156" s="49" t="s">
        <v>3569</v>
      </c>
      <c r="J156" s="40">
        <f>COUNTIF(System_configuration!B:B,A156)</f>
        <v>0</v>
      </c>
    </row>
    <row r="157" spans="1:10" s="29" customFormat="1" x14ac:dyDescent="0.2">
      <c r="A157" s="86" t="s">
        <v>1259</v>
      </c>
      <c r="B157" s="43" t="s">
        <v>1534</v>
      </c>
      <c r="C157" s="45">
        <v>1750</v>
      </c>
      <c r="D157" s="45" t="s">
        <v>2746</v>
      </c>
      <c r="E157" s="45" t="s">
        <v>2747</v>
      </c>
      <c r="F157" s="45">
        <v>58</v>
      </c>
      <c r="G157" s="49" t="s">
        <v>3569</v>
      </c>
      <c r="H157" s="49" t="s">
        <v>3569</v>
      </c>
      <c r="I157" s="49" t="s">
        <v>3569</v>
      </c>
      <c r="J157" s="40">
        <f>COUNTIF(System_configuration!B:B,A157)</f>
        <v>0</v>
      </c>
    </row>
    <row r="158" spans="1:10" s="29" customFormat="1" x14ac:dyDescent="0.2">
      <c r="A158" s="86" t="s">
        <v>14</v>
      </c>
      <c r="B158" s="45">
        <v>2000</v>
      </c>
      <c r="C158" s="43" t="s">
        <v>1534</v>
      </c>
      <c r="D158" s="45" t="s">
        <v>2748</v>
      </c>
      <c r="E158" s="45" t="s">
        <v>2749</v>
      </c>
      <c r="F158" s="45">
        <v>40</v>
      </c>
      <c r="G158" s="49" t="s">
        <v>3569</v>
      </c>
      <c r="H158" s="49" t="s">
        <v>3569</v>
      </c>
      <c r="I158" s="49" t="s">
        <v>3569</v>
      </c>
      <c r="J158" s="40">
        <f>COUNTIF(System_configuration!B:B,A158)</f>
        <v>0</v>
      </c>
    </row>
    <row r="159" spans="1:10" s="29" customFormat="1" x14ac:dyDescent="0.2">
      <c r="A159" s="86" t="s">
        <v>1260</v>
      </c>
      <c r="B159" s="43" t="s">
        <v>1534</v>
      </c>
      <c r="C159" s="45">
        <v>1750</v>
      </c>
      <c r="D159" s="45" t="s">
        <v>2750</v>
      </c>
      <c r="E159" s="45" t="s">
        <v>2751</v>
      </c>
      <c r="F159" s="45">
        <v>42</v>
      </c>
      <c r="G159" s="49" t="s">
        <v>3569</v>
      </c>
      <c r="H159" s="49" t="s">
        <v>3569</v>
      </c>
      <c r="I159" s="49" t="s">
        <v>3569</v>
      </c>
      <c r="J159" s="40">
        <f>COUNTIF(System_configuration!B:B,A159)</f>
        <v>0</v>
      </c>
    </row>
    <row r="160" spans="1:10" s="29" customFormat="1" x14ac:dyDescent="0.2">
      <c r="A160" s="86" t="s">
        <v>1261</v>
      </c>
      <c r="B160" s="43" t="s">
        <v>1534</v>
      </c>
      <c r="C160" s="45">
        <v>2000</v>
      </c>
      <c r="D160" s="45" t="s">
        <v>2752</v>
      </c>
      <c r="E160" s="45" t="s">
        <v>2753</v>
      </c>
      <c r="F160" s="45">
        <v>58</v>
      </c>
      <c r="G160" s="49" t="s">
        <v>3569</v>
      </c>
      <c r="H160" s="49" t="s">
        <v>3569</v>
      </c>
      <c r="I160" s="49" t="s">
        <v>3569</v>
      </c>
      <c r="J160" s="40">
        <f>COUNTIF(System_configuration!B:B,A160)</f>
        <v>0</v>
      </c>
    </row>
    <row r="161" spans="1:10" s="29" customFormat="1" x14ac:dyDescent="0.2">
      <c r="A161" s="86" t="s">
        <v>663</v>
      </c>
      <c r="B161" s="45">
        <v>2000</v>
      </c>
      <c r="C161" s="43" t="s">
        <v>1534</v>
      </c>
      <c r="D161" s="45" t="s">
        <v>2754</v>
      </c>
      <c r="E161" s="45" t="s">
        <v>2755</v>
      </c>
      <c r="F161" s="45">
        <v>42</v>
      </c>
      <c r="G161" s="49" t="s">
        <v>3569</v>
      </c>
      <c r="H161" s="49" t="s">
        <v>3569</v>
      </c>
      <c r="I161" s="49" t="s">
        <v>3569</v>
      </c>
      <c r="J161" s="40">
        <f>COUNTIF(System_configuration!B:B,A161)</f>
        <v>0</v>
      </c>
    </row>
    <row r="162" spans="1:10" s="29" customFormat="1" x14ac:dyDescent="0.2">
      <c r="A162" s="86" t="s">
        <v>2756</v>
      </c>
      <c r="B162" s="43" t="s">
        <v>1534</v>
      </c>
      <c r="C162" s="43" t="s">
        <v>1534</v>
      </c>
      <c r="D162" s="45" t="s">
        <v>2757</v>
      </c>
      <c r="E162" s="45" t="s">
        <v>2758</v>
      </c>
      <c r="F162" s="45">
        <v>57</v>
      </c>
      <c r="G162" s="50"/>
      <c r="H162" s="50"/>
      <c r="I162" s="50"/>
      <c r="J162" s="40">
        <f>COUNTIF(System_configuration!B:B,A162)</f>
        <v>0</v>
      </c>
    </row>
    <row r="163" spans="1:10" s="29" customFormat="1" x14ac:dyDescent="0.2">
      <c r="A163" s="86" t="s">
        <v>2759</v>
      </c>
      <c r="B163" s="43" t="s">
        <v>1534</v>
      </c>
      <c r="C163" s="43" t="s">
        <v>1534</v>
      </c>
      <c r="D163" s="45" t="s">
        <v>2760</v>
      </c>
      <c r="E163" s="45" t="s">
        <v>2761</v>
      </c>
      <c r="F163" s="45">
        <v>76</v>
      </c>
      <c r="G163" s="50"/>
      <c r="H163" s="50"/>
      <c r="I163" s="50"/>
      <c r="J163" s="40">
        <f>COUNTIF(System_configuration!B:B,A163)</f>
        <v>0</v>
      </c>
    </row>
    <row r="164" spans="1:10" s="29" customFormat="1" x14ac:dyDescent="0.2">
      <c r="A164" s="86" t="s">
        <v>2762</v>
      </c>
      <c r="B164" s="43" t="s">
        <v>1534</v>
      </c>
      <c r="C164" s="43" t="s">
        <v>1534</v>
      </c>
      <c r="D164" s="45" t="s">
        <v>2763</v>
      </c>
      <c r="E164" s="45" t="s">
        <v>2764</v>
      </c>
      <c r="F164" s="45">
        <v>95</v>
      </c>
      <c r="G164" s="50"/>
      <c r="H164" s="50"/>
      <c r="I164" s="50"/>
      <c r="J164" s="40">
        <f>COUNTIF(System_configuration!B:B,A164)</f>
        <v>0</v>
      </c>
    </row>
    <row r="165" spans="1:10" s="29" customFormat="1" x14ac:dyDescent="0.2">
      <c r="A165" s="86" t="s">
        <v>2765</v>
      </c>
      <c r="B165" s="43" t="s">
        <v>1534</v>
      </c>
      <c r="C165" s="43" t="s">
        <v>1534</v>
      </c>
      <c r="D165" s="45" t="s">
        <v>2766</v>
      </c>
      <c r="E165" s="45" t="s">
        <v>2767</v>
      </c>
      <c r="F165" s="45">
        <v>95</v>
      </c>
      <c r="G165" s="50"/>
      <c r="H165" s="50"/>
      <c r="I165" s="50"/>
      <c r="J165" s="40">
        <f>COUNTIF(System_configuration!B:B,A165)</f>
        <v>0</v>
      </c>
    </row>
    <row r="166" spans="1:10" s="29" customFormat="1" x14ac:dyDescent="0.2">
      <c r="A166" s="86" t="s">
        <v>2768</v>
      </c>
      <c r="B166" s="43" t="s">
        <v>1534</v>
      </c>
      <c r="C166" s="43" t="s">
        <v>1534</v>
      </c>
      <c r="D166" s="45" t="s">
        <v>2769</v>
      </c>
      <c r="E166" s="45" t="s">
        <v>2770</v>
      </c>
      <c r="F166" s="45">
        <v>38</v>
      </c>
      <c r="G166" s="50"/>
      <c r="H166" s="50"/>
      <c r="I166" s="50"/>
      <c r="J166" s="40">
        <f>COUNTIF(System_configuration!B:B,A166)</f>
        <v>0</v>
      </c>
    </row>
    <row r="167" spans="1:10" s="29" customFormat="1" x14ac:dyDescent="0.2">
      <c r="A167" s="86" t="s">
        <v>2771</v>
      </c>
      <c r="B167" s="43" t="s">
        <v>1534</v>
      </c>
      <c r="C167" s="43" t="s">
        <v>1534</v>
      </c>
      <c r="D167" s="45" t="s">
        <v>2772</v>
      </c>
      <c r="E167" s="45" t="s">
        <v>2773</v>
      </c>
      <c r="F167" s="45">
        <v>38</v>
      </c>
      <c r="G167" s="50"/>
      <c r="H167" s="50"/>
      <c r="I167" s="50"/>
      <c r="J167" s="40">
        <f>COUNTIF(System_configuration!B:B,A167)</f>
        <v>0</v>
      </c>
    </row>
    <row r="168" spans="1:10" s="29" customFormat="1" x14ac:dyDescent="0.2">
      <c r="A168" s="86" t="s">
        <v>2774</v>
      </c>
      <c r="B168" s="43" t="s">
        <v>1534</v>
      </c>
      <c r="C168" s="43" t="s">
        <v>1534</v>
      </c>
      <c r="D168" s="45" t="s">
        <v>2775</v>
      </c>
      <c r="E168" s="45" t="s">
        <v>2776</v>
      </c>
      <c r="F168" s="45">
        <v>38</v>
      </c>
      <c r="G168" s="50"/>
      <c r="H168" s="50"/>
      <c r="I168" s="50"/>
      <c r="J168" s="40">
        <f>COUNTIF(System_configuration!B:B,A168)</f>
        <v>0</v>
      </c>
    </row>
    <row r="169" spans="1:10" s="29" customFormat="1" x14ac:dyDescent="0.2">
      <c r="A169" s="86" t="s">
        <v>2777</v>
      </c>
      <c r="B169" s="43" t="s">
        <v>1534</v>
      </c>
      <c r="C169" s="43" t="s">
        <v>1534</v>
      </c>
      <c r="D169" s="45" t="s">
        <v>2778</v>
      </c>
      <c r="E169" s="45" t="s">
        <v>2779</v>
      </c>
      <c r="F169" s="45">
        <v>38</v>
      </c>
      <c r="G169" s="50"/>
      <c r="H169" s="50"/>
      <c r="I169" s="50"/>
      <c r="J169" s="40">
        <f>COUNTIF(System_configuration!B:B,A169)</f>
        <v>0</v>
      </c>
    </row>
    <row r="170" spans="1:10" s="29" customFormat="1" x14ac:dyDescent="0.2">
      <c r="A170" s="86" t="s">
        <v>2780</v>
      </c>
      <c r="B170" s="43" t="s">
        <v>1534</v>
      </c>
      <c r="C170" s="43" t="s">
        <v>1534</v>
      </c>
      <c r="D170" s="45" t="s">
        <v>2781</v>
      </c>
      <c r="E170" s="45" t="s">
        <v>2782</v>
      </c>
      <c r="F170" s="45">
        <v>38</v>
      </c>
      <c r="G170" s="50"/>
      <c r="H170" s="50"/>
      <c r="I170" s="50"/>
      <c r="J170" s="40">
        <f>COUNTIF(System_configuration!B:B,A170)</f>
        <v>0</v>
      </c>
    </row>
    <row r="171" spans="1:10" s="29" customFormat="1" x14ac:dyDescent="0.2">
      <c r="A171" s="86" t="s">
        <v>2783</v>
      </c>
      <c r="B171" s="43" t="s">
        <v>1534</v>
      </c>
      <c r="C171" s="43" t="s">
        <v>1534</v>
      </c>
      <c r="D171" s="45" t="s">
        <v>2784</v>
      </c>
      <c r="E171" s="45" t="s">
        <v>2785</v>
      </c>
      <c r="F171" s="45">
        <v>38</v>
      </c>
      <c r="G171" s="50"/>
      <c r="H171" s="50"/>
      <c r="I171" s="50"/>
      <c r="J171" s="40">
        <f>COUNTIF(System_configuration!B:B,A171)</f>
        <v>0</v>
      </c>
    </row>
    <row r="172" spans="1:10" s="29" customFormat="1" x14ac:dyDescent="0.2">
      <c r="A172" s="86" t="s">
        <v>2786</v>
      </c>
      <c r="B172" s="43" t="s">
        <v>1534</v>
      </c>
      <c r="C172" s="43" t="s">
        <v>1534</v>
      </c>
      <c r="D172" s="45" t="s">
        <v>2787</v>
      </c>
      <c r="E172" s="45" t="s">
        <v>2788</v>
      </c>
      <c r="F172" s="45">
        <v>38</v>
      </c>
      <c r="G172" s="50"/>
      <c r="H172" s="50"/>
      <c r="I172" s="50"/>
      <c r="J172" s="40">
        <f>COUNTIF(System_configuration!B:B,A172)</f>
        <v>0</v>
      </c>
    </row>
    <row r="173" spans="1:10" s="29" customFormat="1" x14ac:dyDescent="0.2">
      <c r="A173" s="86" t="s">
        <v>2789</v>
      </c>
      <c r="B173" s="43" t="s">
        <v>1534</v>
      </c>
      <c r="C173" s="43" t="s">
        <v>1534</v>
      </c>
      <c r="D173" s="45" t="s">
        <v>2790</v>
      </c>
      <c r="E173" s="45" t="s">
        <v>2791</v>
      </c>
      <c r="F173" s="45">
        <v>38</v>
      </c>
      <c r="G173" s="50"/>
      <c r="H173" s="50"/>
      <c r="I173" s="50"/>
      <c r="J173" s="40">
        <f>COUNTIF(System_configuration!B:B,A173)</f>
        <v>0</v>
      </c>
    </row>
    <row r="174" spans="1:10" s="29" customFormat="1" x14ac:dyDescent="0.2">
      <c r="A174" s="86" t="s">
        <v>2792</v>
      </c>
      <c r="B174" s="43" t="s">
        <v>1534</v>
      </c>
      <c r="C174" s="43" t="s">
        <v>1534</v>
      </c>
      <c r="D174" s="45" t="s">
        <v>2793</v>
      </c>
      <c r="E174" s="45" t="s">
        <v>2794</v>
      </c>
      <c r="F174" s="45">
        <v>38</v>
      </c>
      <c r="G174" s="50"/>
      <c r="H174" s="50"/>
      <c r="I174" s="50"/>
      <c r="J174" s="40">
        <f>COUNTIF(System_configuration!B:B,A174)</f>
        <v>0</v>
      </c>
    </row>
    <row r="175" spans="1:10" s="29" customFormat="1" x14ac:dyDescent="0.2">
      <c r="A175" s="86" t="s">
        <v>2795</v>
      </c>
      <c r="B175" s="43" t="s">
        <v>1534</v>
      </c>
      <c r="C175" s="43" t="s">
        <v>1534</v>
      </c>
      <c r="D175" s="45" t="s">
        <v>2796</v>
      </c>
      <c r="E175" s="45" t="s">
        <v>2797</v>
      </c>
      <c r="F175" s="58" t="s">
        <v>1534</v>
      </c>
      <c r="G175" s="50"/>
      <c r="H175" s="50"/>
      <c r="I175" s="50"/>
      <c r="J175" s="40">
        <f>COUNTIF(System_configuration!B:B,A175)</f>
        <v>0</v>
      </c>
    </row>
    <row r="176" spans="1:10" s="29" customFormat="1" x14ac:dyDescent="0.2">
      <c r="A176" s="86" t="s">
        <v>2798</v>
      </c>
      <c r="B176" s="43" t="s">
        <v>1534</v>
      </c>
      <c r="C176" s="43" t="s">
        <v>1534</v>
      </c>
      <c r="D176" s="45" t="s">
        <v>2799</v>
      </c>
      <c r="E176" s="45" t="s">
        <v>2800</v>
      </c>
      <c r="F176" s="58" t="s">
        <v>1534</v>
      </c>
      <c r="G176" s="50"/>
      <c r="H176" s="50"/>
      <c r="I176" s="50"/>
      <c r="J176" s="40">
        <f>COUNTIF(System_configuration!B:B,A176)</f>
        <v>0</v>
      </c>
    </row>
    <row r="177" spans="1:10" s="29" customFormat="1" x14ac:dyDescent="0.2">
      <c r="A177" s="86" t="s">
        <v>2801</v>
      </c>
      <c r="B177" s="43" t="s">
        <v>1534</v>
      </c>
      <c r="C177" s="43" t="s">
        <v>1534</v>
      </c>
      <c r="D177" s="45" t="s">
        <v>2802</v>
      </c>
      <c r="E177" s="45" t="s">
        <v>2803</v>
      </c>
      <c r="F177" s="58" t="s">
        <v>1534</v>
      </c>
      <c r="G177" s="50"/>
      <c r="H177" s="50"/>
      <c r="I177" s="50"/>
      <c r="J177" s="40">
        <f>COUNTIF(System_configuration!B:B,A177)</f>
        <v>0</v>
      </c>
    </row>
    <row r="178" spans="1:10" s="29" customFormat="1" x14ac:dyDescent="0.2">
      <c r="A178" s="86" t="s">
        <v>2804</v>
      </c>
      <c r="B178" s="43" t="s">
        <v>1534</v>
      </c>
      <c r="C178" s="43" t="s">
        <v>1534</v>
      </c>
      <c r="D178" s="45" t="s">
        <v>2805</v>
      </c>
      <c r="E178" s="45" t="s">
        <v>2806</v>
      </c>
      <c r="F178" s="58" t="s">
        <v>1534</v>
      </c>
      <c r="G178" s="50"/>
      <c r="H178" s="50"/>
      <c r="I178" s="50"/>
      <c r="J178" s="40">
        <f>COUNTIF(System_configuration!B:B,A178)</f>
        <v>0</v>
      </c>
    </row>
    <row r="179" spans="1:10" s="29" customFormat="1" x14ac:dyDescent="0.2">
      <c r="A179" s="86" t="s">
        <v>2807</v>
      </c>
      <c r="B179" s="43" t="s">
        <v>1534</v>
      </c>
      <c r="C179" s="43" t="s">
        <v>1534</v>
      </c>
      <c r="D179" s="45" t="s">
        <v>2808</v>
      </c>
      <c r="E179" s="45" t="s">
        <v>2809</v>
      </c>
      <c r="F179" s="58" t="s">
        <v>1534</v>
      </c>
      <c r="G179" s="50"/>
      <c r="H179" s="50"/>
      <c r="I179" s="50"/>
      <c r="J179" s="40">
        <f>COUNTIF(System_configuration!B:B,A179)</f>
        <v>0</v>
      </c>
    </row>
    <row r="180" spans="1:10" s="29" customFormat="1" x14ac:dyDescent="0.2">
      <c r="A180" s="86" t="s">
        <v>2810</v>
      </c>
      <c r="B180" s="43" t="s">
        <v>1534</v>
      </c>
      <c r="C180" s="43" t="s">
        <v>1534</v>
      </c>
      <c r="D180" s="45" t="s">
        <v>2811</v>
      </c>
      <c r="E180" s="45" t="s">
        <v>2812</v>
      </c>
      <c r="F180" s="58" t="s">
        <v>1534</v>
      </c>
      <c r="G180" s="50"/>
      <c r="H180" s="50"/>
      <c r="I180" s="50"/>
      <c r="J180" s="40">
        <f>COUNTIF(System_configuration!B:B,A180)</f>
        <v>0</v>
      </c>
    </row>
    <row r="181" spans="1:10" s="29" customFormat="1" x14ac:dyDescent="0.2">
      <c r="A181" s="86" t="s">
        <v>2813</v>
      </c>
      <c r="B181" s="43" t="s">
        <v>1534</v>
      </c>
      <c r="C181" s="43" t="s">
        <v>1534</v>
      </c>
      <c r="D181" s="45" t="s">
        <v>2814</v>
      </c>
      <c r="E181" s="45" t="s">
        <v>2815</v>
      </c>
      <c r="F181" s="58" t="s">
        <v>1534</v>
      </c>
      <c r="G181" s="50"/>
      <c r="H181" s="50"/>
      <c r="I181" s="50"/>
      <c r="J181" s="40">
        <f>COUNTIF(System_configuration!B:B,A181)</f>
        <v>0</v>
      </c>
    </row>
    <row r="182" spans="1:10" s="29" customFormat="1" x14ac:dyDescent="0.2">
      <c r="A182" s="86" t="s">
        <v>2816</v>
      </c>
      <c r="B182" s="43" t="s">
        <v>1534</v>
      </c>
      <c r="C182" s="43" t="s">
        <v>1534</v>
      </c>
      <c r="D182" s="45" t="s">
        <v>2817</v>
      </c>
      <c r="E182" s="45" t="s">
        <v>2818</v>
      </c>
      <c r="F182" s="58" t="s">
        <v>1534</v>
      </c>
      <c r="G182" s="50"/>
      <c r="H182" s="50"/>
      <c r="I182" s="50"/>
      <c r="J182" s="40">
        <f>COUNTIF(System_configuration!B:B,A182)</f>
        <v>0</v>
      </c>
    </row>
    <row r="183" spans="1:10" s="29" customFormat="1" x14ac:dyDescent="0.2">
      <c r="A183" s="86" t="s">
        <v>2819</v>
      </c>
      <c r="B183" s="43" t="s">
        <v>1534</v>
      </c>
      <c r="C183" s="43" t="s">
        <v>1534</v>
      </c>
      <c r="D183" s="45" t="s">
        <v>2820</v>
      </c>
      <c r="E183" s="45" t="s">
        <v>2821</v>
      </c>
      <c r="F183" s="58" t="s">
        <v>1534</v>
      </c>
      <c r="G183" s="50"/>
      <c r="H183" s="50"/>
      <c r="I183" s="50"/>
      <c r="J183" s="40">
        <f>COUNTIF(System_configuration!B:B,A183)</f>
        <v>0</v>
      </c>
    </row>
    <row r="184" spans="1:10" s="29" customFormat="1" x14ac:dyDescent="0.2">
      <c r="A184" s="86" t="s">
        <v>2822</v>
      </c>
      <c r="B184" s="43" t="s">
        <v>1534</v>
      </c>
      <c r="C184" s="43" t="s">
        <v>1534</v>
      </c>
      <c r="D184" s="45" t="s">
        <v>2823</v>
      </c>
      <c r="E184" s="45" t="s">
        <v>2824</v>
      </c>
      <c r="F184" s="58" t="s">
        <v>1534</v>
      </c>
      <c r="G184" s="50"/>
      <c r="H184" s="50"/>
      <c r="I184" s="50"/>
      <c r="J184" s="40">
        <f>COUNTIF(System_configuration!B:B,A184)</f>
        <v>0</v>
      </c>
    </row>
    <row r="185" spans="1:10" s="29" customFormat="1" x14ac:dyDescent="0.2">
      <c r="A185" s="86" t="s">
        <v>2825</v>
      </c>
      <c r="B185" s="43" t="s">
        <v>1534</v>
      </c>
      <c r="C185" s="43" t="s">
        <v>1534</v>
      </c>
      <c r="D185" s="45" t="s">
        <v>2826</v>
      </c>
      <c r="E185" s="45" t="s">
        <v>2827</v>
      </c>
      <c r="F185" s="58" t="s">
        <v>1534</v>
      </c>
      <c r="G185" s="50"/>
      <c r="H185" s="50"/>
      <c r="I185" s="50"/>
      <c r="J185" s="40">
        <f>COUNTIF(System_configuration!B:B,A185)</f>
        <v>0</v>
      </c>
    </row>
    <row r="186" spans="1:10" s="29" customFormat="1" x14ac:dyDescent="0.2">
      <c r="A186" s="86" t="s">
        <v>2828</v>
      </c>
      <c r="B186" s="43" t="s">
        <v>1534</v>
      </c>
      <c r="C186" s="43" t="s">
        <v>1534</v>
      </c>
      <c r="D186" s="45" t="s">
        <v>2829</v>
      </c>
      <c r="E186" s="45" t="s">
        <v>2830</v>
      </c>
      <c r="F186" s="58" t="s">
        <v>1534</v>
      </c>
      <c r="G186" s="50"/>
      <c r="H186" s="50"/>
      <c r="I186" s="50"/>
      <c r="J186" s="40">
        <f>COUNTIF(System_configuration!B:B,A186)</f>
        <v>0</v>
      </c>
    </row>
    <row r="187" spans="1:10" s="29" customFormat="1" x14ac:dyDescent="0.2">
      <c r="A187" s="86" t="s">
        <v>2831</v>
      </c>
      <c r="B187" s="43" t="s">
        <v>1534</v>
      </c>
      <c r="C187" s="43" t="s">
        <v>1534</v>
      </c>
      <c r="D187" s="45" t="s">
        <v>2832</v>
      </c>
      <c r="E187" s="45" t="s">
        <v>2833</v>
      </c>
      <c r="F187" s="58" t="s">
        <v>1534</v>
      </c>
      <c r="G187" s="50"/>
      <c r="H187" s="50"/>
      <c r="I187" s="50"/>
      <c r="J187" s="40">
        <f>COUNTIF(System_configuration!B:B,A187)</f>
        <v>0</v>
      </c>
    </row>
    <row r="188" spans="1:10" s="29" customFormat="1" x14ac:dyDescent="0.2">
      <c r="A188" s="86" t="s">
        <v>2834</v>
      </c>
      <c r="B188" s="43" t="s">
        <v>1534</v>
      </c>
      <c r="C188" s="43" t="s">
        <v>1534</v>
      </c>
      <c r="D188" s="45" t="s">
        <v>2835</v>
      </c>
      <c r="E188" s="45" t="s">
        <v>2836</v>
      </c>
      <c r="F188" s="58" t="s">
        <v>1534</v>
      </c>
      <c r="G188" s="50"/>
      <c r="H188" s="50"/>
      <c r="I188" s="50"/>
      <c r="J188" s="40">
        <f>COUNTIF(System_configuration!B:B,A188)</f>
        <v>0</v>
      </c>
    </row>
    <row r="189" spans="1:10" s="29" customFormat="1" x14ac:dyDescent="0.2">
      <c r="A189" s="86" t="s">
        <v>2837</v>
      </c>
      <c r="B189" s="43" t="s">
        <v>1534</v>
      </c>
      <c r="C189" s="43" t="s">
        <v>1534</v>
      </c>
      <c r="D189" s="45" t="s">
        <v>2838</v>
      </c>
      <c r="E189" s="45" t="s">
        <v>2839</v>
      </c>
      <c r="F189" s="58" t="s">
        <v>1534</v>
      </c>
      <c r="G189" s="50"/>
      <c r="H189" s="50"/>
      <c r="I189" s="50"/>
      <c r="J189" s="40">
        <f>COUNTIF(System_configuration!B:B,A189)</f>
        <v>0</v>
      </c>
    </row>
    <row r="190" spans="1:10" s="29" customFormat="1" x14ac:dyDescent="0.2">
      <c r="A190" s="86" t="s">
        <v>2840</v>
      </c>
      <c r="B190" s="43" t="s">
        <v>1534</v>
      </c>
      <c r="C190" s="43" t="s">
        <v>1534</v>
      </c>
      <c r="D190" s="45" t="s">
        <v>2841</v>
      </c>
      <c r="E190" s="45" t="s">
        <v>2842</v>
      </c>
      <c r="F190" s="58" t="s">
        <v>1534</v>
      </c>
      <c r="G190" s="50"/>
      <c r="H190" s="50"/>
      <c r="I190" s="50"/>
      <c r="J190" s="40">
        <f>COUNTIF(System_configuration!B:B,A190)</f>
        <v>0</v>
      </c>
    </row>
    <row r="191" spans="1:10" s="29" customFormat="1" x14ac:dyDescent="0.2">
      <c r="A191" s="86" t="s">
        <v>2843</v>
      </c>
      <c r="B191" s="43" t="s">
        <v>1534</v>
      </c>
      <c r="C191" s="43" t="s">
        <v>1534</v>
      </c>
      <c r="D191" s="45" t="s">
        <v>2844</v>
      </c>
      <c r="E191" s="45" t="s">
        <v>2845</v>
      </c>
      <c r="F191" s="58" t="s">
        <v>1534</v>
      </c>
      <c r="G191" s="50"/>
      <c r="H191" s="50"/>
      <c r="I191" s="50"/>
      <c r="J191" s="40">
        <f>COUNTIF(System_configuration!B:B,A191)</f>
        <v>0</v>
      </c>
    </row>
    <row r="192" spans="1:10" s="29" customFormat="1" x14ac:dyDescent="0.2">
      <c r="A192" s="86" t="s">
        <v>2846</v>
      </c>
      <c r="B192" s="43" t="s">
        <v>1534</v>
      </c>
      <c r="C192" s="43" t="s">
        <v>1534</v>
      </c>
      <c r="D192" s="45" t="s">
        <v>2847</v>
      </c>
      <c r="E192" s="45" t="s">
        <v>2848</v>
      </c>
      <c r="F192" s="58" t="s">
        <v>1534</v>
      </c>
      <c r="G192" s="50"/>
      <c r="H192" s="50"/>
      <c r="I192" s="50"/>
      <c r="J192" s="40">
        <f>COUNTIF(System_configuration!B:B,A192)</f>
        <v>0</v>
      </c>
    </row>
    <row r="193" spans="1:10" s="29" customFormat="1" x14ac:dyDescent="0.2">
      <c r="A193" s="86" t="s">
        <v>2849</v>
      </c>
      <c r="B193" s="43" t="s">
        <v>1534</v>
      </c>
      <c r="C193" s="43" t="s">
        <v>1534</v>
      </c>
      <c r="D193" s="45" t="s">
        <v>2850</v>
      </c>
      <c r="E193" s="45" t="s">
        <v>2851</v>
      </c>
      <c r="F193" s="58" t="s">
        <v>1534</v>
      </c>
      <c r="G193" s="50"/>
      <c r="H193" s="50"/>
      <c r="I193" s="50"/>
      <c r="J193" s="40">
        <f>COUNTIF(System_configuration!B:B,A193)</f>
        <v>0</v>
      </c>
    </row>
    <row r="194" spans="1:10" s="29" customFormat="1" x14ac:dyDescent="0.2">
      <c r="A194" s="86" t="s">
        <v>2852</v>
      </c>
      <c r="B194" s="43" t="s">
        <v>1534</v>
      </c>
      <c r="C194" s="43" t="s">
        <v>1534</v>
      </c>
      <c r="D194" s="45" t="s">
        <v>2853</v>
      </c>
      <c r="E194" s="45" t="s">
        <v>2854</v>
      </c>
      <c r="F194" s="58" t="s">
        <v>1534</v>
      </c>
      <c r="G194" s="50"/>
      <c r="H194" s="50"/>
      <c r="I194" s="50"/>
      <c r="J194" s="40">
        <f>COUNTIF(System_configuration!B:B,A194)</f>
        <v>0</v>
      </c>
    </row>
    <row r="195" spans="1:10" s="29" customFormat="1" x14ac:dyDescent="0.2">
      <c r="A195" s="86" t="s">
        <v>2855</v>
      </c>
      <c r="B195" s="43" t="s">
        <v>1534</v>
      </c>
      <c r="C195" s="43" t="s">
        <v>1534</v>
      </c>
      <c r="D195" s="45" t="s">
        <v>2856</v>
      </c>
      <c r="E195" s="45" t="s">
        <v>2857</v>
      </c>
      <c r="F195" s="58" t="s">
        <v>1534</v>
      </c>
      <c r="G195" s="50"/>
      <c r="H195" s="50"/>
      <c r="I195" s="50"/>
      <c r="J195" s="40">
        <f>COUNTIF(System_configuration!B:B,A195)</f>
        <v>0</v>
      </c>
    </row>
    <row r="196" spans="1:10" s="29" customFormat="1" x14ac:dyDescent="0.2">
      <c r="A196" s="86" t="s">
        <v>2858</v>
      </c>
      <c r="B196" s="43" t="s">
        <v>1534</v>
      </c>
      <c r="C196" s="43" t="s">
        <v>1534</v>
      </c>
      <c r="D196" s="45" t="s">
        <v>2859</v>
      </c>
      <c r="E196" s="45" t="s">
        <v>2860</v>
      </c>
      <c r="F196" s="58" t="s">
        <v>1534</v>
      </c>
      <c r="G196" s="50"/>
      <c r="H196" s="50"/>
      <c r="I196" s="50"/>
      <c r="J196" s="40">
        <f>COUNTIF(System_configuration!B:B,A196)</f>
        <v>0</v>
      </c>
    </row>
    <row r="197" spans="1:10" s="29" customFormat="1" x14ac:dyDescent="0.2">
      <c r="A197" s="86" t="s">
        <v>2861</v>
      </c>
      <c r="B197" s="43" t="s">
        <v>1534</v>
      </c>
      <c r="C197" s="43" t="s">
        <v>1534</v>
      </c>
      <c r="D197" s="45" t="s">
        <v>2862</v>
      </c>
      <c r="E197" s="45" t="s">
        <v>2863</v>
      </c>
      <c r="F197" s="58" t="s">
        <v>1534</v>
      </c>
      <c r="G197" s="50"/>
      <c r="H197" s="50"/>
      <c r="I197" s="50"/>
      <c r="J197" s="40">
        <f>COUNTIF(System_configuration!B:B,A197)</f>
        <v>0</v>
      </c>
    </row>
    <row r="198" spans="1:10" s="29" customFormat="1" x14ac:dyDescent="0.2">
      <c r="A198" s="86" t="s">
        <v>2864</v>
      </c>
      <c r="B198" s="43" t="s">
        <v>1534</v>
      </c>
      <c r="C198" s="43" t="s">
        <v>1534</v>
      </c>
      <c r="D198" s="45" t="s">
        <v>2865</v>
      </c>
      <c r="E198" s="45" t="s">
        <v>2866</v>
      </c>
      <c r="F198" s="58" t="s">
        <v>1534</v>
      </c>
      <c r="G198" s="50"/>
      <c r="H198" s="50"/>
      <c r="I198" s="50"/>
      <c r="J198" s="40">
        <f>COUNTIF(System_configuration!B:B,A198)</f>
        <v>0</v>
      </c>
    </row>
    <row r="199" spans="1:10" s="29" customFormat="1" x14ac:dyDescent="0.2">
      <c r="A199" s="86" t="s">
        <v>2867</v>
      </c>
      <c r="B199" s="43" t="s">
        <v>1534</v>
      </c>
      <c r="C199" s="43" t="s">
        <v>1534</v>
      </c>
      <c r="D199" s="45" t="s">
        <v>2868</v>
      </c>
      <c r="E199" s="45" t="s">
        <v>2869</v>
      </c>
      <c r="F199" s="58" t="s">
        <v>1534</v>
      </c>
      <c r="G199" s="50"/>
      <c r="H199" s="50"/>
      <c r="I199" s="50"/>
      <c r="J199" s="40">
        <f>COUNTIF(System_configuration!B:B,A199)</f>
        <v>0</v>
      </c>
    </row>
    <row r="200" spans="1:10" s="29" customFormat="1" x14ac:dyDescent="0.2">
      <c r="A200" s="86" t="s">
        <v>2870</v>
      </c>
      <c r="B200" s="43" t="s">
        <v>1534</v>
      </c>
      <c r="C200" s="43" t="s">
        <v>1534</v>
      </c>
      <c r="D200" s="45" t="s">
        <v>2871</v>
      </c>
      <c r="E200" s="45" t="s">
        <v>2872</v>
      </c>
      <c r="F200" s="58" t="s">
        <v>1534</v>
      </c>
      <c r="G200" s="50"/>
      <c r="H200" s="50"/>
      <c r="I200" s="50"/>
      <c r="J200" s="40">
        <f>COUNTIF(System_configuration!B:B,A200)</f>
        <v>0</v>
      </c>
    </row>
    <row r="201" spans="1:10" s="29" customFormat="1" x14ac:dyDescent="0.2">
      <c r="A201" s="86" t="s">
        <v>2873</v>
      </c>
      <c r="B201" s="43" t="s">
        <v>1534</v>
      </c>
      <c r="C201" s="43" t="s">
        <v>1534</v>
      </c>
      <c r="D201" s="45" t="s">
        <v>2874</v>
      </c>
      <c r="E201" s="45" t="s">
        <v>2875</v>
      </c>
      <c r="F201" s="58" t="s">
        <v>1534</v>
      </c>
      <c r="G201" s="50"/>
      <c r="H201" s="50"/>
      <c r="I201" s="50"/>
      <c r="J201" s="40">
        <f>COUNTIF(System_configuration!B:B,A201)</f>
        <v>0</v>
      </c>
    </row>
    <row r="202" spans="1:10" s="29" customFormat="1" x14ac:dyDescent="0.2">
      <c r="A202" s="86" t="s">
        <v>2876</v>
      </c>
      <c r="B202" s="43" t="s">
        <v>1534</v>
      </c>
      <c r="C202" s="43" t="s">
        <v>1534</v>
      </c>
      <c r="D202" s="45" t="s">
        <v>2877</v>
      </c>
      <c r="E202" s="45" t="s">
        <v>2878</v>
      </c>
      <c r="F202" s="58" t="s">
        <v>1534</v>
      </c>
      <c r="G202" s="50"/>
      <c r="H202" s="50"/>
      <c r="I202" s="50"/>
      <c r="J202" s="40">
        <f>COUNTIF(System_configuration!B:B,A202)</f>
        <v>0</v>
      </c>
    </row>
    <row r="203" spans="1:10" s="29" customFormat="1" x14ac:dyDescent="0.2">
      <c r="A203" s="86" t="s">
        <v>2879</v>
      </c>
      <c r="B203" s="43" t="s">
        <v>1534</v>
      </c>
      <c r="C203" s="43" t="s">
        <v>1534</v>
      </c>
      <c r="D203" s="45" t="s">
        <v>2880</v>
      </c>
      <c r="E203" s="45" t="s">
        <v>2881</v>
      </c>
      <c r="F203" s="58" t="s">
        <v>1534</v>
      </c>
      <c r="G203" s="50"/>
      <c r="H203" s="50"/>
      <c r="I203" s="50"/>
      <c r="J203" s="40">
        <f>COUNTIF(System_configuration!B:B,A203)</f>
        <v>0</v>
      </c>
    </row>
    <row r="204" spans="1:10" s="29" customFormat="1" x14ac:dyDescent="0.2">
      <c r="A204" s="86" t="s">
        <v>2882</v>
      </c>
      <c r="B204" s="43" t="s">
        <v>1534</v>
      </c>
      <c r="C204" s="43" t="s">
        <v>1534</v>
      </c>
      <c r="D204" s="45" t="s">
        <v>2883</v>
      </c>
      <c r="E204" s="45" t="s">
        <v>2884</v>
      </c>
      <c r="F204" s="58" t="s">
        <v>1534</v>
      </c>
      <c r="G204" s="50"/>
      <c r="H204" s="50"/>
      <c r="I204" s="50"/>
      <c r="J204" s="40">
        <f>COUNTIF(System_configuration!B:B,A204)</f>
        <v>0</v>
      </c>
    </row>
    <row r="205" spans="1:10" s="29" customFormat="1" x14ac:dyDescent="0.2">
      <c r="A205" s="86" t="s">
        <v>2885</v>
      </c>
      <c r="B205" s="43" t="s">
        <v>1534</v>
      </c>
      <c r="C205" s="43" t="s">
        <v>1534</v>
      </c>
      <c r="D205" s="45" t="s">
        <v>2886</v>
      </c>
      <c r="E205" s="45" t="s">
        <v>2887</v>
      </c>
      <c r="F205" s="58" t="s">
        <v>1534</v>
      </c>
      <c r="G205" s="50"/>
      <c r="H205" s="50"/>
      <c r="I205" s="50"/>
      <c r="J205" s="40">
        <f>COUNTIF(System_configuration!B:B,A205)</f>
        <v>0</v>
      </c>
    </row>
    <row r="206" spans="1:10" s="29" customFormat="1" x14ac:dyDescent="0.2">
      <c r="A206" s="86" t="s">
        <v>2888</v>
      </c>
      <c r="B206" s="43" t="s">
        <v>1534</v>
      </c>
      <c r="C206" s="43" t="s">
        <v>1534</v>
      </c>
      <c r="D206" s="45" t="s">
        <v>2889</v>
      </c>
      <c r="E206" s="45" t="s">
        <v>2890</v>
      </c>
      <c r="F206" s="58" t="s">
        <v>1534</v>
      </c>
      <c r="G206" s="50"/>
      <c r="H206" s="50"/>
      <c r="I206" s="50"/>
      <c r="J206" s="40">
        <f>COUNTIF(System_configuration!B:B,A206)</f>
        <v>0</v>
      </c>
    </row>
    <row r="207" spans="1:10" s="29" customFormat="1" x14ac:dyDescent="0.2">
      <c r="A207" s="86" t="s">
        <v>2891</v>
      </c>
      <c r="B207" s="43" t="s">
        <v>1534</v>
      </c>
      <c r="C207" s="43" t="s">
        <v>1534</v>
      </c>
      <c r="D207" s="45" t="s">
        <v>2892</v>
      </c>
      <c r="E207" s="45" t="s">
        <v>2893</v>
      </c>
      <c r="F207" s="58" t="s">
        <v>1534</v>
      </c>
      <c r="G207" s="50"/>
      <c r="H207" s="50"/>
      <c r="I207" s="50"/>
      <c r="J207" s="40">
        <f>COUNTIF(System_configuration!B:B,A207)</f>
        <v>0</v>
      </c>
    </row>
    <row r="208" spans="1:10" s="29" customFormat="1" x14ac:dyDescent="0.2">
      <c r="A208" s="86" t="s">
        <v>2894</v>
      </c>
      <c r="B208" s="43" t="s">
        <v>1534</v>
      </c>
      <c r="C208" s="43" t="s">
        <v>1534</v>
      </c>
      <c r="D208" s="45" t="s">
        <v>2895</v>
      </c>
      <c r="E208" s="45" t="s">
        <v>2896</v>
      </c>
      <c r="F208" s="58" t="s">
        <v>1534</v>
      </c>
      <c r="G208" s="50"/>
      <c r="H208" s="50"/>
      <c r="I208" s="50"/>
      <c r="J208" s="40">
        <f>COUNTIF(System_configuration!B:B,A208)</f>
        <v>0</v>
      </c>
    </row>
    <row r="209" spans="1:10" s="29" customFormat="1" x14ac:dyDescent="0.2">
      <c r="A209" s="86" t="s">
        <v>2897</v>
      </c>
      <c r="B209" s="43" t="s">
        <v>1534</v>
      </c>
      <c r="C209" s="43" t="s">
        <v>1534</v>
      </c>
      <c r="D209" s="45" t="s">
        <v>2898</v>
      </c>
      <c r="E209" s="45" t="s">
        <v>2899</v>
      </c>
      <c r="F209" s="58" t="s">
        <v>1534</v>
      </c>
      <c r="G209" s="50"/>
      <c r="H209" s="50"/>
      <c r="I209" s="50"/>
      <c r="J209" s="40">
        <f>COUNTIF(System_configuration!B:B,A209)</f>
        <v>0</v>
      </c>
    </row>
    <row r="210" spans="1:10" s="29" customFormat="1" x14ac:dyDescent="0.2">
      <c r="A210" s="86" t="s">
        <v>2900</v>
      </c>
      <c r="B210" s="43" t="s">
        <v>1534</v>
      </c>
      <c r="C210" s="43" t="s">
        <v>1534</v>
      </c>
      <c r="D210" s="45" t="s">
        <v>2901</v>
      </c>
      <c r="E210" s="45" t="s">
        <v>2902</v>
      </c>
      <c r="F210" s="58" t="s">
        <v>1534</v>
      </c>
      <c r="G210" s="50"/>
      <c r="H210" s="50"/>
      <c r="I210" s="50"/>
      <c r="J210" s="40">
        <f>COUNTIF(System_configuration!B:B,A210)</f>
        <v>0</v>
      </c>
    </row>
    <row r="211" spans="1:10" s="29" customFormat="1" x14ac:dyDescent="0.2">
      <c r="A211" s="86" t="s">
        <v>2903</v>
      </c>
      <c r="B211" s="43" t="s">
        <v>1534</v>
      </c>
      <c r="C211" s="43" t="s">
        <v>1534</v>
      </c>
      <c r="D211" s="45" t="s">
        <v>2904</v>
      </c>
      <c r="E211" s="45" t="s">
        <v>2905</v>
      </c>
      <c r="F211" s="58" t="s">
        <v>1534</v>
      </c>
      <c r="G211" s="50"/>
      <c r="H211" s="50"/>
      <c r="I211" s="50"/>
      <c r="J211" s="40">
        <f>COUNTIF(System_configuration!B:B,A211)</f>
        <v>0</v>
      </c>
    </row>
    <row r="212" spans="1:10" s="29" customFormat="1" x14ac:dyDescent="0.2">
      <c r="A212" s="86" t="s">
        <v>2906</v>
      </c>
      <c r="B212" s="43" t="s">
        <v>1534</v>
      </c>
      <c r="C212" s="43" t="s">
        <v>1534</v>
      </c>
      <c r="D212" s="45" t="s">
        <v>2907</v>
      </c>
      <c r="E212" s="45" t="s">
        <v>2908</v>
      </c>
      <c r="F212" s="45">
        <v>144</v>
      </c>
      <c r="G212" s="50"/>
      <c r="H212" s="50"/>
      <c r="I212" s="50"/>
      <c r="J212" s="40">
        <f>COUNTIF(System_configuration!B:B,A212)</f>
        <v>0</v>
      </c>
    </row>
    <row r="213" spans="1:10" s="29" customFormat="1" x14ac:dyDescent="0.2">
      <c r="A213" s="86" t="s">
        <v>2909</v>
      </c>
      <c r="B213" s="43" t="s">
        <v>1534</v>
      </c>
      <c r="C213" s="43" t="s">
        <v>1534</v>
      </c>
      <c r="D213" s="45" t="s">
        <v>2910</v>
      </c>
      <c r="E213" s="45" t="s">
        <v>2911</v>
      </c>
      <c r="F213" s="45">
        <v>144</v>
      </c>
      <c r="G213" s="50"/>
      <c r="H213" s="50"/>
      <c r="I213" s="50"/>
      <c r="J213" s="40">
        <f>COUNTIF(System_configuration!B:B,A213)</f>
        <v>0</v>
      </c>
    </row>
    <row r="214" spans="1:10" s="29" customFormat="1" x14ac:dyDescent="0.2">
      <c r="A214" s="86" t="s">
        <v>2912</v>
      </c>
      <c r="B214" s="43" t="s">
        <v>1534</v>
      </c>
      <c r="C214" s="43" t="s">
        <v>1534</v>
      </c>
      <c r="D214" s="45" t="s">
        <v>2913</v>
      </c>
      <c r="E214" s="45" t="s">
        <v>2914</v>
      </c>
      <c r="F214" s="45">
        <v>144</v>
      </c>
      <c r="G214" s="50"/>
      <c r="H214" s="50"/>
      <c r="I214" s="50"/>
      <c r="J214" s="40">
        <f>COUNTIF(System_configuration!B:B,A214)</f>
        <v>0</v>
      </c>
    </row>
    <row r="215" spans="1:10" s="29" customFormat="1" x14ac:dyDescent="0.2">
      <c r="A215" s="86" t="s">
        <v>2915</v>
      </c>
      <c r="B215" s="43" t="s">
        <v>1534</v>
      </c>
      <c r="C215" s="43" t="s">
        <v>1534</v>
      </c>
      <c r="D215" s="45" t="s">
        <v>2916</v>
      </c>
      <c r="E215" s="45" t="s">
        <v>2917</v>
      </c>
      <c r="F215" s="45">
        <v>144</v>
      </c>
      <c r="G215" s="50"/>
      <c r="H215" s="50"/>
      <c r="I215" s="50"/>
      <c r="J215" s="40">
        <f>COUNTIF(System_configuration!B:B,A215)</f>
        <v>0</v>
      </c>
    </row>
    <row r="216" spans="1:10" s="29" customFormat="1" x14ac:dyDescent="0.2">
      <c r="A216" s="86" t="s">
        <v>2918</v>
      </c>
      <c r="B216" s="43" t="s">
        <v>1534</v>
      </c>
      <c r="C216" s="43" t="s">
        <v>1534</v>
      </c>
      <c r="D216" s="45" t="s">
        <v>2919</v>
      </c>
      <c r="E216" s="45" t="s">
        <v>2920</v>
      </c>
      <c r="F216" s="45">
        <v>144</v>
      </c>
      <c r="G216" s="50"/>
      <c r="H216" s="50"/>
      <c r="I216" s="50"/>
      <c r="J216" s="40">
        <f>COUNTIF(System_configuration!B:B,A216)</f>
        <v>0</v>
      </c>
    </row>
    <row r="217" spans="1:10" s="29" customFormat="1" x14ac:dyDescent="0.2">
      <c r="A217" s="86" t="s">
        <v>2921</v>
      </c>
      <c r="B217" s="43" t="s">
        <v>1534</v>
      </c>
      <c r="C217" s="43" t="s">
        <v>1534</v>
      </c>
      <c r="D217" s="45" t="s">
        <v>2922</v>
      </c>
      <c r="E217" s="45" t="s">
        <v>2923</v>
      </c>
      <c r="F217" s="45">
        <v>144</v>
      </c>
      <c r="G217" s="50"/>
      <c r="H217" s="50"/>
      <c r="I217" s="50"/>
      <c r="J217" s="40">
        <f>COUNTIF(System_configuration!B:B,A217)</f>
        <v>0</v>
      </c>
    </row>
    <row r="218" spans="1:10" s="29" customFormat="1" x14ac:dyDescent="0.2">
      <c r="A218" s="86" t="s">
        <v>2924</v>
      </c>
      <c r="B218" s="43" t="s">
        <v>1534</v>
      </c>
      <c r="C218" s="43" t="s">
        <v>1534</v>
      </c>
      <c r="D218" s="45" t="s">
        <v>2925</v>
      </c>
      <c r="E218" s="45" t="s">
        <v>2926</v>
      </c>
      <c r="F218" s="45">
        <v>144</v>
      </c>
      <c r="G218" s="50"/>
      <c r="H218" s="50"/>
      <c r="I218" s="50"/>
      <c r="J218" s="40">
        <f>COUNTIF(System_configuration!B:B,A218)</f>
        <v>0</v>
      </c>
    </row>
    <row r="219" spans="1:10" s="29" customFormat="1" x14ac:dyDescent="0.2">
      <c r="A219" s="86" t="s">
        <v>2927</v>
      </c>
      <c r="B219" s="43" t="s">
        <v>1534</v>
      </c>
      <c r="C219" s="43" t="s">
        <v>1534</v>
      </c>
      <c r="D219" s="45" t="s">
        <v>2928</v>
      </c>
      <c r="E219" s="45" t="s">
        <v>2929</v>
      </c>
      <c r="F219" s="45">
        <v>144</v>
      </c>
      <c r="G219" s="50"/>
      <c r="H219" s="50"/>
      <c r="I219" s="50"/>
      <c r="J219" s="40">
        <f>COUNTIF(System_configuration!B:B,A219)</f>
        <v>0</v>
      </c>
    </row>
    <row r="220" spans="1:10" s="29" customFormat="1" x14ac:dyDescent="0.2">
      <c r="A220" s="86" t="s">
        <v>2930</v>
      </c>
      <c r="B220" s="43" t="s">
        <v>1534</v>
      </c>
      <c r="C220" s="43" t="s">
        <v>1534</v>
      </c>
      <c r="D220" s="45" t="s">
        <v>2931</v>
      </c>
      <c r="E220" s="45" t="s">
        <v>2932</v>
      </c>
      <c r="F220" s="45">
        <v>144</v>
      </c>
      <c r="G220" s="50"/>
      <c r="H220" s="50"/>
      <c r="I220" s="50"/>
      <c r="J220" s="40">
        <f>COUNTIF(System_configuration!B:B,A220)</f>
        <v>0</v>
      </c>
    </row>
    <row r="221" spans="1:10" s="29" customFormat="1" x14ac:dyDescent="0.2">
      <c r="A221" s="86" t="s">
        <v>2933</v>
      </c>
      <c r="B221" s="43" t="s">
        <v>1534</v>
      </c>
      <c r="C221" s="43" t="s">
        <v>1534</v>
      </c>
      <c r="D221" s="45" t="s">
        <v>2934</v>
      </c>
      <c r="E221" s="45" t="s">
        <v>2935</v>
      </c>
      <c r="F221" s="45">
        <v>144</v>
      </c>
      <c r="G221" s="50"/>
      <c r="H221" s="50"/>
      <c r="I221" s="50"/>
      <c r="J221" s="40">
        <f>COUNTIF(System_configuration!B:B,A221)</f>
        <v>0</v>
      </c>
    </row>
    <row r="222" spans="1:10" s="29" customFormat="1" x14ac:dyDescent="0.2">
      <c r="A222" s="86" t="s">
        <v>2936</v>
      </c>
      <c r="B222" s="43" t="s">
        <v>1534</v>
      </c>
      <c r="C222" s="43" t="s">
        <v>1534</v>
      </c>
      <c r="D222" s="45" t="s">
        <v>2937</v>
      </c>
      <c r="E222" s="45" t="s">
        <v>2938</v>
      </c>
      <c r="F222" s="45">
        <v>144</v>
      </c>
      <c r="G222" s="50"/>
      <c r="H222" s="50"/>
      <c r="I222" s="50"/>
      <c r="J222" s="40">
        <f>COUNTIF(System_configuration!B:B,A222)</f>
        <v>0</v>
      </c>
    </row>
    <row r="223" spans="1:10" s="29" customFormat="1" x14ac:dyDescent="0.2">
      <c r="A223" s="86" t="s">
        <v>2939</v>
      </c>
      <c r="B223" s="43" t="s">
        <v>1534</v>
      </c>
      <c r="C223" s="43" t="s">
        <v>1534</v>
      </c>
      <c r="D223" s="45" t="s">
        <v>2940</v>
      </c>
      <c r="E223" s="45" t="s">
        <v>2941</v>
      </c>
      <c r="F223" s="45">
        <v>144</v>
      </c>
      <c r="G223" s="50"/>
      <c r="H223" s="50"/>
      <c r="I223" s="50"/>
      <c r="J223" s="40">
        <f>COUNTIF(System_configuration!B:B,A223)</f>
        <v>0</v>
      </c>
    </row>
    <row r="224" spans="1:10" s="29" customFormat="1" x14ac:dyDescent="0.2">
      <c r="A224" s="86" t="s">
        <v>2942</v>
      </c>
      <c r="B224" s="43" t="s">
        <v>1534</v>
      </c>
      <c r="C224" s="43" t="s">
        <v>1534</v>
      </c>
      <c r="D224" s="45" t="s">
        <v>2943</v>
      </c>
      <c r="E224" s="45" t="s">
        <v>2944</v>
      </c>
      <c r="F224" s="45">
        <v>144</v>
      </c>
      <c r="G224" s="50"/>
      <c r="H224" s="50"/>
      <c r="I224" s="50"/>
      <c r="J224" s="40">
        <f>COUNTIF(System_configuration!B:B,A224)</f>
        <v>0</v>
      </c>
    </row>
    <row r="225" spans="1:10" s="29" customFormat="1" x14ac:dyDescent="0.2">
      <c r="A225" s="86" t="s">
        <v>2945</v>
      </c>
      <c r="B225" s="43" t="s">
        <v>1534</v>
      </c>
      <c r="C225" s="43" t="s">
        <v>1534</v>
      </c>
      <c r="D225" s="45" t="s">
        <v>2946</v>
      </c>
      <c r="E225" s="45" t="s">
        <v>2947</v>
      </c>
      <c r="F225" s="58" t="s">
        <v>1534</v>
      </c>
      <c r="G225" s="50"/>
      <c r="H225" s="50"/>
      <c r="I225" s="50"/>
      <c r="J225" s="40">
        <f>COUNTIF(System_configuration!B:B,A225)</f>
        <v>0</v>
      </c>
    </row>
    <row r="226" spans="1:10" s="29" customFormat="1" x14ac:dyDescent="0.2">
      <c r="A226" s="86" t="s">
        <v>2948</v>
      </c>
      <c r="B226" s="43" t="s">
        <v>1534</v>
      </c>
      <c r="C226" s="43" t="s">
        <v>1534</v>
      </c>
      <c r="D226" s="45" t="s">
        <v>2949</v>
      </c>
      <c r="E226" s="45" t="s">
        <v>2950</v>
      </c>
      <c r="F226" s="58" t="s">
        <v>1534</v>
      </c>
      <c r="G226" s="50"/>
      <c r="H226" s="50"/>
      <c r="I226" s="50"/>
      <c r="J226" s="40">
        <f>COUNTIF(System_configuration!B:B,A226)</f>
        <v>0</v>
      </c>
    </row>
    <row r="227" spans="1:10" s="29" customFormat="1" x14ac:dyDescent="0.2">
      <c r="A227" s="86" t="s">
        <v>2951</v>
      </c>
      <c r="B227" s="43" t="s">
        <v>1534</v>
      </c>
      <c r="C227" s="43" t="s">
        <v>1534</v>
      </c>
      <c r="D227" s="45" t="s">
        <v>2952</v>
      </c>
      <c r="E227" s="45" t="s">
        <v>2953</v>
      </c>
      <c r="F227" s="58" t="s">
        <v>1534</v>
      </c>
      <c r="G227" s="50"/>
      <c r="H227" s="50"/>
      <c r="I227" s="50"/>
      <c r="J227" s="40">
        <f>COUNTIF(System_configuration!B:B,A227)</f>
        <v>0</v>
      </c>
    </row>
    <row r="228" spans="1:10" s="29" customFormat="1" x14ac:dyDescent="0.2">
      <c r="A228" s="86" t="s">
        <v>2954</v>
      </c>
      <c r="B228" s="43" t="s">
        <v>1534</v>
      </c>
      <c r="C228" s="43" t="s">
        <v>1534</v>
      </c>
      <c r="D228" s="45" t="s">
        <v>2955</v>
      </c>
      <c r="E228" s="45" t="s">
        <v>2956</v>
      </c>
      <c r="F228" s="58" t="s">
        <v>1534</v>
      </c>
      <c r="G228" s="50"/>
      <c r="H228" s="50"/>
      <c r="I228" s="50"/>
      <c r="J228" s="40">
        <f>COUNTIF(System_configuration!B:B,A228)</f>
        <v>0</v>
      </c>
    </row>
    <row r="229" spans="1:10" s="29" customFormat="1" x14ac:dyDescent="0.2">
      <c r="A229" s="86" t="s">
        <v>2957</v>
      </c>
      <c r="B229" s="43" t="s">
        <v>1534</v>
      </c>
      <c r="C229" s="43" t="s">
        <v>1534</v>
      </c>
      <c r="D229" s="45" t="s">
        <v>2958</v>
      </c>
      <c r="E229" s="45" t="s">
        <v>2959</v>
      </c>
      <c r="F229" s="58" t="s">
        <v>1534</v>
      </c>
      <c r="G229" s="50"/>
      <c r="H229" s="50"/>
      <c r="I229" s="50"/>
      <c r="J229" s="40">
        <f>COUNTIF(System_configuration!B:B,A229)</f>
        <v>0</v>
      </c>
    </row>
    <row r="230" spans="1:10" s="29" customFormat="1" x14ac:dyDescent="0.2">
      <c r="A230" s="86" t="s">
        <v>2960</v>
      </c>
      <c r="B230" s="43" t="s">
        <v>1534</v>
      </c>
      <c r="C230" s="43" t="s">
        <v>1534</v>
      </c>
      <c r="D230" s="45" t="s">
        <v>2961</v>
      </c>
      <c r="E230" s="45" t="s">
        <v>2962</v>
      </c>
      <c r="F230" s="58" t="s">
        <v>1534</v>
      </c>
      <c r="G230" s="50"/>
      <c r="H230" s="50"/>
      <c r="I230" s="50"/>
      <c r="J230" s="40">
        <f>COUNTIF(System_configuration!B:B,A230)</f>
        <v>0</v>
      </c>
    </row>
    <row r="231" spans="1:10" s="29" customFormat="1" x14ac:dyDescent="0.2">
      <c r="A231" s="86" t="s">
        <v>2963</v>
      </c>
      <c r="B231" s="43" t="s">
        <v>1534</v>
      </c>
      <c r="C231" s="43" t="s">
        <v>1534</v>
      </c>
      <c r="D231" s="45" t="s">
        <v>2964</v>
      </c>
      <c r="E231" s="45" t="s">
        <v>2965</v>
      </c>
      <c r="F231" s="58" t="s">
        <v>1534</v>
      </c>
      <c r="G231" s="50"/>
      <c r="H231" s="50"/>
      <c r="I231" s="50"/>
      <c r="J231" s="40">
        <f>COUNTIF(System_configuration!B:B,A231)</f>
        <v>0</v>
      </c>
    </row>
    <row r="232" spans="1:10" s="29" customFormat="1" x14ac:dyDescent="0.2">
      <c r="A232" s="86" t="s">
        <v>2966</v>
      </c>
      <c r="B232" s="43" t="s">
        <v>1534</v>
      </c>
      <c r="C232" s="43" t="s">
        <v>1534</v>
      </c>
      <c r="D232" s="45" t="s">
        <v>2967</v>
      </c>
      <c r="E232" s="45" t="s">
        <v>2968</v>
      </c>
      <c r="F232" s="58" t="s">
        <v>1534</v>
      </c>
      <c r="G232" s="50"/>
      <c r="H232" s="50"/>
      <c r="I232" s="50"/>
      <c r="J232" s="40">
        <f>COUNTIF(System_configuration!B:B,A232)</f>
        <v>0</v>
      </c>
    </row>
    <row r="233" spans="1:10" s="29" customFormat="1" x14ac:dyDescent="0.2">
      <c r="A233" s="86" t="s">
        <v>2969</v>
      </c>
      <c r="B233" s="43" t="s">
        <v>1534</v>
      </c>
      <c r="C233" s="43" t="s">
        <v>1534</v>
      </c>
      <c r="D233" s="45" t="s">
        <v>2970</v>
      </c>
      <c r="E233" s="45" t="s">
        <v>2971</v>
      </c>
      <c r="F233" s="58" t="s">
        <v>1534</v>
      </c>
      <c r="G233" s="50"/>
      <c r="H233" s="50"/>
      <c r="I233" s="50"/>
      <c r="J233" s="40">
        <f>COUNTIF(System_configuration!B:B,A233)</f>
        <v>0</v>
      </c>
    </row>
    <row r="234" spans="1:10" s="29" customFormat="1" x14ac:dyDescent="0.2">
      <c r="A234" s="86" t="s">
        <v>2972</v>
      </c>
      <c r="B234" s="43" t="s">
        <v>1534</v>
      </c>
      <c r="C234" s="43" t="s">
        <v>1534</v>
      </c>
      <c r="D234" s="45" t="s">
        <v>2973</v>
      </c>
      <c r="E234" s="45" t="s">
        <v>2974</v>
      </c>
      <c r="F234" s="58" t="s">
        <v>1534</v>
      </c>
      <c r="G234" s="50"/>
      <c r="H234" s="50"/>
      <c r="I234" s="50"/>
      <c r="J234" s="40">
        <f>COUNTIF(System_configuration!B:B,A234)</f>
        <v>0</v>
      </c>
    </row>
    <row r="235" spans="1:10" s="29" customFormat="1" x14ac:dyDescent="0.2">
      <c r="A235" s="86" t="s">
        <v>2975</v>
      </c>
      <c r="B235" s="43" t="s">
        <v>1534</v>
      </c>
      <c r="C235" s="43" t="s">
        <v>1534</v>
      </c>
      <c r="D235" s="45" t="s">
        <v>2976</v>
      </c>
      <c r="E235" s="45" t="s">
        <v>2977</v>
      </c>
      <c r="F235" s="58" t="s">
        <v>1534</v>
      </c>
      <c r="G235" s="50"/>
      <c r="H235" s="50"/>
      <c r="I235" s="50"/>
      <c r="J235" s="40">
        <f>COUNTIF(System_configuration!B:B,A235)</f>
        <v>0</v>
      </c>
    </row>
    <row r="236" spans="1:10" s="29" customFormat="1" x14ac:dyDescent="0.2">
      <c r="A236" s="86" t="s">
        <v>2978</v>
      </c>
      <c r="B236" s="43" t="s">
        <v>1534</v>
      </c>
      <c r="C236" s="43" t="s">
        <v>1534</v>
      </c>
      <c r="D236" s="45" t="s">
        <v>2979</v>
      </c>
      <c r="E236" s="45" t="s">
        <v>2980</v>
      </c>
      <c r="F236" s="58" t="s">
        <v>1534</v>
      </c>
      <c r="G236" s="50"/>
      <c r="H236" s="50"/>
      <c r="I236" s="50"/>
      <c r="J236" s="40">
        <f>COUNTIF(System_configuration!B:B,A236)</f>
        <v>0</v>
      </c>
    </row>
    <row r="237" spans="1:10" s="29" customFormat="1" x14ac:dyDescent="0.2">
      <c r="A237" s="86" t="s">
        <v>2981</v>
      </c>
      <c r="B237" s="43" t="s">
        <v>1534</v>
      </c>
      <c r="C237" s="43" t="s">
        <v>1534</v>
      </c>
      <c r="D237" s="45" t="s">
        <v>2982</v>
      </c>
      <c r="E237" s="45" t="s">
        <v>2983</v>
      </c>
      <c r="F237" s="58" t="s">
        <v>1534</v>
      </c>
      <c r="G237" s="50"/>
      <c r="H237" s="50"/>
      <c r="I237" s="50"/>
      <c r="J237" s="40">
        <f>COUNTIF(System_configuration!B:B,A237)</f>
        <v>0</v>
      </c>
    </row>
    <row r="238" spans="1:10" s="29" customFormat="1" x14ac:dyDescent="0.2">
      <c r="A238" s="86" t="s">
        <v>2984</v>
      </c>
      <c r="B238" s="43" t="s">
        <v>1534</v>
      </c>
      <c r="C238" s="43" t="s">
        <v>1534</v>
      </c>
      <c r="D238" s="45" t="s">
        <v>2985</v>
      </c>
      <c r="E238" s="45" t="s">
        <v>2986</v>
      </c>
      <c r="F238" s="58" t="s">
        <v>1534</v>
      </c>
      <c r="G238" s="50"/>
      <c r="H238" s="50"/>
      <c r="I238" s="50"/>
      <c r="J238" s="40">
        <f>COUNTIF(System_configuration!B:B,A238)</f>
        <v>0</v>
      </c>
    </row>
    <row r="239" spans="1:10" s="29" customFormat="1" x14ac:dyDescent="0.2">
      <c r="A239" s="86" t="s">
        <v>2987</v>
      </c>
      <c r="B239" s="43" t="s">
        <v>1534</v>
      </c>
      <c r="C239" s="43" t="s">
        <v>1534</v>
      </c>
      <c r="D239" s="45" t="s">
        <v>2988</v>
      </c>
      <c r="E239" s="45" t="s">
        <v>2989</v>
      </c>
      <c r="F239" s="58" t="s">
        <v>1534</v>
      </c>
      <c r="G239" s="50"/>
      <c r="H239" s="50"/>
      <c r="I239" s="50"/>
      <c r="J239" s="40">
        <f>COUNTIF(System_configuration!B:B,A239)</f>
        <v>0</v>
      </c>
    </row>
    <row r="240" spans="1:10" s="29" customFormat="1" x14ac:dyDescent="0.2">
      <c r="A240" s="86" t="s">
        <v>2990</v>
      </c>
      <c r="B240" s="43" t="s">
        <v>1534</v>
      </c>
      <c r="C240" s="43" t="s">
        <v>1534</v>
      </c>
      <c r="D240" s="45" t="s">
        <v>2991</v>
      </c>
      <c r="E240" s="45" t="s">
        <v>2992</v>
      </c>
      <c r="F240" s="58" t="s">
        <v>1534</v>
      </c>
      <c r="G240" s="50"/>
      <c r="H240" s="50"/>
      <c r="I240" s="50"/>
      <c r="J240" s="40">
        <f>COUNTIF(System_configuration!B:B,A240)</f>
        <v>0</v>
      </c>
    </row>
    <row r="241" spans="1:10" s="29" customFormat="1" x14ac:dyDescent="0.2">
      <c r="A241" s="86" t="s">
        <v>2993</v>
      </c>
      <c r="B241" s="43" t="s">
        <v>1534</v>
      </c>
      <c r="C241" s="43" t="s">
        <v>1534</v>
      </c>
      <c r="D241" s="45" t="s">
        <v>2994</v>
      </c>
      <c r="E241" s="45" t="s">
        <v>2995</v>
      </c>
      <c r="F241" s="45">
        <v>144</v>
      </c>
      <c r="G241" s="50"/>
      <c r="H241" s="50"/>
      <c r="I241" s="50"/>
      <c r="J241" s="40">
        <f>COUNTIF(System_configuration!B:B,A241)</f>
        <v>0</v>
      </c>
    </row>
    <row r="242" spans="1:10" s="29" customFormat="1" x14ac:dyDescent="0.2">
      <c r="A242" s="86" t="s">
        <v>2996</v>
      </c>
      <c r="B242" s="43" t="s">
        <v>1534</v>
      </c>
      <c r="C242" s="43" t="s">
        <v>1534</v>
      </c>
      <c r="D242" s="45" t="s">
        <v>2997</v>
      </c>
      <c r="E242" s="45" t="s">
        <v>2998</v>
      </c>
      <c r="F242" s="45">
        <v>144</v>
      </c>
      <c r="G242" s="50"/>
      <c r="H242" s="50"/>
      <c r="I242" s="50"/>
      <c r="J242" s="40">
        <f>COUNTIF(System_configuration!B:B,A242)</f>
        <v>0</v>
      </c>
    </row>
    <row r="243" spans="1:10" s="29" customFormat="1" x14ac:dyDescent="0.2">
      <c r="A243" s="86" t="s">
        <v>2999</v>
      </c>
      <c r="B243" s="43" t="s">
        <v>1534</v>
      </c>
      <c r="C243" s="43" t="s">
        <v>1534</v>
      </c>
      <c r="D243" s="45" t="s">
        <v>3000</v>
      </c>
      <c r="E243" s="45" t="s">
        <v>3001</v>
      </c>
      <c r="F243" s="45">
        <v>144</v>
      </c>
      <c r="G243" s="50"/>
      <c r="H243" s="50"/>
      <c r="I243" s="50"/>
      <c r="J243" s="40">
        <f>COUNTIF(System_configuration!B:B,A243)</f>
        <v>0</v>
      </c>
    </row>
    <row r="244" spans="1:10" s="29" customFormat="1" x14ac:dyDescent="0.2">
      <c r="A244" s="86" t="s">
        <v>3002</v>
      </c>
      <c r="B244" s="43" t="s">
        <v>1534</v>
      </c>
      <c r="C244" s="43" t="s">
        <v>1534</v>
      </c>
      <c r="D244" s="45" t="s">
        <v>3003</v>
      </c>
      <c r="E244" s="45" t="s">
        <v>3004</v>
      </c>
      <c r="F244" s="45">
        <v>144</v>
      </c>
      <c r="G244" s="50"/>
      <c r="H244" s="50"/>
      <c r="I244" s="50"/>
      <c r="J244" s="40">
        <f>COUNTIF(System_configuration!B:B,A244)</f>
        <v>0</v>
      </c>
    </row>
    <row r="245" spans="1:10" s="29" customFormat="1" x14ac:dyDescent="0.2">
      <c r="A245" s="86" t="s">
        <v>3005</v>
      </c>
      <c r="B245" s="43" t="s">
        <v>1534</v>
      </c>
      <c r="C245" s="43" t="s">
        <v>1534</v>
      </c>
      <c r="D245" s="45" t="s">
        <v>3006</v>
      </c>
      <c r="E245" s="45" t="s">
        <v>3007</v>
      </c>
      <c r="F245" s="45">
        <v>144</v>
      </c>
      <c r="G245" s="50"/>
      <c r="H245" s="50"/>
      <c r="I245" s="50"/>
      <c r="J245" s="40">
        <f>COUNTIF(System_configuration!B:B,A245)</f>
        <v>0</v>
      </c>
    </row>
    <row r="246" spans="1:10" s="29" customFormat="1" x14ac:dyDescent="0.2">
      <c r="A246" s="86" t="s">
        <v>3008</v>
      </c>
      <c r="B246" s="43" t="s">
        <v>1534</v>
      </c>
      <c r="C246" s="43" t="s">
        <v>1534</v>
      </c>
      <c r="D246" s="45" t="s">
        <v>3009</v>
      </c>
      <c r="E246" s="45" t="s">
        <v>3010</v>
      </c>
      <c r="F246" s="45">
        <v>144</v>
      </c>
      <c r="G246" s="50"/>
      <c r="H246" s="50"/>
      <c r="I246" s="50"/>
      <c r="J246" s="40">
        <f>COUNTIF(System_configuration!B:B,A246)</f>
        <v>0</v>
      </c>
    </row>
    <row r="247" spans="1:10" s="29" customFormat="1" x14ac:dyDescent="0.2">
      <c r="A247" s="86" t="s">
        <v>3011</v>
      </c>
      <c r="B247" s="43" t="s">
        <v>1534</v>
      </c>
      <c r="C247" s="43" t="s">
        <v>1534</v>
      </c>
      <c r="D247" s="45" t="s">
        <v>3012</v>
      </c>
      <c r="E247" s="45" t="s">
        <v>3013</v>
      </c>
      <c r="F247" s="45">
        <v>144</v>
      </c>
      <c r="G247" s="50"/>
      <c r="H247" s="50"/>
      <c r="I247" s="50"/>
      <c r="J247" s="40">
        <f>COUNTIF(System_configuration!B:B,A247)</f>
        <v>0</v>
      </c>
    </row>
    <row r="248" spans="1:10" s="29" customFormat="1" x14ac:dyDescent="0.2">
      <c r="A248" s="86" t="s">
        <v>3014</v>
      </c>
      <c r="B248" s="43" t="s">
        <v>1534</v>
      </c>
      <c r="C248" s="43" t="s">
        <v>1534</v>
      </c>
      <c r="D248" s="45" t="s">
        <v>3015</v>
      </c>
      <c r="E248" s="45" t="s">
        <v>3016</v>
      </c>
      <c r="F248" s="45">
        <v>144</v>
      </c>
      <c r="G248" s="50"/>
      <c r="H248" s="50"/>
      <c r="I248" s="50"/>
      <c r="J248" s="40">
        <f>COUNTIF(System_configuration!B:B,A248)</f>
        <v>0</v>
      </c>
    </row>
    <row r="249" spans="1:10" s="29" customFormat="1" x14ac:dyDescent="0.2">
      <c r="A249" s="86" t="s">
        <v>3017</v>
      </c>
      <c r="B249" s="43" t="s">
        <v>1534</v>
      </c>
      <c r="C249" s="43" t="s">
        <v>1534</v>
      </c>
      <c r="D249" s="45" t="s">
        <v>3018</v>
      </c>
      <c r="E249" s="45" t="s">
        <v>3019</v>
      </c>
      <c r="F249" s="45">
        <v>144</v>
      </c>
      <c r="G249" s="50"/>
      <c r="H249" s="50"/>
      <c r="I249" s="50"/>
      <c r="J249" s="40">
        <f>COUNTIF(System_configuration!B:B,A249)</f>
        <v>0</v>
      </c>
    </row>
    <row r="250" spans="1:10" s="29" customFormat="1" x14ac:dyDescent="0.2">
      <c r="A250" s="86" t="s">
        <v>3020</v>
      </c>
      <c r="B250" s="43" t="s">
        <v>1534</v>
      </c>
      <c r="C250" s="43" t="s">
        <v>1534</v>
      </c>
      <c r="D250" s="45" t="s">
        <v>3021</v>
      </c>
      <c r="E250" s="45" t="s">
        <v>3022</v>
      </c>
      <c r="F250" s="45">
        <v>144</v>
      </c>
      <c r="G250" s="50"/>
      <c r="H250" s="50"/>
      <c r="I250" s="50"/>
      <c r="J250" s="40">
        <f>COUNTIF(System_configuration!B:B,A250)</f>
        <v>0</v>
      </c>
    </row>
    <row r="251" spans="1:10" s="29" customFormat="1" x14ac:dyDescent="0.2">
      <c r="A251" s="86" t="s">
        <v>3023</v>
      </c>
      <c r="B251" s="43" t="s">
        <v>1534</v>
      </c>
      <c r="C251" s="43" t="s">
        <v>1534</v>
      </c>
      <c r="D251" s="45" t="s">
        <v>3024</v>
      </c>
      <c r="E251" s="45" t="s">
        <v>3025</v>
      </c>
      <c r="F251" s="45">
        <v>144</v>
      </c>
      <c r="G251" s="50"/>
      <c r="H251" s="50"/>
      <c r="I251" s="50"/>
      <c r="J251" s="40">
        <f>COUNTIF(System_configuration!B:B,A251)</f>
        <v>0</v>
      </c>
    </row>
    <row r="252" spans="1:10" s="29" customFormat="1" x14ac:dyDescent="0.2">
      <c r="A252" s="86" t="s">
        <v>3026</v>
      </c>
      <c r="B252" s="43" t="s">
        <v>1534</v>
      </c>
      <c r="C252" s="43" t="s">
        <v>1534</v>
      </c>
      <c r="D252" s="45" t="s">
        <v>3027</v>
      </c>
      <c r="E252" s="45" t="s">
        <v>3028</v>
      </c>
      <c r="F252" s="45">
        <v>144</v>
      </c>
      <c r="G252" s="50"/>
      <c r="H252" s="50"/>
      <c r="I252" s="50"/>
      <c r="J252" s="40">
        <f>COUNTIF(System_configuration!B:B,A252)</f>
        <v>0</v>
      </c>
    </row>
    <row r="253" spans="1:10" s="29" customFormat="1" x14ac:dyDescent="0.2">
      <c r="A253" s="86" t="s">
        <v>3029</v>
      </c>
      <c r="B253" s="43" t="s">
        <v>1534</v>
      </c>
      <c r="C253" s="43" t="s">
        <v>1534</v>
      </c>
      <c r="D253" s="45" t="s">
        <v>3030</v>
      </c>
      <c r="E253" s="45" t="s">
        <v>3031</v>
      </c>
      <c r="F253" s="45">
        <v>144</v>
      </c>
      <c r="G253" s="50"/>
      <c r="H253" s="50"/>
      <c r="I253" s="50"/>
      <c r="J253" s="40">
        <f>COUNTIF(System_configuration!B:B,A253)</f>
        <v>0</v>
      </c>
    </row>
    <row r="254" spans="1:10" s="29" customFormat="1" x14ac:dyDescent="0.2">
      <c r="A254" s="86" t="s">
        <v>3032</v>
      </c>
      <c r="B254" s="43" t="s">
        <v>1534</v>
      </c>
      <c r="C254" s="43" t="s">
        <v>1534</v>
      </c>
      <c r="D254" s="45" t="s">
        <v>2946</v>
      </c>
      <c r="E254" s="45" t="s">
        <v>2947</v>
      </c>
      <c r="F254" s="58" t="s">
        <v>1534</v>
      </c>
      <c r="G254" s="50"/>
      <c r="H254" s="50"/>
      <c r="I254" s="50"/>
      <c r="J254" s="40">
        <f>COUNTIF(System_configuration!B:B,A254)</f>
        <v>0</v>
      </c>
    </row>
    <row r="255" spans="1:10" s="29" customFormat="1" x14ac:dyDescent="0.2">
      <c r="A255" s="86" t="s">
        <v>3033</v>
      </c>
      <c r="B255" s="43" t="s">
        <v>1534</v>
      </c>
      <c r="C255" s="43" t="s">
        <v>1534</v>
      </c>
      <c r="D255" s="45" t="s">
        <v>2949</v>
      </c>
      <c r="E255" s="45" t="s">
        <v>2950</v>
      </c>
      <c r="F255" s="58" t="s">
        <v>1534</v>
      </c>
      <c r="G255" s="50"/>
      <c r="H255" s="50"/>
      <c r="I255" s="50"/>
      <c r="J255" s="40">
        <f>COUNTIF(System_configuration!B:B,A255)</f>
        <v>0</v>
      </c>
    </row>
    <row r="256" spans="1:10" s="29" customFormat="1" x14ac:dyDescent="0.2">
      <c r="A256" s="86" t="s">
        <v>3034</v>
      </c>
      <c r="B256" s="43" t="s">
        <v>1534</v>
      </c>
      <c r="C256" s="43" t="s">
        <v>1534</v>
      </c>
      <c r="D256" s="45" t="s">
        <v>2952</v>
      </c>
      <c r="E256" s="45" t="s">
        <v>2953</v>
      </c>
      <c r="F256" s="58" t="s">
        <v>1534</v>
      </c>
      <c r="G256" s="50"/>
      <c r="H256" s="50"/>
      <c r="I256" s="50"/>
      <c r="J256" s="40">
        <f>COUNTIF(System_configuration!B:B,A256)</f>
        <v>0</v>
      </c>
    </row>
    <row r="257" spans="1:10" s="29" customFormat="1" x14ac:dyDescent="0.2">
      <c r="A257" s="86" t="s">
        <v>3035</v>
      </c>
      <c r="B257" s="43" t="s">
        <v>1534</v>
      </c>
      <c r="C257" s="43" t="s">
        <v>1534</v>
      </c>
      <c r="D257" s="45" t="s">
        <v>2955</v>
      </c>
      <c r="E257" s="45" t="s">
        <v>2956</v>
      </c>
      <c r="F257" s="58" t="s">
        <v>1534</v>
      </c>
      <c r="G257" s="50"/>
      <c r="H257" s="50"/>
      <c r="I257" s="50"/>
      <c r="J257" s="40">
        <f>COUNTIF(System_configuration!B:B,A257)</f>
        <v>0</v>
      </c>
    </row>
    <row r="258" spans="1:10" s="29" customFormat="1" x14ac:dyDescent="0.2">
      <c r="A258" s="86" t="s">
        <v>3036</v>
      </c>
      <c r="B258" s="43" t="s">
        <v>1534</v>
      </c>
      <c r="C258" s="43" t="s">
        <v>1534</v>
      </c>
      <c r="D258" s="45" t="s">
        <v>2958</v>
      </c>
      <c r="E258" s="45" t="s">
        <v>2959</v>
      </c>
      <c r="F258" s="58" t="s">
        <v>1534</v>
      </c>
      <c r="G258" s="50"/>
      <c r="H258" s="50"/>
      <c r="I258" s="50"/>
      <c r="J258" s="40">
        <f>COUNTIF(System_configuration!B:B,A258)</f>
        <v>0</v>
      </c>
    </row>
    <row r="259" spans="1:10" s="29" customFormat="1" x14ac:dyDescent="0.2">
      <c r="A259" s="86" t="s">
        <v>3037</v>
      </c>
      <c r="B259" s="43" t="s">
        <v>1534</v>
      </c>
      <c r="C259" s="43" t="s">
        <v>1534</v>
      </c>
      <c r="D259" s="45" t="s">
        <v>2961</v>
      </c>
      <c r="E259" s="45" t="s">
        <v>2962</v>
      </c>
      <c r="F259" s="58" t="s">
        <v>1534</v>
      </c>
      <c r="G259" s="50"/>
      <c r="H259" s="50"/>
      <c r="I259" s="50"/>
      <c r="J259" s="40">
        <f>COUNTIF(System_configuration!B:B,A259)</f>
        <v>0</v>
      </c>
    </row>
    <row r="260" spans="1:10" s="29" customFormat="1" x14ac:dyDescent="0.2">
      <c r="A260" s="86" t="s">
        <v>3038</v>
      </c>
      <c r="B260" s="43" t="s">
        <v>1534</v>
      </c>
      <c r="C260" s="43" t="s">
        <v>1534</v>
      </c>
      <c r="D260" s="45" t="s">
        <v>2964</v>
      </c>
      <c r="E260" s="45" t="s">
        <v>2965</v>
      </c>
      <c r="F260" s="58" t="s">
        <v>1534</v>
      </c>
      <c r="G260" s="50"/>
      <c r="H260" s="50"/>
      <c r="I260" s="50"/>
      <c r="J260" s="40">
        <f>COUNTIF(System_configuration!B:B,A260)</f>
        <v>0</v>
      </c>
    </row>
    <row r="261" spans="1:10" s="29" customFormat="1" x14ac:dyDescent="0.2">
      <c r="A261" s="86" t="s">
        <v>3039</v>
      </c>
      <c r="B261" s="43" t="s">
        <v>1534</v>
      </c>
      <c r="C261" s="43" t="s">
        <v>1534</v>
      </c>
      <c r="D261" s="45" t="s">
        <v>2967</v>
      </c>
      <c r="E261" s="45" t="s">
        <v>2968</v>
      </c>
      <c r="F261" s="58" t="s">
        <v>1534</v>
      </c>
      <c r="G261" s="50"/>
      <c r="H261" s="50"/>
      <c r="I261" s="50"/>
      <c r="J261" s="40">
        <f>COUNTIF(System_configuration!B:B,A261)</f>
        <v>0</v>
      </c>
    </row>
    <row r="262" spans="1:10" s="29" customFormat="1" x14ac:dyDescent="0.2">
      <c r="A262" s="86" t="s">
        <v>3040</v>
      </c>
      <c r="B262" s="43" t="s">
        <v>1534</v>
      </c>
      <c r="C262" s="43" t="s">
        <v>1534</v>
      </c>
      <c r="D262" s="45" t="s">
        <v>2970</v>
      </c>
      <c r="E262" s="45" t="s">
        <v>2971</v>
      </c>
      <c r="F262" s="58" t="s">
        <v>1534</v>
      </c>
      <c r="G262" s="50"/>
      <c r="H262" s="50"/>
      <c r="I262" s="50"/>
      <c r="J262" s="40">
        <f>COUNTIF(System_configuration!B:B,A262)</f>
        <v>0</v>
      </c>
    </row>
    <row r="263" spans="1:10" s="29" customFormat="1" x14ac:dyDescent="0.2">
      <c r="A263" s="86" t="s">
        <v>3041</v>
      </c>
      <c r="B263" s="43" t="s">
        <v>1534</v>
      </c>
      <c r="C263" s="43" t="s">
        <v>1534</v>
      </c>
      <c r="D263" s="45" t="s">
        <v>2973</v>
      </c>
      <c r="E263" s="45" t="s">
        <v>2974</v>
      </c>
      <c r="F263" s="58" t="s">
        <v>1534</v>
      </c>
      <c r="G263" s="50"/>
      <c r="H263" s="50"/>
      <c r="I263" s="50"/>
      <c r="J263" s="40">
        <f>COUNTIF(System_configuration!B:B,A263)</f>
        <v>0</v>
      </c>
    </row>
    <row r="264" spans="1:10" s="29" customFormat="1" x14ac:dyDescent="0.2">
      <c r="A264" s="86" t="s">
        <v>3042</v>
      </c>
      <c r="B264" s="43" t="s">
        <v>1534</v>
      </c>
      <c r="C264" s="43" t="s">
        <v>1534</v>
      </c>
      <c r="D264" s="45" t="s">
        <v>2976</v>
      </c>
      <c r="E264" s="45" t="s">
        <v>2977</v>
      </c>
      <c r="F264" s="58" t="s">
        <v>1534</v>
      </c>
      <c r="G264" s="50"/>
      <c r="H264" s="50"/>
      <c r="I264" s="50"/>
      <c r="J264" s="40">
        <f>COUNTIF(System_configuration!B:B,A264)</f>
        <v>0</v>
      </c>
    </row>
    <row r="265" spans="1:10" s="29" customFormat="1" x14ac:dyDescent="0.2">
      <c r="A265" s="86" t="s">
        <v>3043</v>
      </c>
      <c r="B265" s="43" t="s">
        <v>1534</v>
      </c>
      <c r="C265" s="43" t="s">
        <v>1534</v>
      </c>
      <c r="D265" s="45" t="s">
        <v>2979</v>
      </c>
      <c r="E265" s="45" t="s">
        <v>2980</v>
      </c>
      <c r="F265" s="58" t="s">
        <v>1534</v>
      </c>
      <c r="G265" s="50"/>
      <c r="H265" s="50"/>
      <c r="I265" s="50"/>
      <c r="J265" s="40">
        <f>COUNTIF(System_configuration!B:B,A265)</f>
        <v>0</v>
      </c>
    </row>
    <row r="266" spans="1:10" s="29" customFormat="1" x14ac:dyDescent="0.2">
      <c r="A266" s="86" t="s">
        <v>3044</v>
      </c>
      <c r="B266" s="43" t="s">
        <v>1534</v>
      </c>
      <c r="C266" s="43" t="s">
        <v>1534</v>
      </c>
      <c r="D266" s="45" t="s">
        <v>2982</v>
      </c>
      <c r="E266" s="45" t="s">
        <v>2983</v>
      </c>
      <c r="F266" s="58" t="s">
        <v>1534</v>
      </c>
      <c r="G266" s="50"/>
      <c r="H266" s="50"/>
      <c r="I266" s="50"/>
      <c r="J266" s="40">
        <f>COUNTIF(System_configuration!B:B,A266)</f>
        <v>0</v>
      </c>
    </row>
    <row r="267" spans="1:10" s="29" customFormat="1" x14ac:dyDescent="0.2">
      <c r="A267" s="86" t="s">
        <v>3045</v>
      </c>
      <c r="B267" s="43" t="s">
        <v>1534</v>
      </c>
      <c r="C267" s="43" t="s">
        <v>1534</v>
      </c>
      <c r="D267" s="45" t="s">
        <v>2985</v>
      </c>
      <c r="E267" s="45" t="s">
        <v>2986</v>
      </c>
      <c r="F267" s="58" t="s">
        <v>1534</v>
      </c>
      <c r="G267" s="50"/>
      <c r="H267" s="50"/>
      <c r="I267" s="50"/>
      <c r="J267" s="40">
        <f>COUNTIF(System_configuration!B:B,A267)</f>
        <v>0</v>
      </c>
    </row>
    <row r="268" spans="1:10" s="29" customFormat="1" x14ac:dyDescent="0.2">
      <c r="A268" s="86" t="s">
        <v>3046</v>
      </c>
      <c r="B268" s="43" t="s">
        <v>1534</v>
      </c>
      <c r="C268" s="43" t="s">
        <v>1534</v>
      </c>
      <c r="D268" s="45" t="s">
        <v>2988</v>
      </c>
      <c r="E268" s="45" t="s">
        <v>2989</v>
      </c>
      <c r="F268" s="58" t="s">
        <v>1534</v>
      </c>
      <c r="G268" s="50"/>
      <c r="H268" s="50"/>
      <c r="I268" s="50"/>
      <c r="J268" s="40">
        <f>COUNTIF(System_configuration!B:B,A268)</f>
        <v>0</v>
      </c>
    </row>
    <row r="269" spans="1:10" s="29" customFormat="1" x14ac:dyDescent="0.2">
      <c r="A269" s="86" t="s">
        <v>3047</v>
      </c>
      <c r="B269" s="43" t="s">
        <v>1534</v>
      </c>
      <c r="C269" s="43" t="s">
        <v>1534</v>
      </c>
      <c r="D269" s="45" t="s">
        <v>3048</v>
      </c>
      <c r="E269" s="45" t="s">
        <v>3049</v>
      </c>
      <c r="F269" s="58" t="s">
        <v>1534</v>
      </c>
      <c r="G269" s="50"/>
      <c r="H269" s="50"/>
      <c r="I269" s="50"/>
      <c r="J269" s="40">
        <f>COUNTIF(System_configuration!B:B,A269)</f>
        <v>0</v>
      </c>
    </row>
    <row r="270" spans="1:10" s="29" customFormat="1" x14ac:dyDescent="0.2">
      <c r="A270" s="86" t="s">
        <v>3050</v>
      </c>
      <c r="B270" s="43" t="s">
        <v>1534</v>
      </c>
      <c r="C270" s="43" t="s">
        <v>1534</v>
      </c>
      <c r="D270" s="45" t="s">
        <v>3051</v>
      </c>
      <c r="E270" s="45" t="s">
        <v>3052</v>
      </c>
      <c r="F270" s="45">
        <v>144</v>
      </c>
      <c r="G270" s="50"/>
      <c r="H270" s="50"/>
      <c r="I270" s="50"/>
      <c r="J270" s="40">
        <f>COUNTIF(System_configuration!B:B,A270)</f>
        <v>0</v>
      </c>
    </row>
    <row r="271" spans="1:10" s="29" customFormat="1" x14ac:dyDescent="0.2">
      <c r="A271" s="86" t="s">
        <v>3053</v>
      </c>
      <c r="B271" s="43" t="s">
        <v>1534</v>
      </c>
      <c r="C271" s="43" t="s">
        <v>1534</v>
      </c>
      <c r="D271" s="45" t="s">
        <v>3054</v>
      </c>
      <c r="E271" s="45" t="s">
        <v>3055</v>
      </c>
      <c r="F271" s="45">
        <v>144</v>
      </c>
      <c r="G271" s="50"/>
      <c r="H271" s="50"/>
      <c r="I271" s="50"/>
      <c r="J271" s="40">
        <f>COUNTIF(System_configuration!B:B,A271)</f>
        <v>0</v>
      </c>
    </row>
    <row r="272" spans="1:10" s="29" customFormat="1" x14ac:dyDescent="0.2">
      <c r="A272" s="86" t="s">
        <v>3056</v>
      </c>
      <c r="B272" s="43" t="s">
        <v>1534</v>
      </c>
      <c r="C272" s="43" t="s">
        <v>1534</v>
      </c>
      <c r="D272" s="45" t="s">
        <v>3057</v>
      </c>
      <c r="E272" s="45" t="s">
        <v>3058</v>
      </c>
      <c r="F272" s="45">
        <v>144</v>
      </c>
      <c r="G272" s="50"/>
      <c r="H272" s="50"/>
      <c r="I272" s="50"/>
      <c r="J272" s="40">
        <f>COUNTIF(System_configuration!B:B,A272)</f>
        <v>0</v>
      </c>
    </row>
    <row r="273" spans="1:10" s="29" customFormat="1" x14ac:dyDescent="0.2">
      <c r="A273" s="86" t="s">
        <v>3059</v>
      </c>
      <c r="B273" s="43" t="s">
        <v>1534</v>
      </c>
      <c r="C273" s="43" t="s">
        <v>1534</v>
      </c>
      <c r="D273" s="45" t="s">
        <v>3060</v>
      </c>
      <c r="E273" s="45" t="s">
        <v>3061</v>
      </c>
      <c r="F273" s="45">
        <v>144</v>
      </c>
      <c r="G273" s="50"/>
      <c r="H273" s="50"/>
      <c r="I273" s="50"/>
      <c r="J273" s="40">
        <f>COUNTIF(System_configuration!B:B,A273)</f>
        <v>0</v>
      </c>
    </row>
    <row r="274" spans="1:10" s="29" customFormat="1" x14ac:dyDescent="0.2">
      <c r="A274" s="86" t="s">
        <v>3062</v>
      </c>
      <c r="B274" s="43" t="s">
        <v>1534</v>
      </c>
      <c r="C274" s="43" t="s">
        <v>1534</v>
      </c>
      <c r="D274" s="45" t="s">
        <v>3063</v>
      </c>
      <c r="E274" s="45" t="s">
        <v>3064</v>
      </c>
      <c r="F274" s="45">
        <v>144</v>
      </c>
      <c r="G274" s="50"/>
      <c r="H274" s="50"/>
      <c r="I274" s="50"/>
      <c r="J274" s="40">
        <f>COUNTIF(System_configuration!B:B,A274)</f>
        <v>0</v>
      </c>
    </row>
    <row r="275" spans="1:10" s="29" customFormat="1" x14ac:dyDescent="0.2">
      <c r="A275" s="86" t="s">
        <v>3065</v>
      </c>
      <c r="B275" s="43" t="s">
        <v>1534</v>
      </c>
      <c r="C275" s="43" t="s">
        <v>1534</v>
      </c>
      <c r="D275" s="45" t="s">
        <v>3066</v>
      </c>
      <c r="E275" s="45" t="s">
        <v>3067</v>
      </c>
      <c r="F275" s="45">
        <v>144</v>
      </c>
      <c r="G275" s="50"/>
      <c r="H275" s="50"/>
      <c r="I275" s="50"/>
      <c r="J275" s="40">
        <f>COUNTIF(System_configuration!B:B,A275)</f>
        <v>0</v>
      </c>
    </row>
    <row r="276" spans="1:10" s="29" customFormat="1" x14ac:dyDescent="0.2">
      <c r="A276" s="86" t="s">
        <v>3068</v>
      </c>
      <c r="B276" s="43" t="s">
        <v>1534</v>
      </c>
      <c r="C276" s="43" t="s">
        <v>1534</v>
      </c>
      <c r="D276" s="45" t="s">
        <v>3069</v>
      </c>
      <c r="E276" s="45" t="s">
        <v>3070</v>
      </c>
      <c r="F276" s="45">
        <v>144</v>
      </c>
      <c r="G276" s="50"/>
      <c r="H276" s="50"/>
      <c r="I276" s="50"/>
      <c r="J276" s="40">
        <f>COUNTIF(System_configuration!B:B,A276)</f>
        <v>0</v>
      </c>
    </row>
    <row r="277" spans="1:10" s="29" customFormat="1" x14ac:dyDescent="0.2">
      <c r="A277" s="86" t="s">
        <v>3071</v>
      </c>
      <c r="B277" s="43" t="s">
        <v>1534</v>
      </c>
      <c r="C277" s="43" t="s">
        <v>1534</v>
      </c>
      <c r="D277" s="45" t="s">
        <v>3072</v>
      </c>
      <c r="E277" s="45" t="s">
        <v>3073</v>
      </c>
      <c r="F277" s="45">
        <v>144</v>
      </c>
      <c r="G277" s="50"/>
      <c r="H277" s="50"/>
      <c r="I277" s="50"/>
      <c r="J277" s="40">
        <f>COUNTIF(System_configuration!B:B,A277)</f>
        <v>0</v>
      </c>
    </row>
    <row r="278" spans="1:10" s="29" customFormat="1" x14ac:dyDescent="0.2">
      <c r="A278" s="86" t="s">
        <v>3074</v>
      </c>
      <c r="B278" s="43" t="s">
        <v>1534</v>
      </c>
      <c r="C278" s="43" t="s">
        <v>1534</v>
      </c>
      <c r="D278" s="45" t="s">
        <v>3075</v>
      </c>
      <c r="E278" s="45" t="s">
        <v>3076</v>
      </c>
      <c r="F278" s="45">
        <v>144</v>
      </c>
      <c r="G278" s="50"/>
      <c r="H278" s="50"/>
      <c r="I278" s="50"/>
      <c r="J278" s="40">
        <f>COUNTIF(System_configuration!B:B,A278)</f>
        <v>0</v>
      </c>
    </row>
    <row r="279" spans="1:10" s="29" customFormat="1" x14ac:dyDescent="0.2">
      <c r="A279" s="86" t="s">
        <v>3077</v>
      </c>
      <c r="B279" s="43" t="s">
        <v>1534</v>
      </c>
      <c r="C279" s="43" t="s">
        <v>1534</v>
      </c>
      <c r="D279" s="45" t="s">
        <v>3078</v>
      </c>
      <c r="E279" s="45" t="s">
        <v>3079</v>
      </c>
      <c r="F279" s="45">
        <v>144</v>
      </c>
      <c r="G279" s="50"/>
      <c r="H279" s="50"/>
      <c r="I279" s="50"/>
      <c r="J279" s="40">
        <f>COUNTIF(System_configuration!B:B,A279)</f>
        <v>0</v>
      </c>
    </row>
    <row r="280" spans="1:10" s="29" customFormat="1" x14ac:dyDescent="0.2">
      <c r="A280" s="86" t="s">
        <v>3080</v>
      </c>
      <c r="B280" s="43" t="s">
        <v>1534</v>
      </c>
      <c r="C280" s="43" t="s">
        <v>1534</v>
      </c>
      <c r="D280" s="45" t="s">
        <v>3081</v>
      </c>
      <c r="E280" s="45" t="s">
        <v>3082</v>
      </c>
      <c r="F280" s="45">
        <v>144</v>
      </c>
      <c r="G280" s="50"/>
      <c r="H280" s="50"/>
      <c r="I280" s="50"/>
      <c r="J280" s="40">
        <f>COUNTIF(System_configuration!B:B,A280)</f>
        <v>0</v>
      </c>
    </row>
    <row r="281" spans="1:10" s="29" customFormat="1" x14ac:dyDescent="0.2">
      <c r="A281" s="86" t="s">
        <v>3083</v>
      </c>
      <c r="B281" s="43" t="s">
        <v>1534</v>
      </c>
      <c r="C281" s="43" t="s">
        <v>1534</v>
      </c>
      <c r="D281" s="45" t="s">
        <v>3084</v>
      </c>
      <c r="E281" s="45" t="s">
        <v>3085</v>
      </c>
      <c r="F281" s="45">
        <v>144</v>
      </c>
      <c r="G281" s="50"/>
      <c r="H281" s="50"/>
      <c r="I281" s="50"/>
      <c r="J281" s="40">
        <f>COUNTIF(System_configuration!B:B,A281)</f>
        <v>0</v>
      </c>
    </row>
    <row r="282" spans="1:10" s="29" customFormat="1" x14ac:dyDescent="0.2">
      <c r="A282" s="86" t="s">
        <v>3086</v>
      </c>
      <c r="B282" s="43" t="s">
        <v>1534</v>
      </c>
      <c r="C282" s="43" t="s">
        <v>1534</v>
      </c>
      <c r="D282" s="45" t="s">
        <v>3087</v>
      </c>
      <c r="E282" s="45" t="s">
        <v>3088</v>
      </c>
      <c r="F282" s="45">
        <v>144</v>
      </c>
      <c r="G282" s="50"/>
      <c r="H282" s="50"/>
      <c r="I282" s="50"/>
      <c r="J282" s="40">
        <f>COUNTIF(System_configuration!B:B,A282)</f>
        <v>0</v>
      </c>
    </row>
    <row r="283" spans="1:10" s="29" customFormat="1" x14ac:dyDescent="0.2">
      <c r="A283" s="86" t="s">
        <v>3089</v>
      </c>
      <c r="B283" s="43" t="s">
        <v>1534</v>
      </c>
      <c r="C283" s="43" t="s">
        <v>1534</v>
      </c>
      <c r="D283" s="45" t="s">
        <v>2946</v>
      </c>
      <c r="E283" s="45" t="s">
        <v>2947</v>
      </c>
      <c r="F283" s="58" t="s">
        <v>1534</v>
      </c>
      <c r="G283" s="50"/>
      <c r="H283" s="50"/>
      <c r="I283" s="50"/>
      <c r="J283" s="40">
        <f>COUNTIF(System_configuration!B:B,A283)</f>
        <v>0</v>
      </c>
    </row>
    <row r="284" spans="1:10" s="29" customFormat="1" x14ac:dyDescent="0.2">
      <c r="A284" s="86" t="s">
        <v>3090</v>
      </c>
      <c r="B284" s="43" t="s">
        <v>1534</v>
      </c>
      <c r="C284" s="43" t="s">
        <v>1534</v>
      </c>
      <c r="D284" s="45" t="s">
        <v>2949</v>
      </c>
      <c r="E284" s="45" t="s">
        <v>2950</v>
      </c>
      <c r="F284" s="58" t="s">
        <v>1534</v>
      </c>
      <c r="G284" s="50"/>
      <c r="H284" s="50"/>
      <c r="I284" s="50"/>
      <c r="J284" s="40">
        <f>COUNTIF(System_configuration!B:B,A284)</f>
        <v>0</v>
      </c>
    </row>
    <row r="285" spans="1:10" s="29" customFormat="1" x14ac:dyDescent="0.2">
      <c r="A285" s="86" t="s">
        <v>3091</v>
      </c>
      <c r="B285" s="43" t="s">
        <v>1534</v>
      </c>
      <c r="C285" s="43" t="s">
        <v>1534</v>
      </c>
      <c r="D285" s="45" t="s">
        <v>2952</v>
      </c>
      <c r="E285" s="45" t="s">
        <v>2953</v>
      </c>
      <c r="F285" s="58" t="s">
        <v>1534</v>
      </c>
      <c r="G285" s="50"/>
      <c r="H285" s="50"/>
      <c r="I285" s="50"/>
      <c r="J285" s="40">
        <f>COUNTIF(System_configuration!B:B,A285)</f>
        <v>0</v>
      </c>
    </row>
    <row r="286" spans="1:10" s="29" customFormat="1" x14ac:dyDescent="0.2">
      <c r="A286" s="86" t="s">
        <v>3092</v>
      </c>
      <c r="B286" s="43" t="s">
        <v>1534</v>
      </c>
      <c r="C286" s="43" t="s">
        <v>1534</v>
      </c>
      <c r="D286" s="45" t="s">
        <v>2955</v>
      </c>
      <c r="E286" s="45" t="s">
        <v>2956</v>
      </c>
      <c r="F286" s="58" t="s">
        <v>1534</v>
      </c>
      <c r="G286" s="50"/>
      <c r="H286" s="50"/>
      <c r="I286" s="50"/>
      <c r="J286" s="40">
        <f>COUNTIF(System_configuration!B:B,A286)</f>
        <v>0</v>
      </c>
    </row>
    <row r="287" spans="1:10" s="29" customFormat="1" x14ac:dyDescent="0.2">
      <c r="A287" s="86" t="s">
        <v>3093</v>
      </c>
      <c r="B287" s="43" t="s">
        <v>1534</v>
      </c>
      <c r="C287" s="43" t="s">
        <v>1534</v>
      </c>
      <c r="D287" s="45" t="s">
        <v>2958</v>
      </c>
      <c r="E287" s="45" t="s">
        <v>2959</v>
      </c>
      <c r="F287" s="58" t="s">
        <v>1534</v>
      </c>
      <c r="G287" s="50"/>
      <c r="H287" s="50"/>
      <c r="I287" s="50"/>
      <c r="J287" s="40">
        <f>COUNTIF(System_configuration!B:B,A287)</f>
        <v>0</v>
      </c>
    </row>
    <row r="288" spans="1:10" s="29" customFormat="1" x14ac:dyDescent="0.2">
      <c r="A288" s="86" t="s">
        <v>3094</v>
      </c>
      <c r="B288" s="43" t="s">
        <v>1534</v>
      </c>
      <c r="C288" s="43" t="s">
        <v>1534</v>
      </c>
      <c r="D288" s="45" t="s">
        <v>2961</v>
      </c>
      <c r="E288" s="45" t="s">
        <v>2962</v>
      </c>
      <c r="F288" s="58" t="s">
        <v>1534</v>
      </c>
      <c r="G288" s="50"/>
      <c r="H288" s="50"/>
      <c r="I288" s="50"/>
      <c r="J288" s="40">
        <f>COUNTIF(System_configuration!B:B,A288)</f>
        <v>0</v>
      </c>
    </row>
    <row r="289" spans="1:10" s="29" customFormat="1" x14ac:dyDescent="0.2">
      <c r="A289" s="86" t="s">
        <v>3095</v>
      </c>
      <c r="B289" s="43" t="s">
        <v>1534</v>
      </c>
      <c r="C289" s="43" t="s">
        <v>1534</v>
      </c>
      <c r="D289" s="45" t="s">
        <v>2964</v>
      </c>
      <c r="E289" s="45" t="s">
        <v>2965</v>
      </c>
      <c r="F289" s="58" t="s">
        <v>1534</v>
      </c>
      <c r="G289" s="50"/>
      <c r="H289" s="50"/>
      <c r="I289" s="50"/>
      <c r="J289" s="40">
        <f>COUNTIF(System_configuration!B:B,A289)</f>
        <v>0</v>
      </c>
    </row>
    <row r="290" spans="1:10" s="29" customFormat="1" x14ac:dyDescent="0.2">
      <c r="A290" s="86" t="s">
        <v>3096</v>
      </c>
      <c r="B290" s="43" t="s">
        <v>1534</v>
      </c>
      <c r="C290" s="43" t="s">
        <v>1534</v>
      </c>
      <c r="D290" s="45" t="s">
        <v>2967</v>
      </c>
      <c r="E290" s="45" t="s">
        <v>2968</v>
      </c>
      <c r="F290" s="58" t="s">
        <v>1534</v>
      </c>
      <c r="G290" s="50"/>
      <c r="H290" s="50"/>
      <c r="I290" s="50"/>
      <c r="J290" s="40">
        <f>COUNTIF(System_configuration!B:B,A290)</f>
        <v>0</v>
      </c>
    </row>
    <row r="291" spans="1:10" s="29" customFormat="1" x14ac:dyDescent="0.2">
      <c r="A291" s="86" t="s">
        <v>3097</v>
      </c>
      <c r="B291" s="43" t="s">
        <v>1534</v>
      </c>
      <c r="C291" s="43" t="s">
        <v>1534</v>
      </c>
      <c r="D291" s="45" t="s">
        <v>2970</v>
      </c>
      <c r="E291" s="45" t="s">
        <v>2971</v>
      </c>
      <c r="F291" s="58" t="s">
        <v>1534</v>
      </c>
      <c r="G291" s="50"/>
      <c r="H291" s="50"/>
      <c r="I291" s="50"/>
      <c r="J291" s="40">
        <f>COUNTIF(System_configuration!B:B,A291)</f>
        <v>0</v>
      </c>
    </row>
    <row r="292" spans="1:10" s="29" customFormat="1" x14ac:dyDescent="0.2">
      <c r="A292" s="86" t="s">
        <v>3098</v>
      </c>
      <c r="B292" s="43" t="s">
        <v>1534</v>
      </c>
      <c r="C292" s="43" t="s">
        <v>1534</v>
      </c>
      <c r="D292" s="45" t="s">
        <v>2973</v>
      </c>
      <c r="E292" s="45" t="s">
        <v>2974</v>
      </c>
      <c r="F292" s="58" t="s">
        <v>1534</v>
      </c>
      <c r="G292" s="50"/>
      <c r="H292" s="50"/>
      <c r="I292" s="50"/>
      <c r="J292" s="40">
        <f>COUNTIF(System_configuration!B:B,A292)</f>
        <v>0</v>
      </c>
    </row>
    <row r="293" spans="1:10" s="29" customFormat="1" x14ac:dyDescent="0.2">
      <c r="A293" s="86" t="s">
        <v>3099</v>
      </c>
      <c r="B293" s="43" t="s">
        <v>1534</v>
      </c>
      <c r="C293" s="43" t="s">
        <v>1534</v>
      </c>
      <c r="D293" s="45" t="s">
        <v>2976</v>
      </c>
      <c r="E293" s="45" t="s">
        <v>2977</v>
      </c>
      <c r="F293" s="58" t="s">
        <v>1534</v>
      </c>
      <c r="G293" s="50"/>
      <c r="H293" s="50"/>
      <c r="I293" s="50"/>
      <c r="J293" s="40">
        <f>COUNTIF(System_configuration!B:B,A293)</f>
        <v>0</v>
      </c>
    </row>
    <row r="294" spans="1:10" s="29" customFormat="1" x14ac:dyDescent="0.2">
      <c r="A294" s="86" t="s">
        <v>3100</v>
      </c>
      <c r="B294" s="43" t="s">
        <v>1534</v>
      </c>
      <c r="C294" s="43" t="s">
        <v>1534</v>
      </c>
      <c r="D294" s="45" t="s">
        <v>2979</v>
      </c>
      <c r="E294" s="45" t="s">
        <v>2980</v>
      </c>
      <c r="F294" s="58" t="s">
        <v>1534</v>
      </c>
      <c r="G294" s="50"/>
      <c r="H294" s="50"/>
      <c r="I294" s="50"/>
      <c r="J294" s="40">
        <f>COUNTIF(System_configuration!B:B,A294)</f>
        <v>0</v>
      </c>
    </row>
    <row r="295" spans="1:10" s="29" customFormat="1" x14ac:dyDescent="0.2">
      <c r="A295" s="86" t="s">
        <v>3101</v>
      </c>
      <c r="B295" s="43" t="s">
        <v>1534</v>
      </c>
      <c r="C295" s="43" t="s">
        <v>1534</v>
      </c>
      <c r="D295" s="45" t="s">
        <v>2982</v>
      </c>
      <c r="E295" s="45" t="s">
        <v>2983</v>
      </c>
      <c r="F295" s="58" t="s">
        <v>1534</v>
      </c>
      <c r="G295" s="50"/>
      <c r="H295" s="50"/>
      <c r="I295" s="50"/>
      <c r="J295" s="40">
        <f>COUNTIF(System_configuration!B:B,A295)</f>
        <v>0</v>
      </c>
    </row>
    <row r="296" spans="1:10" s="29" customFormat="1" x14ac:dyDescent="0.2">
      <c r="A296" s="86" t="s">
        <v>3102</v>
      </c>
      <c r="B296" s="43" t="s">
        <v>1534</v>
      </c>
      <c r="C296" s="43" t="s">
        <v>1534</v>
      </c>
      <c r="D296" s="45" t="s">
        <v>2985</v>
      </c>
      <c r="E296" s="45" t="s">
        <v>2986</v>
      </c>
      <c r="F296" s="58" t="s">
        <v>1534</v>
      </c>
      <c r="G296" s="50"/>
      <c r="H296" s="50"/>
      <c r="I296" s="50"/>
      <c r="J296" s="40">
        <f>COUNTIF(System_configuration!B:B,A296)</f>
        <v>0</v>
      </c>
    </row>
    <row r="297" spans="1:10" s="29" customFormat="1" x14ac:dyDescent="0.2">
      <c r="A297" s="86" t="s">
        <v>3103</v>
      </c>
      <c r="B297" s="43" t="s">
        <v>1534</v>
      </c>
      <c r="C297" s="43" t="s">
        <v>1534</v>
      </c>
      <c r="D297" s="45" t="s">
        <v>2988</v>
      </c>
      <c r="E297" s="45" t="s">
        <v>2989</v>
      </c>
      <c r="F297" s="58" t="s">
        <v>1534</v>
      </c>
      <c r="G297" s="52"/>
      <c r="H297" s="52"/>
      <c r="I297" s="52"/>
      <c r="J297" s="40">
        <f>COUNTIF(System_configuration!B:B,A297)</f>
        <v>0</v>
      </c>
    </row>
    <row r="298" spans="1:10" s="29" customFormat="1" x14ac:dyDescent="0.2">
      <c r="A298" s="86" t="s">
        <v>689</v>
      </c>
      <c r="B298" s="45">
        <v>2000</v>
      </c>
      <c r="C298" s="45">
        <v>2000</v>
      </c>
      <c r="D298" s="45" t="s">
        <v>3104</v>
      </c>
      <c r="E298" s="45" t="s">
        <v>3105</v>
      </c>
      <c r="F298" s="45">
        <v>40</v>
      </c>
      <c r="G298" s="49" t="s">
        <v>3569</v>
      </c>
      <c r="H298" s="49" t="s">
        <v>3569</v>
      </c>
      <c r="I298" s="49" t="s">
        <v>3569</v>
      </c>
      <c r="J298" s="40">
        <f>COUNTIF(System_configuration!B:B,A298)</f>
        <v>0</v>
      </c>
    </row>
    <row r="299" spans="1:10" s="29" customFormat="1" x14ac:dyDescent="0.2">
      <c r="A299" s="86" t="s">
        <v>751</v>
      </c>
      <c r="B299" s="45">
        <v>2000</v>
      </c>
      <c r="C299" s="45">
        <v>2000</v>
      </c>
      <c r="D299" s="45" t="s">
        <v>3106</v>
      </c>
      <c r="E299" s="45" t="s">
        <v>3107</v>
      </c>
      <c r="F299" s="45">
        <v>60</v>
      </c>
      <c r="G299" s="49" t="s">
        <v>3569</v>
      </c>
      <c r="H299" s="49" t="s">
        <v>3569</v>
      </c>
      <c r="I299" s="49" t="s">
        <v>3569</v>
      </c>
      <c r="J299" s="40">
        <f>COUNTIF(System_configuration!B:B,A299)</f>
        <v>0</v>
      </c>
    </row>
    <row r="300" spans="1:10" s="29" customFormat="1" x14ac:dyDescent="0.2">
      <c r="A300" s="86" t="s">
        <v>690</v>
      </c>
      <c r="B300" s="45">
        <v>2000</v>
      </c>
      <c r="C300" s="45">
        <v>2000</v>
      </c>
      <c r="D300" s="45" t="s">
        <v>3108</v>
      </c>
      <c r="E300" s="45" t="s">
        <v>3109</v>
      </c>
      <c r="F300" s="45">
        <v>118</v>
      </c>
      <c r="G300" s="49" t="s">
        <v>3569</v>
      </c>
      <c r="H300" s="49" t="s">
        <v>3569</v>
      </c>
      <c r="I300" s="49" t="s">
        <v>3569</v>
      </c>
      <c r="J300" s="40">
        <f>COUNTIF(System_configuration!B:B,A300)</f>
        <v>0</v>
      </c>
    </row>
    <row r="301" spans="1:10" s="29" customFormat="1" x14ac:dyDescent="0.2">
      <c r="A301" s="86" t="s">
        <v>691</v>
      </c>
      <c r="B301" s="45">
        <v>2000</v>
      </c>
      <c r="C301" s="45">
        <v>2000</v>
      </c>
      <c r="D301" s="45" t="s">
        <v>3110</v>
      </c>
      <c r="E301" s="45" t="s">
        <v>3111</v>
      </c>
      <c r="F301" s="45">
        <v>84</v>
      </c>
      <c r="G301" s="49" t="s">
        <v>3569</v>
      </c>
      <c r="H301" s="49" t="s">
        <v>3569</v>
      </c>
      <c r="I301" s="49" t="s">
        <v>3569</v>
      </c>
      <c r="J301" s="40">
        <f>COUNTIF(System_configuration!B:B,A301)</f>
        <v>0</v>
      </c>
    </row>
    <row r="302" spans="1:10" s="29" customFormat="1" x14ac:dyDescent="0.2">
      <c r="A302" s="86" t="s">
        <v>3112</v>
      </c>
      <c r="B302" s="43" t="s">
        <v>1534</v>
      </c>
      <c r="C302" s="43" t="s">
        <v>1534</v>
      </c>
      <c r="D302" s="45" t="s">
        <v>3113</v>
      </c>
      <c r="E302" s="45" t="s">
        <v>3114</v>
      </c>
      <c r="F302" s="45">
        <v>24</v>
      </c>
      <c r="G302" s="50"/>
      <c r="H302" s="50"/>
      <c r="I302" s="50"/>
      <c r="J302" s="40">
        <f>COUNTIF(System_configuration!B:B,A302)</f>
        <v>0</v>
      </c>
    </row>
    <row r="303" spans="1:10" s="29" customFormat="1" x14ac:dyDescent="0.2">
      <c r="A303" s="86" t="s">
        <v>3115</v>
      </c>
      <c r="B303" s="43" t="s">
        <v>1534</v>
      </c>
      <c r="C303" s="43" t="s">
        <v>1534</v>
      </c>
      <c r="D303" s="45" t="s">
        <v>3116</v>
      </c>
      <c r="E303" s="45" t="s">
        <v>3117</v>
      </c>
      <c r="F303" s="45">
        <v>24</v>
      </c>
      <c r="G303" s="50"/>
      <c r="H303" s="50"/>
      <c r="I303" s="50"/>
      <c r="J303" s="40">
        <f>COUNTIF(System_configuration!B:B,A303)</f>
        <v>0</v>
      </c>
    </row>
    <row r="304" spans="1:10" s="29" customFormat="1" x14ac:dyDescent="0.2">
      <c r="A304" s="86" t="s">
        <v>3118</v>
      </c>
      <c r="B304" s="43" t="s">
        <v>1534</v>
      </c>
      <c r="C304" s="43" t="s">
        <v>1534</v>
      </c>
      <c r="D304" s="45" t="s">
        <v>3119</v>
      </c>
      <c r="E304" s="45" t="s">
        <v>3120</v>
      </c>
      <c r="F304" s="45">
        <v>24</v>
      </c>
      <c r="G304" s="50"/>
      <c r="H304" s="50"/>
      <c r="I304" s="50"/>
      <c r="J304" s="40">
        <f>COUNTIF(System_configuration!B:B,A304)</f>
        <v>0</v>
      </c>
    </row>
    <row r="305" spans="1:10" s="29" customFormat="1" x14ac:dyDescent="0.2">
      <c r="A305" s="86" t="s">
        <v>3121</v>
      </c>
      <c r="B305" s="43" t="s">
        <v>1534</v>
      </c>
      <c r="C305" s="43" t="s">
        <v>1534</v>
      </c>
      <c r="D305" s="45" t="s">
        <v>3122</v>
      </c>
      <c r="E305" s="45" t="s">
        <v>3123</v>
      </c>
      <c r="F305" s="45">
        <v>24</v>
      </c>
      <c r="G305" s="50"/>
      <c r="H305" s="50"/>
      <c r="I305" s="50"/>
      <c r="J305" s="40">
        <f>COUNTIF(System_configuration!B:B,A305)</f>
        <v>0</v>
      </c>
    </row>
    <row r="306" spans="1:10" s="29" customFormat="1" x14ac:dyDescent="0.2">
      <c r="A306" s="86" t="s">
        <v>3124</v>
      </c>
      <c r="B306" s="43" t="s">
        <v>1534</v>
      </c>
      <c r="C306" s="43" t="s">
        <v>1534</v>
      </c>
      <c r="D306" s="45" t="s">
        <v>3125</v>
      </c>
      <c r="E306" s="45" t="s">
        <v>3126</v>
      </c>
      <c r="F306" s="45">
        <v>24</v>
      </c>
      <c r="G306" s="50"/>
      <c r="H306" s="50"/>
      <c r="I306" s="50"/>
      <c r="J306" s="40">
        <f>COUNTIF(System_configuration!B:B,A306)</f>
        <v>0</v>
      </c>
    </row>
    <row r="307" spans="1:10" s="29" customFormat="1" x14ac:dyDescent="0.2">
      <c r="A307" s="86" t="s">
        <v>3127</v>
      </c>
      <c r="B307" s="43" t="s">
        <v>1534</v>
      </c>
      <c r="C307" s="43" t="s">
        <v>1534</v>
      </c>
      <c r="D307" s="45" t="s">
        <v>3128</v>
      </c>
      <c r="E307" s="45" t="s">
        <v>3129</v>
      </c>
      <c r="F307" s="45">
        <v>24</v>
      </c>
      <c r="G307" s="50"/>
      <c r="H307" s="50"/>
      <c r="I307" s="50"/>
      <c r="J307" s="40">
        <f>COUNTIF(System_configuration!B:B,A307)</f>
        <v>0</v>
      </c>
    </row>
    <row r="308" spans="1:10" s="29" customFormat="1" x14ac:dyDescent="0.2">
      <c r="A308" s="86" t="s">
        <v>3130</v>
      </c>
      <c r="B308" s="43" t="s">
        <v>1534</v>
      </c>
      <c r="C308" s="43" t="s">
        <v>1534</v>
      </c>
      <c r="D308" s="45" t="s">
        <v>3131</v>
      </c>
      <c r="E308" s="45" t="s">
        <v>3132</v>
      </c>
      <c r="F308" s="45">
        <v>24</v>
      </c>
      <c r="G308" s="50"/>
      <c r="H308" s="50"/>
      <c r="I308" s="50"/>
      <c r="J308" s="40">
        <f>COUNTIF(System_configuration!B:B,A308)</f>
        <v>0</v>
      </c>
    </row>
    <row r="309" spans="1:10" s="29" customFormat="1" x14ac:dyDescent="0.2">
      <c r="A309" s="86" t="s">
        <v>3133</v>
      </c>
      <c r="B309" s="43" t="s">
        <v>1534</v>
      </c>
      <c r="C309" s="43" t="s">
        <v>1534</v>
      </c>
      <c r="D309" s="45" t="s">
        <v>3134</v>
      </c>
      <c r="E309" s="45" t="s">
        <v>3135</v>
      </c>
      <c r="F309" s="45">
        <v>24</v>
      </c>
      <c r="G309" s="50"/>
      <c r="H309" s="50"/>
      <c r="I309" s="50"/>
      <c r="J309" s="40">
        <f>COUNTIF(System_configuration!B:B,A309)</f>
        <v>0</v>
      </c>
    </row>
    <row r="310" spans="1:10" s="29" customFormat="1" x14ac:dyDescent="0.2">
      <c r="A310" s="86" t="s">
        <v>3136</v>
      </c>
      <c r="B310" s="43" t="s">
        <v>1534</v>
      </c>
      <c r="C310" s="43" t="s">
        <v>1534</v>
      </c>
      <c r="D310" s="45" t="s">
        <v>3137</v>
      </c>
      <c r="E310" s="45" t="s">
        <v>3138</v>
      </c>
      <c r="F310" s="45">
        <v>24</v>
      </c>
      <c r="G310" s="50"/>
      <c r="H310" s="50"/>
      <c r="I310" s="50"/>
      <c r="J310" s="40">
        <f>COUNTIF(System_configuration!B:B,A310)</f>
        <v>0</v>
      </c>
    </row>
    <row r="311" spans="1:10" s="29" customFormat="1" x14ac:dyDescent="0.2">
      <c r="A311" s="86" t="s">
        <v>3139</v>
      </c>
      <c r="B311" s="43" t="s">
        <v>1534</v>
      </c>
      <c r="C311" s="43" t="s">
        <v>1534</v>
      </c>
      <c r="D311" s="45" t="s">
        <v>3140</v>
      </c>
      <c r="E311" s="45" t="s">
        <v>3141</v>
      </c>
      <c r="F311" s="45">
        <v>24</v>
      </c>
      <c r="G311" s="50"/>
      <c r="H311" s="50"/>
      <c r="I311" s="50"/>
      <c r="J311" s="40">
        <f>COUNTIF(System_configuration!B:B,A311)</f>
        <v>0</v>
      </c>
    </row>
    <row r="312" spans="1:10" s="29" customFormat="1" x14ac:dyDescent="0.2">
      <c r="A312" s="86" t="s">
        <v>3142</v>
      </c>
      <c r="B312" s="43" t="s">
        <v>1534</v>
      </c>
      <c r="C312" s="43" t="s">
        <v>1534</v>
      </c>
      <c r="D312" s="45" t="s">
        <v>3143</v>
      </c>
      <c r="E312" s="45" t="s">
        <v>3144</v>
      </c>
      <c r="F312" s="45">
        <v>24</v>
      </c>
      <c r="G312" s="50"/>
      <c r="H312" s="50"/>
      <c r="I312" s="50"/>
      <c r="J312" s="40">
        <f>COUNTIF(System_configuration!B:B,A312)</f>
        <v>0</v>
      </c>
    </row>
    <row r="313" spans="1:10" s="29" customFormat="1" x14ac:dyDescent="0.2">
      <c r="A313" s="86" t="s">
        <v>3145</v>
      </c>
      <c r="B313" s="43" t="s">
        <v>1534</v>
      </c>
      <c r="C313" s="43" t="s">
        <v>1534</v>
      </c>
      <c r="D313" s="45" t="s">
        <v>3146</v>
      </c>
      <c r="E313" s="45" t="s">
        <v>3147</v>
      </c>
      <c r="F313" s="45">
        <v>24</v>
      </c>
      <c r="G313" s="50"/>
      <c r="H313" s="50"/>
      <c r="I313" s="50"/>
      <c r="J313" s="40">
        <f>COUNTIF(System_configuration!B:B,A313)</f>
        <v>0</v>
      </c>
    </row>
    <row r="314" spans="1:10" s="29" customFormat="1" x14ac:dyDescent="0.2">
      <c r="A314" s="86" t="s">
        <v>3148</v>
      </c>
      <c r="B314" s="43" t="s">
        <v>1534</v>
      </c>
      <c r="C314" s="43" t="s">
        <v>1534</v>
      </c>
      <c r="D314" s="45" t="s">
        <v>3149</v>
      </c>
      <c r="E314" s="45" t="s">
        <v>3150</v>
      </c>
      <c r="F314" s="45">
        <v>24</v>
      </c>
      <c r="G314" s="50"/>
      <c r="H314" s="50"/>
      <c r="I314" s="50"/>
      <c r="J314" s="40">
        <f>COUNTIF(System_configuration!B:B,A314)</f>
        <v>0</v>
      </c>
    </row>
    <row r="315" spans="1:10" s="29" customFormat="1" x14ac:dyDescent="0.2">
      <c r="A315" s="86" t="s">
        <v>3151</v>
      </c>
      <c r="B315" s="43" t="s">
        <v>1534</v>
      </c>
      <c r="C315" s="43" t="s">
        <v>1534</v>
      </c>
      <c r="D315" s="45" t="s">
        <v>3152</v>
      </c>
      <c r="E315" s="45" t="s">
        <v>3153</v>
      </c>
      <c r="F315" s="45">
        <v>24</v>
      </c>
      <c r="G315" s="50"/>
      <c r="H315" s="50"/>
      <c r="I315" s="50"/>
      <c r="J315" s="40">
        <f>COUNTIF(System_configuration!B:B,A315)</f>
        <v>0</v>
      </c>
    </row>
    <row r="316" spans="1:10" s="29" customFormat="1" x14ac:dyDescent="0.2">
      <c r="A316" s="86" t="s">
        <v>3154</v>
      </c>
      <c r="B316" s="43" t="s">
        <v>1534</v>
      </c>
      <c r="C316" s="43" t="s">
        <v>1534</v>
      </c>
      <c r="D316" s="45" t="s">
        <v>3155</v>
      </c>
      <c r="E316" s="45" t="s">
        <v>3156</v>
      </c>
      <c r="F316" s="58" t="s">
        <v>1534</v>
      </c>
      <c r="G316" s="50"/>
      <c r="H316" s="50"/>
      <c r="I316" s="50"/>
      <c r="J316" s="40">
        <f>COUNTIF(System_configuration!B:B,A316)</f>
        <v>0</v>
      </c>
    </row>
    <row r="317" spans="1:10" s="29" customFormat="1" x14ac:dyDescent="0.2">
      <c r="A317" s="86" t="s">
        <v>3157</v>
      </c>
      <c r="B317" s="43" t="s">
        <v>1534</v>
      </c>
      <c r="C317" s="43" t="s">
        <v>1534</v>
      </c>
      <c r="D317" s="45" t="s">
        <v>3158</v>
      </c>
      <c r="E317" s="45" t="s">
        <v>3159</v>
      </c>
      <c r="F317" s="58" t="s">
        <v>1534</v>
      </c>
      <c r="G317" s="50"/>
      <c r="H317" s="50"/>
      <c r="I317" s="50"/>
      <c r="J317" s="40">
        <f>COUNTIF(System_configuration!B:B,A317)</f>
        <v>0</v>
      </c>
    </row>
    <row r="318" spans="1:10" s="29" customFormat="1" x14ac:dyDescent="0.2">
      <c r="A318" s="86" t="s">
        <v>3160</v>
      </c>
      <c r="B318" s="43" t="s">
        <v>1534</v>
      </c>
      <c r="C318" s="43" t="s">
        <v>1534</v>
      </c>
      <c r="D318" s="45" t="s">
        <v>3161</v>
      </c>
      <c r="E318" s="45" t="s">
        <v>3162</v>
      </c>
      <c r="F318" s="58" t="s">
        <v>1534</v>
      </c>
      <c r="G318" s="50"/>
      <c r="H318" s="50"/>
      <c r="I318" s="50"/>
      <c r="J318" s="40">
        <f>COUNTIF(System_configuration!B:B,A318)</f>
        <v>0</v>
      </c>
    </row>
    <row r="319" spans="1:10" s="29" customFormat="1" x14ac:dyDescent="0.2">
      <c r="A319" s="86" t="s">
        <v>3163</v>
      </c>
      <c r="B319" s="43" t="s">
        <v>1534</v>
      </c>
      <c r="C319" s="43" t="s">
        <v>1534</v>
      </c>
      <c r="D319" s="45" t="s">
        <v>3164</v>
      </c>
      <c r="E319" s="45" t="s">
        <v>3165</v>
      </c>
      <c r="F319" s="58" t="s">
        <v>1534</v>
      </c>
      <c r="G319" s="50"/>
      <c r="H319" s="50"/>
      <c r="I319" s="50"/>
      <c r="J319" s="40">
        <f>COUNTIF(System_configuration!B:B,A319)</f>
        <v>0</v>
      </c>
    </row>
    <row r="320" spans="1:10" s="29" customFormat="1" x14ac:dyDescent="0.2">
      <c r="A320" s="86" t="s">
        <v>3166</v>
      </c>
      <c r="B320" s="43" t="s">
        <v>1534</v>
      </c>
      <c r="C320" s="43" t="s">
        <v>1534</v>
      </c>
      <c r="D320" s="45" t="s">
        <v>3167</v>
      </c>
      <c r="E320" s="45" t="s">
        <v>3168</v>
      </c>
      <c r="F320" s="58" t="s">
        <v>1534</v>
      </c>
      <c r="G320" s="50"/>
      <c r="H320" s="50"/>
      <c r="I320" s="50"/>
      <c r="J320" s="40">
        <f>COUNTIF(System_configuration!B:B,A320)</f>
        <v>0</v>
      </c>
    </row>
    <row r="321" spans="1:10" s="29" customFormat="1" x14ac:dyDescent="0.2">
      <c r="A321" s="86" t="s">
        <v>3169</v>
      </c>
      <c r="B321" s="43" t="s">
        <v>1534</v>
      </c>
      <c r="C321" s="43" t="s">
        <v>1534</v>
      </c>
      <c r="D321" s="45" t="s">
        <v>3170</v>
      </c>
      <c r="E321" s="45" t="s">
        <v>3171</v>
      </c>
      <c r="F321" s="58" t="s">
        <v>1534</v>
      </c>
      <c r="G321" s="50"/>
      <c r="H321" s="50"/>
      <c r="I321" s="50"/>
      <c r="J321" s="40">
        <f>COUNTIF(System_configuration!B:B,A321)</f>
        <v>0</v>
      </c>
    </row>
    <row r="322" spans="1:10" s="29" customFormat="1" x14ac:dyDescent="0.2">
      <c r="A322" s="86" t="s">
        <v>3172</v>
      </c>
      <c r="B322" s="43" t="s">
        <v>1534</v>
      </c>
      <c r="C322" s="43" t="s">
        <v>1534</v>
      </c>
      <c r="D322" s="45" t="s">
        <v>3173</v>
      </c>
      <c r="E322" s="45" t="s">
        <v>3174</v>
      </c>
      <c r="F322" s="58" t="s">
        <v>1534</v>
      </c>
      <c r="G322" s="50"/>
      <c r="H322" s="50"/>
      <c r="I322" s="50"/>
      <c r="J322" s="40">
        <f>COUNTIF(System_configuration!B:B,A322)</f>
        <v>0</v>
      </c>
    </row>
    <row r="323" spans="1:10" s="29" customFormat="1" x14ac:dyDescent="0.2">
      <c r="A323" s="86" t="s">
        <v>3175</v>
      </c>
      <c r="B323" s="43" t="s">
        <v>1534</v>
      </c>
      <c r="C323" s="43" t="s">
        <v>1534</v>
      </c>
      <c r="D323" s="45" t="s">
        <v>3176</v>
      </c>
      <c r="E323" s="45" t="s">
        <v>3177</v>
      </c>
      <c r="F323" s="58" t="s">
        <v>1534</v>
      </c>
      <c r="G323" s="50"/>
      <c r="H323" s="50"/>
      <c r="I323" s="50"/>
      <c r="J323" s="40">
        <f>COUNTIF(System_configuration!B:B,A323)</f>
        <v>0</v>
      </c>
    </row>
    <row r="324" spans="1:10" s="29" customFormat="1" x14ac:dyDescent="0.2">
      <c r="A324" s="86" t="s">
        <v>3178</v>
      </c>
      <c r="B324" s="43" t="s">
        <v>1534</v>
      </c>
      <c r="C324" s="43" t="s">
        <v>1534</v>
      </c>
      <c r="D324" s="45" t="s">
        <v>3179</v>
      </c>
      <c r="E324" s="45" t="s">
        <v>3180</v>
      </c>
      <c r="F324" s="58" t="s">
        <v>1534</v>
      </c>
      <c r="G324" s="50"/>
      <c r="H324" s="50"/>
      <c r="I324" s="50"/>
      <c r="J324" s="40">
        <f>COUNTIF(System_configuration!B:B,A324)</f>
        <v>0</v>
      </c>
    </row>
    <row r="325" spans="1:10" s="29" customFormat="1" x14ac:dyDescent="0.2">
      <c r="A325" s="86" t="s">
        <v>3181</v>
      </c>
      <c r="B325" s="43" t="s">
        <v>1534</v>
      </c>
      <c r="C325" s="43" t="s">
        <v>1534</v>
      </c>
      <c r="D325" s="45" t="s">
        <v>3182</v>
      </c>
      <c r="E325" s="45" t="s">
        <v>3183</v>
      </c>
      <c r="F325" s="58" t="s">
        <v>1534</v>
      </c>
      <c r="G325" s="50"/>
      <c r="H325" s="50"/>
      <c r="I325" s="50"/>
      <c r="J325" s="40">
        <f>COUNTIF(System_configuration!B:B,A325)</f>
        <v>0</v>
      </c>
    </row>
    <row r="326" spans="1:10" s="29" customFormat="1" x14ac:dyDescent="0.2">
      <c r="A326" s="86" t="s">
        <v>3184</v>
      </c>
      <c r="B326" s="43" t="s">
        <v>1534</v>
      </c>
      <c r="C326" s="43" t="s">
        <v>1534</v>
      </c>
      <c r="D326" s="45" t="s">
        <v>3185</v>
      </c>
      <c r="E326" s="45" t="s">
        <v>3186</v>
      </c>
      <c r="F326" s="58" t="s">
        <v>1534</v>
      </c>
      <c r="G326" s="50"/>
      <c r="H326" s="50"/>
      <c r="I326" s="50"/>
      <c r="J326" s="40">
        <f>COUNTIF(System_configuration!B:B,A326)</f>
        <v>0</v>
      </c>
    </row>
    <row r="327" spans="1:10" s="29" customFormat="1" x14ac:dyDescent="0.2">
      <c r="A327" s="86" t="s">
        <v>3187</v>
      </c>
      <c r="B327" s="43" t="s">
        <v>1534</v>
      </c>
      <c r="C327" s="43" t="s">
        <v>1534</v>
      </c>
      <c r="D327" s="45" t="s">
        <v>3188</v>
      </c>
      <c r="E327" s="45" t="s">
        <v>3189</v>
      </c>
      <c r="F327" s="58" t="s">
        <v>1534</v>
      </c>
      <c r="G327" s="50"/>
      <c r="H327" s="50"/>
      <c r="I327" s="50"/>
      <c r="J327" s="40">
        <f>COUNTIF(System_configuration!B:B,A327)</f>
        <v>0</v>
      </c>
    </row>
    <row r="328" spans="1:10" s="29" customFormat="1" x14ac:dyDescent="0.2">
      <c r="A328" s="86" t="s">
        <v>3190</v>
      </c>
      <c r="B328" s="43" t="s">
        <v>1534</v>
      </c>
      <c r="C328" s="43" t="s">
        <v>1534</v>
      </c>
      <c r="D328" s="45" t="s">
        <v>3191</v>
      </c>
      <c r="E328" s="45" t="s">
        <v>3192</v>
      </c>
      <c r="F328" s="58" t="s">
        <v>1534</v>
      </c>
      <c r="G328" s="50"/>
      <c r="H328" s="50"/>
      <c r="I328" s="50"/>
      <c r="J328" s="40">
        <f>COUNTIF(System_configuration!B:B,A328)</f>
        <v>0</v>
      </c>
    </row>
    <row r="329" spans="1:10" s="29" customFormat="1" x14ac:dyDescent="0.2">
      <c r="A329" s="86" t="s">
        <v>3193</v>
      </c>
      <c r="B329" s="43" t="s">
        <v>1534</v>
      </c>
      <c r="C329" s="43" t="s">
        <v>1534</v>
      </c>
      <c r="D329" s="45" t="s">
        <v>3194</v>
      </c>
      <c r="E329" s="45" t="s">
        <v>3195</v>
      </c>
      <c r="F329" s="58" t="s">
        <v>1534</v>
      </c>
      <c r="G329" s="50"/>
      <c r="H329" s="50"/>
      <c r="I329" s="50"/>
      <c r="J329" s="40">
        <f>COUNTIF(System_configuration!B:B,A329)</f>
        <v>0</v>
      </c>
    </row>
    <row r="330" spans="1:10" s="29" customFormat="1" x14ac:dyDescent="0.2">
      <c r="A330" s="86" t="s">
        <v>3196</v>
      </c>
      <c r="B330" s="43" t="s">
        <v>1534</v>
      </c>
      <c r="C330" s="43" t="s">
        <v>1534</v>
      </c>
      <c r="D330" s="45" t="s">
        <v>3197</v>
      </c>
      <c r="E330" s="45" t="s">
        <v>3198</v>
      </c>
      <c r="F330" s="58" t="s">
        <v>1534</v>
      </c>
      <c r="G330" s="50"/>
      <c r="H330" s="50"/>
      <c r="I330" s="50"/>
      <c r="J330" s="40">
        <f>COUNTIF(System_configuration!B:B,A330)</f>
        <v>0</v>
      </c>
    </row>
    <row r="331" spans="1:10" s="29" customFormat="1" x14ac:dyDescent="0.2">
      <c r="A331" s="86" t="s">
        <v>3199</v>
      </c>
      <c r="B331" s="43" t="s">
        <v>1534</v>
      </c>
      <c r="C331" s="43" t="s">
        <v>1534</v>
      </c>
      <c r="D331" s="45" t="s">
        <v>3200</v>
      </c>
      <c r="E331" s="45" t="s">
        <v>3201</v>
      </c>
      <c r="F331" s="58" t="s">
        <v>1534</v>
      </c>
      <c r="G331" s="50"/>
      <c r="H331" s="50"/>
      <c r="I331" s="50"/>
      <c r="J331" s="40">
        <f>COUNTIF(System_configuration!B:B,A331)</f>
        <v>0</v>
      </c>
    </row>
    <row r="332" spans="1:10" s="29" customFormat="1" x14ac:dyDescent="0.2">
      <c r="A332" s="86" t="s">
        <v>3202</v>
      </c>
      <c r="B332" s="43" t="s">
        <v>1534</v>
      </c>
      <c r="C332" s="43" t="s">
        <v>1534</v>
      </c>
      <c r="D332" s="45" t="s">
        <v>3203</v>
      </c>
      <c r="E332" s="45" t="s">
        <v>3204</v>
      </c>
      <c r="F332" s="58" t="s">
        <v>1534</v>
      </c>
      <c r="G332" s="50"/>
      <c r="H332" s="50"/>
      <c r="I332" s="50"/>
      <c r="J332" s="40">
        <f>COUNTIF(System_configuration!B:B,A332)</f>
        <v>0</v>
      </c>
    </row>
    <row r="333" spans="1:10" s="29" customFormat="1" x14ac:dyDescent="0.2">
      <c r="A333" s="86" t="s">
        <v>3205</v>
      </c>
      <c r="B333" s="43" t="s">
        <v>1534</v>
      </c>
      <c r="C333" s="43" t="s">
        <v>1534</v>
      </c>
      <c r="D333" s="45" t="s">
        <v>3206</v>
      </c>
      <c r="E333" s="45" t="s">
        <v>3207</v>
      </c>
      <c r="F333" s="45">
        <v>163</v>
      </c>
      <c r="G333" s="50"/>
      <c r="H333" s="50"/>
      <c r="I333" s="50"/>
      <c r="J333" s="40">
        <f>COUNTIF(System_configuration!B:B,A333)</f>
        <v>0</v>
      </c>
    </row>
    <row r="334" spans="1:10" s="29" customFormat="1" x14ac:dyDescent="0.2">
      <c r="A334" s="86" t="s">
        <v>3208</v>
      </c>
      <c r="B334" s="43" t="s">
        <v>1534</v>
      </c>
      <c r="C334" s="43" t="s">
        <v>1534</v>
      </c>
      <c r="D334" s="45" t="s">
        <v>3209</v>
      </c>
      <c r="E334" s="45" t="s">
        <v>3210</v>
      </c>
      <c r="F334" s="58" t="s">
        <v>1534</v>
      </c>
      <c r="G334" s="50"/>
      <c r="H334" s="50"/>
      <c r="I334" s="50"/>
      <c r="J334" s="40">
        <f>COUNTIF(System_configuration!B:B,A334)</f>
        <v>0</v>
      </c>
    </row>
    <row r="335" spans="1:10" s="29" customFormat="1" x14ac:dyDescent="0.2">
      <c r="A335" s="86" t="s">
        <v>3211</v>
      </c>
      <c r="B335" s="43" t="s">
        <v>1534</v>
      </c>
      <c r="C335" s="43" t="s">
        <v>1534</v>
      </c>
      <c r="D335" s="45" t="s">
        <v>3212</v>
      </c>
      <c r="E335" s="45" t="s">
        <v>3213</v>
      </c>
      <c r="F335" s="58" t="s">
        <v>1534</v>
      </c>
      <c r="G335" s="50"/>
      <c r="H335" s="50"/>
      <c r="I335" s="50"/>
      <c r="J335" s="40">
        <f>COUNTIF(System_configuration!B:B,A335)</f>
        <v>0</v>
      </c>
    </row>
    <row r="336" spans="1:10" s="29" customFormat="1" x14ac:dyDescent="0.2">
      <c r="A336" s="86" t="s">
        <v>3214</v>
      </c>
      <c r="B336" s="43" t="s">
        <v>1534</v>
      </c>
      <c r="C336" s="43" t="s">
        <v>1534</v>
      </c>
      <c r="D336" s="45" t="s">
        <v>3215</v>
      </c>
      <c r="E336" s="45" t="s">
        <v>3216</v>
      </c>
      <c r="F336" s="58" t="s">
        <v>1534</v>
      </c>
      <c r="G336" s="50"/>
      <c r="H336" s="50"/>
      <c r="I336" s="50"/>
      <c r="J336" s="40">
        <f>COUNTIF(System_configuration!B:B,A336)</f>
        <v>0</v>
      </c>
    </row>
    <row r="337" spans="1:10" s="29" customFormat="1" x14ac:dyDescent="0.2">
      <c r="A337" s="86" t="s">
        <v>3217</v>
      </c>
      <c r="B337" s="43" t="s">
        <v>1534</v>
      </c>
      <c r="C337" s="43" t="s">
        <v>1534</v>
      </c>
      <c r="D337" s="45" t="s">
        <v>3212</v>
      </c>
      <c r="E337" s="45" t="s">
        <v>3213</v>
      </c>
      <c r="F337" s="58" t="s">
        <v>1534</v>
      </c>
      <c r="G337" s="50"/>
      <c r="H337" s="50"/>
      <c r="I337" s="50"/>
      <c r="J337" s="40">
        <f>COUNTIF(System_configuration!B:B,A337)</f>
        <v>0</v>
      </c>
    </row>
    <row r="338" spans="1:10" s="29" customFormat="1" x14ac:dyDescent="0.2">
      <c r="A338" s="86" t="s">
        <v>3218</v>
      </c>
      <c r="B338" s="43" t="s">
        <v>1534</v>
      </c>
      <c r="C338" s="43" t="s">
        <v>1534</v>
      </c>
      <c r="D338" s="45" t="s">
        <v>3219</v>
      </c>
      <c r="E338" s="45" t="s">
        <v>3220</v>
      </c>
      <c r="F338" s="58" t="s">
        <v>1534</v>
      </c>
      <c r="G338" s="50"/>
      <c r="H338" s="50"/>
      <c r="I338" s="50"/>
      <c r="J338" s="40">
        <f>COUNTIF(System_configuration!B:B,A338)</f>
        <v>0</v>
      </c>
    </row>
    <row r="339" spans="1:10" s="29" customFormat="1" x14ac:dyDescent="0.2">
      <c r="A339" s="86" t="s">
        <v>3221</v>
      </c>
      <c r="B339" s="43" t="s">
        <v>1534</v>
      </c>
      <c r="C339" s="43" t="s">
        <v>1534</v>
      </c>
      <c r="D339" s="45" t="s">
        <v>3222</v>
      </c>
      <c r="E339" s="45" t="s">
        <v>3223</v>
      </c>
      <c r="F339" s="58" t="s">
        <v>1534</v>
      </c>
      <c r="G339" s="50"/>
      <c r="H339" s="50"/>
      <c r="I339" s="50"/>
      <c r="J339" s="40">
        <f>COUNTIF(System_configuration!B:B,A339)</f>
        <v>0</v>
      </c>
    </row>
    <row r="340" spans="1:10" s="29" customFormat="1" x14ac:dyDescent="0.2">
      <c r="A340" s="86" t="s">
        <v>3224</v>
      </c>
      <c r="B340" s="43" t="s">
        <v>1534</v>
      </c>
      <c r="C340" s="43" t="s">
        <v>1534</v>
      </c>
      <c r="D340" s="45" t="s">
        <v>3225</v>
      </c>
      <c r="E340" s="45" t="s">
        <v>3226</v>
      </c>
      <c r="F340" s="58" t="s">
        <v>1534</v>
      </c>
      <c r="G340" s="50"/>
      <c r="H340" s="50"/>
      <c r="I340" s="50"/>
      <c r="J340" s="40">
        <f>COUNTIF(System_configuration!B:B,A340)</f>
        <v>0</v>
      </c>
    </row>
    <row r="341" spans="1:10" s="29" customFormat="1" x14ac:dyDescent="0.2">
      <c r="A341" s="86" t="s">
        <v>649</v>
      </c>
      <c r="B341" s="45">
        <v>2000</v>
      </c>
      <c r="C341" s="43" t="s">
        <v>1534</v>
      </c>
      <c r="D341" s="45" t="s">
        <v>0</v>
      </c>
      <c r="E341" s="45" t="s">
        <v>3227</v>
      </c>
      <c r="F341" s="45">
        <v>100</v>
      </c>
      <c r="G341" s="49" t="s">
        <v>3569</v>
      </c>
      <c r="H341" s="49" t="s">
        <v>3569</v>
      </c>
      <c r="I341" s="49" t="s">
        <v>3569</v>
      </c>
      <c r="J341" s="40">
        <f>COUNTIF(System_configuration!B:B,A341)</f>
        <v>0</v>
      </c>
    </row>
    <row r="342" spans="1:10" s="29" customFormat="1" x14ac:dyDescent="0.2">
      <c r="A342" s="86" t="s">
        <v>650</v>
      </c>
      <c r="B342" s="45">
        <v>2000</v>
      </c>
      <c r="C342" s="43" t="s">
        <v>1534</v>
      </c>
      <c r="D342" s="45" t="s">
        <v>3228</v>
      </c>
      <c r="E342" s="45" t="s">
        <v>3229</v>
      </c>
      <c r="F342" s="45">
        <v>100</v>
      </c>
      <c r="G342" s="49" t="s">
        <v>3569</v>
      </c>
      <c r="H342" s="49" t="s">
        <v>3569</v>
      </c>
      <c r="I342" s="49" t="s">
        <v>3569</v>
      </c>
      <c r="J342" s="40">
        <f>COUNTIF(System_configuration!B:B,A342)</f>
        <v>0</v>
      </c>
    </row>
    <row r="343" spans="1:10" s="29" customFormat="1" x14ac:dyDescent="0.2">
      <c r="A343" s="86" t="s">
        <v>651</v>
      </c>
      <c r="B343" s="45">
        <v>2000</v>
      </c>
      <c r="C343" s="43" t="s">
        <v>1534</v>
      </c>
      <c r="D343" s="45" t="s">
        <v>3230</v>
      </c>
      <c r="E343" s="45" t="s">
        <v>3231</v>
      </c>
      <c r="F343" s="45">
        <v>100</v>
      </c>
      <c r="G343" s="49" t="s">
        <v>3569</v>
      </c>
      <c r="H343" s="49" t="s">
        <v>3569</v>
      </c>
      <c r="I343" s="49" t="s">
        <v>3569</v>
      </c>
      <c r="J343" s="40">
        <f>COUNTIF(System_configuration!B:B,A343)</f>
        <v>0</v>
      </c>
    </row>
    <row r="344" spans="1:10" s="29" customFormat="1" x14ac:dyDescent="0.2">
      <c r="A344" s="86" t="s">
        <v>652</v>
      </c>
      <c r="B344" s="45">
        <v>2000</v>
      </c>
      <c r="C344" s="43" t="s">
        <v>1534</v>
      </c>
      <c r="D344" s="45" t="s">
        <v>3232</v>
      </c>
      <c r="E344" s="45" t="s">
        <v>3233</v>
      </c>
      <c r="F344" s="45">
        <v>100</v>
      </c>
      <c r="G344" s="49" t="s">
        <v>3569</v>
      </c>
      <c r="H344" s="49" t="s">
        <v>3569</v>
      </c>
      <c r="I344" s="49" t="s">
        <v>3569</v>
      </c>
      <c r="J344" s="40">
        <f>COUNTIF(System_configuration!B:B,A344)</f>
        <v>0</v>
      </c>
    </row>
    <row r="345" spans="1:10" s="29" customFormat="1" x14ac:dyDescent="0.2">
      <c r="A345" s="86" t="s">
        <v>3234</v>
      </c>
      <c r="B345" s="45">
        <v>2000</v>
      </c>
      <c r="C345" s="43" t="s">
        <v>1534</v>
      </c>
      <c r="D345" s="45" t="s">
        <v>3235</v>
      </c>
      <c r="E345" s="45" t="s">
        <v>3236</v>
      </c>
      <c r="F345" s="45">
        <v>100</v>
      </c>
      <c r="G345" s="49" t="s">
        <v>3569</v>
      </c>
      <c r="H345" s="49" t="s">
        <v>3569</v>
      </c>
      <c r="I345" s="49" t="s">
        <v>3569</v>
      </c>
      <c r="J345" s="40">
        <f>COUNTIF(System_configuration!B:B,A345)</f>
        <v>0</v>
      </c>
    </row>
    <row r="346" spans="1:10" s="29" customFormat="1" x14ac:dyDescent="0.2">
      <c r="A346" s="86" t="s">
        <v>653</v>
      </c>
      <c r="B346" s="45">
        <v>2000</v>
      </c>
      <c r="C346" s="43" t="s">
        <v>1534</v>
      </c>
      <c r="D346" s="45" t="s">
        <v>3237</v>
      </c>
      <c r="E346" s="45" t="s">
        <v>3238</v>
      </c>
      <c r="F346" s="45">
        <v>100</v>
      </c>
      <c r="G346" s="49" t="s">
        <v>3569</v>
      </c>
      <c r="H346" s="49" t="s">
        <v>3569</v>
      </c>
      <c r="I346" s="49" t="s">
        <v>3569</v>
      </c>
      <c r="J346" s="40">
        <f>COUNTIF(System_configuration!B:B,A346)</f>
        <v>0</v>
      </c>
    </row>
    <row r="347" spans="1:10" s="29" customFormat="1" x14ac:dyDescent="0.2">
      <c r="A347" s="86" t="s">
        <v>654</v>
      </c>
      <c r="B347" s="45">
        <v>2000</v>
      </c>
      <c r="C347" s="43" t="s">
        <v>1534</v>
      </c>
      <c r="D347" s="45" t="s">
        <v>3239</v>
      </c>
      <c r="E347" s="45" t="s">
        <v>3240</v>
      </c>
      <c r="F347" s="45">
        <v>100</v>
      </c>
      <c r="G347" s="49" t="s">
        <v>3569</v>
      </c>
      <c r="H347" s="49" t="s">
        <v>3569</v>
      </c>
      <c r="I347" s="49" t="s">
        <v>3569</v>
      </c>
      <c r="J347" s="40">
        <f>COUNTIF(System_configuration!B:B,A347)</f>
        <v>0</v>
      </c>
    </row>
    <row r="348" spans="1:10" s="29" customFormat="1" x14ac:dyDescent="0.2">
      <c r="A348" s="86" t="s">
        <v>655</v>
      </c>
      <c r="B348" s="45">
        <v>2000</v>
      </c>
      <c r="C348" s="43" t="s">
        <v>1534</v>
      </c>
      <c r="D348" s="45" t="s">
        <v>3241</v>
      </c>
      <c r="E348" s="45" t="s">
        <v>3242</v>
      </c>
      <c r="F348" s="45">
        <v>100</v>
      </c>
      <c r="G348" s="49" t="s">
        <v>3569</v>
      </c>
      <c r="H348" s="49" t="s">
        <v>3569</v>
      </c>
      <c r="I348" s="49" t="s">
        <v>3569</v>
      </c>
      <c r="J348" s="40">
        <f>COUNTIF(System_configuration!B:B,A348)</f>
        <v>0</v>
      </c>
    </row>
    <row r="349" spans="1:10" s="29" customFormat="1" x14ac:dyDescent="0.2">
      <c r="A349" s="86" t="s">
        <v>3243</v>
      </c>
      <c r="B349" s="45">
        <v>2000</v>
      </c>
      <c r="C349" s="43" t="s">
        <v>1534</v>
      </c>
      <c r="D349" s="45" t="s">
        <v>3244</v>
      </c>
      <c r="E349" s="45" t="s">
        <v>3245</v>
      </c>
      <c r="F349" s="45">
        <v>100</v>
      </c>
      <c r="G349" s="49" t="s">
        <v>3569</v>
      </c>
      <c r="H349" s="49" t="s">
        <v>3569</v>
      </c>
      <c r="I349" s="49" t="s">
        <v>3569</v>
      </c>
      <c r="J349" s="40">
        <f>COUNTIF(System_configuration!B:B,A349)</f>
        <v>0</v>
      </c>
    </row>
    <row r="350" spans="1:10" s="29" customFormat="1" x14ac:dyDescent="0.2">
      <c r="A350" s="86" t="s">
        <v>1063</v>
      </c>
      <c r="B350" s="43" t="s">
        <v>1534</v>
      </c>
      <c r="C350" s="45">
        <v>2000</v>
      </c>
      <c r="D350" s="45" t="s">
        <v>1095</v>
      </c>
      <c r="E350" s="45" t="s">
        <v>3246</v>
      </c>
      <c r="F350" s="45">
        <v>100</v>
      </c>
      <c r="G350" s="49" t="s">
        <v>3569</v>
      </c>
      <c r="H350" s="49" t="s">
        <v>3569</v>
      </c>
      <c r="I350" s="49" t="s">
        <v>3569</v>
      </c>
      <c r="J350" s="40">
        <f>COUNTIF(System_configuration!B:B,A350)</f>
        <v>0</v>
      </c>
    </row>
    <row r="351" spans="1:10" s="29" customFormat="1" x14ac:dyDescent="0.2">
      <c r="A351" s="86" t="s">
        <v>1064</v>
      </c>
      <c r="B351" s="43" t="s">
        <v>1534</v>
      </c>
      <c r="C351" s="45">
        <v>2000</v>
      </c>
      <c r="D351" s="45" t="s">
        <v>1096</v>
      </c>
      <c r="E351" s="45" t="s">
        <v>3247</v>
      </c>
      <c r="F351" s="45">
        <v>100</v>
      </c>
      <c r="G351" s="49" t="s">
        <v>3569</v>
      </c>
      <c r="H351" s="49" t="s">
        <v>3569</v>
      </c>
      <c r="I351" s="49" t="s">
        <v>3569</v>
      </c>
      <c r="J351" s="40">
        <f>COUNTIF(System_configuration!B:B,A351)</f>
        <v>0</v>
      </c>
    </row>
    <row r="352" spans="1:10" s="29" customFormat="1" x14ac:dyDescent="0.2">
      <c r="A352" s="86" t="s">
        <v>1065</v>
      </c>
      <c r="B352" s="43" t="s">
        <v>1534</v>
      </c>
      <c r="C352" s="45">
        <v>2000</v>
      </c>
      <c r="D352" s="45" t="s">
        <v>3248</v>
      </c>
      <c r="E352" s="45" t="s">
        <v>3249</v>
      </c>
      <c r="F352" s="45">
        <v>100</v>
      </c>
      <c r="G352" s="49" t="s">
        <v>3569</v>
      </c>
      <c r="H352" s="49" t="s">
        <v>3569</v>
      </c>
      <c r="I352" s="49" t="s">
        <v>3569</v>
      </c>
      <c r="J352" s="40">
        <f>COUNTIF(System_configuration!B:B,A352)</f>
        <v>0</v>
      </c>
    </row>
    <row r="353" spans="1:10" s="29" customFormat="1" x14ac:dyDescent="0.2">
      <c r="A353" s="86" t="s">
        <v>1066</v>
      </c>
      <c r="B353" s="43" t="s">
        <v>1534</v>
      </c>
      <c r="C353" s="45">
        <v>2000</v>
      </c>
      <c r="D353" s="45" t="s">
        <v>3250</v>
      </c>
      <c r="E353" s="45" t="s">
        <v>3251</v>
      </c>
      <c r="F353" s="45">
        <v>100</v>
      </c>
      <c r="G353" s="49" t="s">
        <v>3569</v>
      </c>
      <c r="H353" s="49" t="s">
        <v>3569</v>
      </c>
      <c r="I353" s="49" t="s">
        <v>3569</v>
      </c>
      <c r="J353" s="40">
        <f>COUNTIF(System_configuration!B:B,A353)</f>
        <v>0</v>
      </c>
    </row>
    <row r="354" spans="1:10" s="29" customFormat="1" x14ac:dyDescent="0.2">
      <c r="A354" s="86" t="s">
        <v>3252</v>
      </c>
      <c r="B354" s="43" t="s">
        <v>1534</v>
      </c>
      <c r="C354" s="45">
        <v>2000</v>
      </c>
      <c r="D354" s="45" t="s">
        <v>3253</v>
      </c>
      <c r="E354" s="45" t="s">
        <v>3254</v>
      </c>
      <c r="F354" s="45">
        <v>100</v>
      </c>
      <c r="G354" s="49" t="s">
        <v>3569</v>
      </c>
      <c r="H354" s="49" t="s">
        <v>3569</v>
      </c>
      <c r="I354" s="49" t="s">
        <v>3569</v>
      </c>
      <c r="J354" s="40">
        <f>COUNTIF(System_configuration!B:B,A354)</f>
        <v>0</v>
      </c>
    </row>
    <row r="355" spans="1:10" s="29" customFormat="1" x14ac:dyDescent="0.2">
      <c r="A355" s="86" t="s">
        <v>1067</v>
      </c>
      <c r="B355" s="43" t="s">
        <v>1534</v>
      </c>
      <c r="C355" s="45">
        <v>2000</v>
      </c>
      <c r="D355" s="45" t="s">
        <v>3255</v>
      </c>
      <c r="E355" s="45" t="s">
        <v>3256</v>
      </c>
      <c r="F355" s="45">
        <v>100</v>
      </c>
      <c r="G355" s="49" t="s">
        <v>3569</v>
      </c>
      <c r="H355" s="49" t="s">
        <v>3569</v>
      </c>
      <c r="I355" s="49" t="s">
        <v>3569</v>
      </c>
      <c r="J355" s="40">
        <f>COUNTIF(System_configuration!B:B,A355)</f>
        <v>0</v>
      </c>
    </row>
    <row r="356" spans="1:10" s="29" customFormat="1" x14ac:dyDescent="0.2">
      <c r="A356" s="86" t="s">
        <v>1068</v>
      </c>
      <c r="B356" s="43" t="s">
        <v>1534</v>
      </c>
      <c r="C356" s="45">
        <v>2000</v>
      </c>
      <c r="D356" s="45" t="s">
        <v>3257</v>
      </c>
      <c r="E356" s="45" t="s">
        <v>3258</v>
      </c>
      <c r="F356" s="45">
        <v>100</v>
      </c>
      <c r="G356" s="49" t="s">
        <v>3569</v>
      </c>
      <c r="H356" s="49" t="s">
        <v>3569</v>
      </c>
      <c r="I356" s="49" t="s">
        <v>3569</v>
      </c>
      <c r="J356" s="40">
        <f>COUNTIF(System_configuration!B:B,A356)</f>
        <v>0</v>
      </c>
    </row>
    <row r="357" spans="1:10" s="29" customFormat="1" x14ac:dyDescent="0.2">
      <c r="A357" s="86" t="s">
        <v>1069</v>
      </c>
      <c r="B357" s="43" t="s">
        <v>1534</v>
      </c>
      <c r="C357" s="45">
        <v>2000</v>
      </c>
      <c r="D357" s="45" t="s">
        <v>3259</v>
      </c>
      <c r="E357" s="45" t="s">
        <v>3260</v>
      </c>
      <c r="F357" s="45">
        <v>100</v>
      </c>
      <c r="G357" s="49" t="s">
        <v>3569</v>
      </c>
      <c r="H357" s="49" t="s">
        <v>3569</v>
      </c>
      <c r="I357" s="49" t="s">
        <v>3569</v>
      </c>
      <c r="J357" s="40">
        <f>COUNTIF(System_configuration!B:B,A357)</f>
        <v>0</v>
      </c>
    </row>
    <row r="358" spans="1:10" s="29" customFormat="1" x14ac:dyDescent="0.2">
      <c r="A358" s="86" t="s">
        <v>3261</v>
      </c>
      <c r="B358" s="43" t="s">
        <v>1534</v>
      </c>
      <c r="C358" s="45">
        <v>2000</v>
      </c>
      <c r="D358" s="45" t="s">
        <v>3262</v>
      </c>
      <c r="E358" s="45" t="s">
        <v>3263</v>
      </c>
      <c r="F358" s="45">
        <v>100</v>
      </c>
      <c r="G358" s="49" t="s">
        <v>3569</v>
      </c>
      <c r="H358" s="49" t="s">
        <v>3569</v>
      </c>
      <c r="I358" s="49" t="s">
        <v>3569</v>
      </c>
      <c r="J358" s="40">
        <f>COUNTIF(System_configuration!B:B,A358)</f>
        <v>0</v>
      </c>
    </row>
    <row r="359" spans="1:10" s="29" customFormat="1" x14ac:dyDescent="0.2">
      <c r="A359" s="86" t="s">
        <v>3264</v>
      </c>
      <c r="B359" s="43" t="s">
        <v>1534</v>
      </c>
      <c r="C359" s="43" t="s">
        <v>1534</v>
      </c>
      <c r="D359" s="45" t="s">
        <v>2946</v>
      </c>
      <c r="E359" s="45" t="s">
        <v>2947</v>
      </c>
      <c r="F359" s="58" t="s">
        <v>1534</v>
      </c>
      <c r="G359" s="50"/>
      <c r="H359" s="50"/>
      <c r="I359" s="50"/>
      <c r="J359" s="40">
        <f>COUNTIF(System_configuration!B:B,A359)</f>
        <v>0</v>
      </c>
    </row>
    <row r="360" spans="1:10" s="29" customFormat="1" x14ac:dyDescent="0.2">
      <c r="A360" s="86" t="s">
        <v>3265</v>
      </c>
      <c r="B360" s="43" t="s">
        <v>1534</v>
      </c>
      <c r="C360" s="43" t="s">
        <v>1534</v>
      </c>
      <c r="D360" s="45" t="s">
        <v>2949</v>
      </c>
      <c r="E360" s="45" t="s">
        <v>2950</v>
      </c>
      <c r="F360" s="58" t="s">
        <v>1534</v>
      </c>
      <c r="G360" s="50"/>
      <c r="H360" s="50"/>
      <c r="I360" s="50"/>
      <c r="J360" s="40">
        <f>COUNTIF(System_configuration!B:B,A360)</f>
        <v>0</v>
      </c>
    </row>
    <row r="361" spans="1:10" s="29" customFormat="1" x14ac:dyDescent="0.2">
      <c r="A361" s="86" t="s">
        <v>3266</v>
      </c>
      <c r="B361" s="43" t="s">
        <v>1534</v>
      </c>
      <c r="C361" s="43" t="s">
        <v>1534</v>
      </c>
      <c r="D361" s="45" t="s">
        <v>2952</v>
      </c>
      <c r="E361" s="45" t="s">
        <v>2953</v>
      </c>
      <c r="F361" s="58" t="s">
        <v>1534</v>
      </c>
      <c r="G361" s="50"/>
      <c r="H361" s="50"/>
      <c r="I361" s="50"/>
      <c r="J361" s="40">
        <f>COUNTIF(System_configuration!B:B,A361)</f>
        <v>0</v>
      </c>
    </row>
    <row r="362" spans="1:10" s="29" customFormat="1" x14ac:dyDescent="0.2">
      <c r="A362" s="86" t="s">
        <v>3267</v>
      </c>
      <c r="B362" s="43" t="s">
        <v>1534</v>
      </c>
      <c r="C362" s="43" t="s">
        <v>1534</v>
      </c>
      <c r="D362" s="45" t="s">
        <v>2955</v>
      </c>
      <c r="E362" s="45" t="s">
        <v>2956</v>
      </c>
      <c r="F362" s="58" t="s">
        <v>1534</v>
      </c>
      <c r="G362" s="50"/>
      <c r="H362" s="50"/>
      <c r="I362" s="50"/>
      <c r="J362" s="40">
        <f>COUNTIF(System_configuration!B:B,A362)</f>
        <v>0</v>
      </c>
    </row>
    <row r="363" spans="1:10" s="29" customFormat="1" x14ac:dyDescent="0.2">
      <c r="A363" s="86" t="s">
        <v>3268</v>
      </c>
      <c r="B363" s="43" t="s">
        <v>1534</v>
      </c>
      <c r="C363" s="43" t="s">
        <v>1534</v>
      </c>
      <c r="D363" s="45" t="s">
        <v>2958</v>
      </c>
      <c r="E363" s="45" t="s">
        <v>2959</v>
      </c>
      <c r="F363" s="58" t="s">
        <v>1534</v>
      </c>
      <c r="G363" s="50"/>
      <c r="H363" s="50"/>
      <c r="I363" s="50"/>
      <c r="J363" s="40">
        <f>COUNTIF(System_configuration!B:B,A363)</f>
        <v>0</v>
      </c>
    </row>
    <row r="364" spans="1:10" s="29" customFormat="1" x14ac:dyDescent="0.2">
      <c r="A364" s="86" t="s">
        <v>3269</v>
      </c>
      <c r="B364" s="43" t="s">
        <v>1534</v>
      </c>
      <c r="C364" s="43" t="s">
        <v>1534</v>
      </c>
      <c r="D364" s="45" t="s">
        <v>2961</v>
      </c>
      <c r="E364" s="45" t="s">
        <v>2962</v>
      </c>
      <c r="F364" s="58" t="s">
        <v>1534</v>
      </c>
      <c r="G364" s="50"/>
      <c r="H364" s="50"/>
      <c r="I364" s="50"/>
      <c r="J364" s="40">
        <f>COUNTIF(System_configuration!B:B,A364)</f>
        <v>0</v>
      </c>
    </row>
    <row r="365" spans="1:10" s="29" customFormat="1" x14ac:dyDescent="0.2">
      <c r="A365" s="86" t="s">
        <v>3270</v>
      </c>
      <c r="B365" s="43" t="s">
        <v>1534</v>
      </c>
      <c r="C365" s="43" t="s">
        <v>1534</v>
      </c>
      <c r="D365" s="45" t="s">
        <v>2964</v>
      </c>
      <c r="E365" s="45" t="s">
        <v>2965</v>
      </c>
      <c r="F365" s="58" t="s">
        <v>1534</v>
      </c>
      <c r="G365" s="50"/>
      <c r="H365" s="50"/>
      <c r="I365" s="50"/>
      <c r="J365" s="40">
        <f>COUNTIF(System_configuration!B:B,A365)</f>
        <v>0</v>
      </c>
    </row>
    <row r="366" spans="1:10" s="29" customFormat="1" x14ac:dyDescent="0.2">
      <c r="A366" s="86" t="s">
        <v>3271</v>
      </c>
      <c r="B366" s="43" t="s">
        <v>1534</v>
      </c>
      <c r="C366" s="43" t="s">
        <v>1534</v>
      </c>
      <c r="D366" s="45" t="s">
        <v>2967</v>
      </c>
      <c r="E366" s="45" t="s">
        <v>2968</v>
      </c>
      <c r="F366" s="58" t="s">
        <v>1534</v>
      </c>
      <c r="G366" s="50"/>
      <c r="H366" s="50"/>
      <c r="I366" s="50"/>
      <c r="J366" s="40">
        <f>COUNTIF(System_configuration!B:B,A366)</f>
        <v>0</v>
      </c>
    </row>
    <row r="367" spans="1:10" s="29" customFormat="1" x14ac:dyDescent="0.2">
      <c r="A367" s="86" t="s">
        <v>3272</v>
      </c>
      <c r="B367" s="43" t="s">
        <v>1534</v>
      </c>
      <c r="C367" s="43" t="s">
        <v>1534</v>
      </c>
      <c r="D367" s="45" t="s">
        <v>3273</v>
      </c>
      <c r="E367" s="45" t="s">
        <v>3274</v>
      </c>
      <c r="F367" s="58" t="s">
        <v>1534</v>
      </c>
      <c r="G367" s="50"/>
      <c r="H367" s="50"/>
      <c r="I367" s="50"/>
      <c r="J367" s="40">
        <f>COUNTIF(System_configuration!B:B,A367)</f>
        <v>0</v>
      </c>
    </row>
    <row r="368" spans="1:10" s="29" customFormat="1" x14ac:dyDescent="0.2">
      <c r="A368" s="86" t="s">
        <v>3275</v>
      </c>
      <c r="B368" s="43" t="s">
        <v>1534</v>
      </c>
      <c r="C368" s="43" t="s">
        <v>1534</v>
      </c>
      <c r="D368" s="45" t="s">
        <v>2973</v>
      </c>
      <c r="E368" s="45" t="s">
        <v>2974</v>
      </c>
      <c r="F368" s="58" t="s">
        <v>1534</v>
      </c>
      <c r="G368" s="50"/>
      <c r="H368" s="50"/>
      <c r="I368" s="50"/>
      <c r="J368" s="40">
        <f>COUNTIF(System_configuration!B:B,A368)</f>
        <v>0</v>
      </c>
    </row>
    <row r="369" spans="1:10" s="29" customFormat="1" x14ac:dyDescent="0.2">
      <c r="A369" s="86" t="s">
        <v>3276</v>
      </c>
      <c r="B369" s="43" t="s">
        <v>1534</v>
      </c>
      <c r="C369" s="43" t="s">
        <v>1534</v>
      </c>
      <c r="D369" s="45" t="s">
        <v>2976</v>
      </c>
      <c r="E369" s="45" t="s">
        <v>2977</v>
      </c>
      <c r="F369" s="58" t="s">
        <v>1534</v>
      </c>
      <c r="G369" s="50"/>
      <c r="H369" s="50"/>
      <c r="I369" s="50"/>
      <c r="J369" s="40">
        <f>COUNTIF(System_configuration!B:B,A369)</f>
        <v>0</v>
      </c>
    </row>
    <row r="370" spans="1:10" s="29" customFormat="1" x14ac:dyDescent="0.2">
      <c r="A370" s="86" t="s">
        <v>3277</v>
      </c>
      <c r="B370" s="43" t="s">
        <v>1534</v>
      </c>
      <c r="C370" s="43" t="s">
        <v>1534</v>
      </c>
      <c r="D370" s="45" t="s">
        <v>2979</v>
      </c>
      <c r="E370" s="45" t="s">
        <v>2980</v>
      </c>
      <c r="F370" s="58" t="s">
        <v>1534</v>
      </c>
      <c r="G370" s="50"/>
      <c r="H370" s="50"/>
      <c r="I370" s="50"/>
      <c r="J370" s="40">
        <f>COUNTIF(System_configuration!B:B,A370)</f>
        <v>0</v>
      </c>
    </row>
    <row r="371" spans="1:10" s="29" customFormat="1" x14ac:dyDescent="0.2">
      <c r="A371" s="86" t="s">
        <v>3278</v>
      </c>
      <c r="B371" s="43" t="s">
        <v>1534</v>
      </c>
      <c r="C371" s="43" t="s">
        <v>1534</v>
      </c>
      <c r="D371" s="45" t="s">
        <v>2982</v>
      </c>
      <c r="E371" s="45" t="s">
        <v>2983</v>
      </c>
      <c r="F371" s="58" t="s">
        <v>1534</v>
      </c>
      <c r="G371" s="50"/>
      <c r="H371" s="50"/>
      <c r="I371" s="50"/>
      <c r="J371" s="40">
        <f>COUNTIF(System_configuration!B:B,A371)</f>
        <v>0</v>
      </c>
    </row>
    <row r="372" spans="1:10" s="29" customFormat="1" x14ac:dyDescent="0.2">
      <c r="A372" s="86" t="s">
        <v>3279</v>
      </c>
      <c r="B372" s="43" t="s">
        <v>1534</v>
      </c>
      <c r="C372" s="43" t="s">
        <v>1534</v>
      </c>
      <c r="D372" s="45" t="s">
        <v>2985</v>
      </c>
      <c r="E372" s="45" t="s">
        <v>2986</v>
      </c>
      <c r="F372" s="58" t="s">
        <v>1534</v>
      </c>
      <c r="G372" s="50"/>
      <c r="H372" s="50"/>
      <c r="I372" s="50"/>
      <c r="J372" s="40">
        <f>COUNTIF(System_configuration!B:B,A372)</f>
        <v>0</v>
      </c>
    </row>
    <row r="373" spans="1:10" s="29" customFormat="1" x14ac:dyDescent="0.2">
      <c r="A373" s="86" t="s">
        <v>3280</v>
      </c>
      <c r="B373" s="43" t="s">
        <v>1534</v>
      </c>
      <c r="C373" s="43" t="s">
        <v>1534</v>
      </c>
      <c r="D373" s="45" t="s">
        <v>2988</v>
      </c>
      <c r="E373" s="45" t="s">
        <v>2989</v>
      </c>
      <c r="F373" s="58" t="s">
        <v>1534</v>
      </c>
      <c r="G373" s="50"/>
      <c r="H373" s="50"/>
      <c r="I373" s="50"/>
      <c r="J373" s="40">
        <f>COUNTIF(System_configuration!B:B,A373)</f>
        <v>0</v>
      </c>
    </row>
    <row r="374" spans="1:10" s="29" customFormat="1" x14ac:dyDescent="0.2">
      <c r="A374" s="86" t="s">
        <v>3281</v>
      </c>
      <c r="B374" s="43" t="s">
        <v>1534</v>
      </c>
      <c r="C374" s="43" t="s">
        <v>1534</v>
      </c>
      <c r="D374" s="45" t="s">
        <v>3282</v>
      </c>
      <c r="E374" s="45" t="s">
        <v>3283</v>
      </c>
      <c r="F374" s="58" t="s">
        <v>1534</v>
      </c>
      <c r="G374" s="50"/>
      <c r="H374" s="50"/>
      <c r="I374" s="50"/>
      <c r="J374" s="40">
        <f>COUNTIF(System_configuration!B:B,A374)</f>
        <v>0</v>
      </c>
    </row>
    <row r="375" spans="1:10" s="29" customFormat="1" x14ac:dyDescent="0.2">
      <c r="A375" s="86" t="s">
        <v>661</v>
      </c>
      <c r="B375" s="45">
        <v>2000</v>
      </c>
      <c r="C375" s="43" t="s">
        <v>1534</v>
      </c>
      <c r="D375" s="45" t="s">
        <v>1</v>
      </c>
      <c r="E375" s="45" t="s">
        <v>3284</v>
      </c>
      <c r="F375" s="45">
        <v>100</v>
      </c>
      <c r="G375" s="49" t="s">
        <v>3569</v>
      </c>
      <c r="H375" s="49" t="s">
        <v>3569</v>
      </c>
      <c r="I375" s="49" t="s">
        <v>3569</v>
      </c>
      <c r="J375" s="40">
        <f>COUNTIF(System_configuration!B:B,A375)</f>
        <v>0</v>
      </c>
    </row>
    <row r="376" spans="1:10" s="29" customFormat="1" x14ac:dyDescent="0.2">
      <c r="A376" s="86" t="s">
        <v>662</v>
      </c>
      <c r="B376" s="45">
        <v>2000</v>
      </c>
      <c r="C376" s="43" t="s">
        <v>1534</v>
      </c>
      <c r="D376" s="45" t="s">
        <v>1097</v>
      </c>
      <c r="E376" s="45" t="s">
        <v>3285</v>
      </c>
      <c r="F376" s="45">
        <v>100</v>
      </c>
      <c r="G376" s="49" t="s">
        <v>3569</v>
      </c>
      <c r="H376" s="49" t="s">
        <v>3569</v>
      </c>
      <c r="I376" s="49" t="s">
        <v>3569</v>
      </c>
      <c r="J376" s="40">
        <f>COUNTIF(System_configuration!B:B,A376)</f>
        <v>0</v>
      </c>
    </row>
    <row r="377" spans="1:10" s="29" customFormat="1" x14ac:dyDescent="0.2">
      <c r="A377" s="86" t="s">
        <v>656</v>
      </c>
      <c r="B377" s="45">
        <v>2000</v>
      </c>
      <c r="C377" s="43" t="s">
        <v>1534</v>
      </c>
      <c r="D377" s="45" t="s">
        <v>3286</v>
      </c>
      <c r="E377" s="45" t="s">
        <v>3287</v>
      </c>
      <c r="F377" s="45">
        <v>100</v>
      </c>
      <c r="G377" s="49" t="s">
        <v>3569</v>
      </c>
      <c r="H377" s="49" t="s">
        <v>3569</v>
      </c>
      <c r="I377" s="49" t="s">
        <v>3569</v>
      </c>
      <c r="J377" s="40">
        <f>COUNTIF(System_configuration!B:B,A377)</f>
        <v>0</v>
      </c>
    </row>
    <row r="378" spans="1:10" s="29" customFormat="1" x14ac:dyDescent="0.2">
      <c r="A378" s="86" t="s">
        <v>657</v>
      </c>
      <c r="B378" s="45">
        <v>2000</v>
      </c>
      <c r="C378" s="43" t="s">
        <v>1534</v>
      </c>
      <c r="D378" s="45" t="s">
        <v>3288</v>
      </c>
      <c r="E378" s="45" t="s">
        <v>3289</v>
      </c>
      <c r="F378" s="45">
        <v>100</v>
      </c>
      <c r="G378" s="49" t="s">
        <v>3569</v>
      </c>
      <c r="H378" s="49" t="s">
        <v>3569</v>
      </c>
      <c r="I378" s="49" t="s">
        <v>3569</v>
      </c>
      <c r="J378" s="40">
        <f>COUNTIF(System_configuration!B:B,A378)</f>
        <v>0</v>
      </c>
    </row>
    <row r="379" spans="1:10" s="29" customFormat="1" x14ac:dyDescent="0.2">
      <c r="A379" s="86" t="s">
        <v>3290</v>
      </c>
      <c r="B379" s="45">
        <v>2000</v>
      </c>
      <c r="C379" s="43" t="s">
        <v>1534</v>
      </c>
      <c r="D379" s="45" t="s">
        <v>3291</v>
      </c>
      <c r="E379" s="45" t="s">
        <v>3292</v>
      </c>
      <c r="F379" s="45">
        <v>100</v>
      </c>
      <c r="G379" s="49" t="s">
        <v>3569</v>
      </c>
      <c r="H379" s="49" t="s">
        <v>3569</v>
      </c>
      <c r="I379" s="49" t="s">
        <v>3569</v>
      </c>
      <c r="J379" s="40">
        <f>COUNTIF(System_configuration!B:B,A379)</f>
        <v>0</v>
      </c>
    </row>
    <row r="380" spans="1:10" s="29" customFormat="1" x14ac:dyDescent="0.2">
      <c r="A380" s="86" t="s">
        <v>658</v>
      </c>
      <c r="B380" s="45">
        <v>2000</v>
      </c>
      <c r="C380" s="43" t="s">
        <v>1534</v>
      </c>
      <c r="D380" s="45" t="s">
        <v>3293</v>
      </c>
      <c r="E380" s="45" t="s">
        <v>3294</v>
      </c>
      <c r="F380" s="45">
        <v>100</v>
      </c>
      <c r="G380" s="49" t="s">
        <v>3569</v>
      </c>
      <c r="H380" s="49" t="s">
        <v>3569</v>
      </c>
      <c r="I380" s="49" t="s">
        <v>3569</v>
      </c>
      <c r="J380" s="40">
        <f>COUNTIF(System_configuration!B:B,A380)</f>
        <v>0</v>
      </c>
    </row>
    <row r="381" spans="1:10" s="29" customFormat="1" x14ac:dyDescent="0.2">
      <c r="A381" s="86" t="s">
        <v>659</v>
      </c>
      <c r="B381" s="45">
        <v>2000</v>
      </c>
      <c r="C381" s="43" t="s">
        <v>1534</v>
      </c>
      <c r="D381" s="45" t="s">
        <v>3295</v>
      </c>
      <c r="E381" s="45" t="s">
        <v>3296</v>
      </c>
      <c r="F381" s="45">
        <v>100</v>
      </c>
      <c r="G381" s="49" t="s">
        <v>3569</v>
      </c>
      <c r="H381" s="49" t="s">
        <v>3569</v>
      </c>
      <c r="I381" s="49" t="s">
        <v>3569</v>
      </c>
      <c r="J381" s="40">
        <f>COUNTIF(System_configuration!B:B,A381)</f>
        <v>0</v>
      </c>
    </row>
    <row r="382" spans="1:10" s="29" customFormat="1" x14ac:dyDescent="0.2">
      <c r="A382" s="86" t="s">
        <v>660</v>
      </c>
      <c r="B382" s="45">
        <v>2000</v>
      </c>
      <c r="C382" s="43" t="s">
        <v>1534</v>
      </c>
      <c r="D382" s="45" t="s">
        <v>3297</v>
      </c>
      <c r="E382" s="45" t="s">
        <v>3298</v>
      </c>
      <c r="F382" s="45">
        <v>100</v>
      </c>
      <c r="G382" s="49" t="s">
        <v>3569</v>
      </c>
      <c r="H382" s="49" t="s">
        <v>3569</v>
      </c>
      <c r="I382" s="49" t="s">
        <v>3569</v>
      </c>
      <c r="J382" s="40">
        <f>COUNTIF(System_configuration!B:B,A382)</f>
        <v>0</v>
      </c>
    </row>
    <row r="383" spans="1:10" s="29" customFormat="1" x14ac:dyDescent="0.2">
      <c r="A383" s="86" t="s">
        <v>3299</v>
      </c>
      <c r="B383" s="45">
        <v>2000</v>
      </c>
      <c r="C383" s="43" t="s">
        <v>1534</v>
      </c>
      <c r="D383" s="45" t="s">
        <v>3300</v>
      </c>
      <c r="E383" s="45" t="s">
        <v>3301</v>
      </c>
      <c r="F383" s="45">
        <v>100</v>
      </c>
      <c r="G383" s="49" t="s">
        <v>3569</v>
      </c>
      <c r="H383" s="49" t="s">
        <v>3569</v>
      </c>
      <c r="I383" s="49" t="s">
        <v>3569</v>
      </c>
      <c r="J383" s="40">
        <f>COUNTIF(System_configuration!B:B,A383)</f>
        <v>0</v>
      </c>
    </row>
    <row r="384" spans="1:10" s="29" customFormat="1" x14ac:dyDescent="0.2">
      <c r="A384" s="86" t="s">
        <v>1070</v>
      </c>
      <c r="B384" s="43" t="s">
        <v>1534</v>
      </c>
      <c r="C384" s="45">
        <v>2000</v>
      </c>
      <c r="D384" s="45" t="s">
        <v>1098</v>
      </c>
      <c r="E384" s="45" t="s">
        <v>3302</v>
      </c>
      <c r="F384" s="45">
        <v>100</v>
      </c>
      <c r="G384" s="49" t="s">
        <v>3569</v>
      </c>
      <c r="H384" s="49" t="s">
        <v>3569</v>
      </c>
      <c r="I384" s="49" t="s">
        <v>3569</v>
      </c>
      <c r="J384" s="40">
        <f>COUNTIF(System_configuration!B:B,A384)</f>
        <v>0</v>
      </c>
    </row>
    <row r="385" spans="1:10" s="29" customFormat="1" x14ac:dyDescent="0.2">
      <c r="A385" s="86" t="s">
        <v>1071</v>
      </c>
      <c r="B385" s="43" t="s">
        <v>1534</v>
      </c>
      <c r="C385" s="45">
        <v>2000</v>
      </c>
      <c r="D385" s="45" t="s">
        <v>1099</v>
      </c>
      <c r="E385" s="45" t="s">
        <v>3303</v>
      </c>
      <c r="F385" s="45">
        <v>100</v>
      </c>
      <c r="G385" s="49" t="s">
        <v>3569</v>
      </c>
      <c r="H385" s="49" t="s">
        <v>3569</v>
      </c>
      <c r="I385" s="49" t="s">
        <v>3569</v>
      </c>
      <c r="J385" s="40">
        <f>COUNTIF(System_configuration!B:B,A385)</f>
        <v>0</v>
      </c>
    </row>
    <row r="386" spans="1:10" s="29" customFormat="1" x14ac:dyDescent="0.2">
      <c r="A386" s="86" t="s">
        <v>1072</v>
      </c>
      <c r="B386" s="43" t="s">
        <v>1534</v>
      </c>
      <c r="C386" s="45">
        <v>2000</v>
      </c>
      <c r="D386" s="45" t="s">
        <v>3304</v>
      </c>
      <c r="E386" s="45" t="s">
        <v>3305</v>
      </c>
      <c r="F386" s="45">
        <v>100</v>
      </c>
      <c r="G386" s="49" t="s">
        <v>3569</v>
      </c>
      <c r="H386" s="49" t="s">
        <v>3569</v>
      </c>
      <c r="I386" s="49" t="s">
        <v>3569</v>
      </c>
      <c r="J386" s="40">
        <f>COUNTIF(System_configuration!B:B,A386)</f>
        <v>0</v>
      </c>
    </row>
    <row r="387" spans="1:10" s="29" customFormat="1" x14ac:dyDescent="0.2">
      <c r="A387" s="86" t="s">
        <v>1073</v>
      </c>
      <c r="B387" s="43" t="s">
        <v>1534</v>
      </c>
      <c r="C387" s="45">
        <v>2000</v>
      </c>
      <c r="D387" s="45" t="s">
        <v>3306</v>
      </c>
      <c r="E387" s="45" t="s">
        <v>3307</v>
      </c>
      <c r="F387" s="45">
        <v>100</v>
      </c>
      <c r="G387" s="49" t="s">
        <v>3569</v>
      </c>
      <c r="H387" s="49" t="s">
        <v>3569</v>
      </c>
      <c r="I387" s="49" t="s">
        <v>3569</v>
      </c>
      <c r="J387" s="40">
        <f>COUNTIF(System_configuration!B:B,A387)</f>
        <v>0</v>
      </c>
    </row>
    <row r="388" spans="1:10" s="29" customFormat="1" x14ac:dyDescent="0.2">
      <c r="A388" s="86" t="s">
        <v>3308</v>
      </c>
      <c r="B388" s="43" t="s">
        <v>1534</v>
      </c>
      <c r="C388" s="45">
        <v>2000</v>
      </c>
      <c r="D388" s="45" t="s">
        <v>3309</v>
      </c>
      <c r="E388" s="45" t="s">
        <v>3310</v>
      </c>
      <c r="F388" s="45">
        <v>100</v>
      </c>
      <c r="G388" s="49" t="s">
        <v>3569</v>
      </c>
      <c r="H388" s="49" t="s">
        <v>3569</v>
      </c>
      <c r="I388" s="49" t="s">
        <v>3569</v>
      </c>
      <c r="J388" s="40">
        <f>COUNTIF(System_configuration!B:B,A388)</f>
        <v>0</v>
      </c>
    </row>
    <row r="389" spans="1:10" s="29" customFormat="1" x14ac:dyDescent="0.2">
      <c r="A389" s="86" t="s">
        <v>1074</v>
      </c>
      <c r="B389" s="43" t="s">
        <v>1534</v>
      </c>
      <c r="C389" s="45">
        <v>2000</v>
      </c>
      <c r="D389" s="45" t="s">
        <v>3311</v>
      </c>
      <c r="E389" s="45" t="s">
        <v>3312</v>
      </c>
      <c r="F389" s="45">
        <v>100</v>
      </c>
      <c r="G389" s="49" t="s">
        <v>3569</v>
      </c>
      <c r="H389" s="49" t="s">
        <v>3569</v>
      </c>
      <c r="I389" s="49" t="s">
        <v>3569</v>
      </c>
      <c r="J389" s="40">
        <f>COUNTIF(System_configuration!B:B,A389)</f>
        <v>0</v>
      </c>
    </row>
    <row r="390" spans="1:10" s="29" customFormat="1" x14ac:dyDescent="0.2">
      <c r="A390" s="86" t="s">
        <v>1075</v>
      </c>
      <c r="B390" s="43" t="s">
        <v>1534</v>
      </c>
      <c r="C390" s="45">
        <v>2000</v>
      </c>
      <c r="D390" s="45" t="s">
        <v>3313</v>
      </c>
      <c r="E390" s="45" t="s">
        <v>3314</v>
      </c>
      <c r="F390" s="45">
        <v>100</v>
      </c>
      <c r="G390" s="49" t="s">
        <v>3569</v>
      </c>
      <c r="H390" s="49" t="s">
        <v>3569</v>
      </c>
      <c r="I390" s="49" t="s">
        <v>3569</v>
      </c>
      <c r="J390" s="40">
        <f>COUNTIF(System_configuration!B:B,A390)</f>
        <v>0</v>
      </c>
    </row>
    <row r="391" spans="1:10" s="29" customFormat="1" x14ac:dyDescent="0.2">
      <c r="A391" s="86" t="s">
        <v>1076</v>
      </c>
      <c r="B391" s="43" t="s">
        <v>1534</v>
      </c>
      <c r="C391" s="45">
        <v>2000</v>
      </c>
      <c r="D391" s="45" t="s">
        <v>3315</v>
      </c>
      <c r="E391" s="45" t="s">
        <v>3316</v>
      </c>
      <c r="F391" s="45">
        <v>100</v>
      </c>
      <c r="G391" s="49" t="s">
        <v>3569</v>
      </c>
      <c r="H391" s="49" t="s">
        <v>3569</v>
      </c>
      <c r="I391" s="49" t="s">
        <v>3569</v>
      </c>
      <c r="J391" s="40">
        <f>COUNTIF(System_configuration!B:B,A391)</f>
        <v>0</v>
      </c>
    </row>
    <row r="392" spans="1:10" s="29" customFormat="1" x14ac:dyDescent="0.2">
      <c r="A392" s="86" t="s">
        <v>3317</v>
      </c>
      <c r="B392" s="43" t="s">
        <v>1534</v>
      </c>
      <c r="C392" s="45">
        <v>2000</v>
      </c>
      <c r="D392" s="45" t="s">
        <v>3318</v>
      </c>
      <c r="E392" s="45" t="s">
        <v>3319</v>
      </c>
      <c r="F392" s="45">
        <v>100</v>
      </c>
      <c r="G392" s="49" t="s">
        <v>3569</v>
      </c>
      <c r="H392" s="49" t="s">
        <v>3569</v>
      </c>
      <c r="I392" s="49" t="s">
        <v>3569</v>
      </c>
      <c r="J392" s="40">
        <f>COUNTIF(System_configuration!B:B,A392)</f>
        <v>0</v>
      </c>
    </row>
    <row r="393" spans="1:10" s="29" customFormat="1" x14ac:dyDescent="0.2">
      <c r="A393" s="86" t="s">
        <v>3320</v>
      </c>
      <c r="B393" s="43" t="s">
        <v>1534</v>
      </c>
      <c r="C393" s="43" t="s">
        <v>1534</v>
      </c>
      <c r="D393" s="45" t="s">
        <v>2946</v>
      </c>
      <c r="E393" s="45" t="s">
        <v>2947</v>
      </c>
      <c r="F393" s="58" t="s">
        <v>1534</v>
      </c>
      <c r="G393" s="50"/>
      <c r="H393" s="50"/>
      <c r="I393" s="50"/>
      <c r="J393" s="40">
        <f>COUNTIF(System_configuration!B:B,A393)</f>
        <v>0</v>
      </c>
    </row>
    <row r="394" spans="1:10" s="29" customFormat="1" x14ac:dyDescent="0.2">
      <c r="A394" s="86" t="s">
        <v>3321</v>
      </c>
      <c r="B394" s="43" t="s">
        <v>1534</v>
      </c>
      <c r="C394" s="43" t="s">
        <v>1534</v>
      </c>
      <c r="D394" s="45" t="s">
        <v>2949</v>
      </c>
      <c r="E394" s="45" t="s">
        <v>2950</v>
      </c>
      <c r="F394" s="58" t="s">
        <v>1534</v>
      </c>
      <c r="G394" s="50"/>
      <c r="H394" s="50"/>
      <c r="I394" s="50"/>
      <c r="J394" s="40">
        <f>COUNTIF(System_configuration!B:B,A394)</f>
        <v>0</v>
      </c>
    </row>
    <row r="395" spans="1:10" s="29" customFormat="1" x14ac:dyDescent="0.2">
      <c r="A395" s="86" t="s">
        <v>3322</v>
      </c>
      <c r="B395" s="43" t="s">
        <v>1534</v>
      </c>
      <c r="C395" s="43" t="s">
        <v>1534</v>
      </c>
      <c r="D395" s="45" t="s">
        <v>2952</v>
      </c>
      <c r="E395" s="45" t="s">
        <v>2953</v>
      </c>
      <c r="F395" s="58" t="s">
        <v>1534</v>
      </c>
      <c r="G395" s="50"/>
      <c r="H395" s="50"/>
      <c r="I395" s="50"/>
      <c r="J395" s="40">
        <f>COUNTIF(System_configuration!B:B,A395)</f>
        <v>0</v>
      </c>
    </row>
    <row r="396" spans="1:10" s="29" customFormat="1" x14ac:dyDescent="0.2">
      <c r="A396" s="86" t="s">
        <v>3323</v>
      </c>
      <c r="B396" s="43" t="s">
        <v>1534</v>
      </c>
      <c r="C396" s="43" t="s">
        <v>1534</v>
      </c>
      <c r="D396" s="45" t="s">
        <v>2955</v>
      </c>
      <c r="E396" s="45" t="s">
        <v>2956</v>
      </c>
      <c r="F396" s="58" t="s">
        <v>1534</v>
      </c>
      <c r="G396" s="50"/>
      <c r="H396" s="50"/>
      <c r="I396" s="50"/>
      <c r="J396" s="40">
        <f>COUNTIF(System_configuration!B:B,A396)</f>
        <v>0</v>
      </c>
    </row>
    <row r="397" spans="1:10" s="29" customFormat="1" x14ac:dyDescent="0.2">
      <c r="A397" s="86" t="s">
        <v>3324</v>
      </c>
      <c r="B397" s="43" t="s">
        <v>1534</v>
      </c>
      <c r="C397" s="43" t="s">
        <v>1534</v>
      </c>
      <c r="D397" s="45" t="s">
        <v>2958</v>
      </c>
      <c r="E397" s="45" t="s">
        <v>2959</v>
      </c>
      <c r="F397" s="58" t="s">
        <v>1534</v>
      </c>
      <c r="G397" s="50"/>
      <c r="H397" s="50"/>
      <c r="I397" s="50"/>
      <c r="J397" s="40">
        <f>COUNTIF(System_configuration!B:B,A397)</f>
        <v>0</v>
      </c>
    </row>
    <row r="398" spans="1:10" s="29" customFormat="1" x14ac:dyDescent="0.2">
      <c r="A398" s="86" t="s">
        <v>3325</v>
      </c>
      <c r="B398" s="43" t="s">
        <v>1534</v>
      </c>
      <c r="C398" s="43" t="s">
        <v>1534</v>
      </c>
      <c r="D398" s="45" t="s">
        <v>2961</v>
      </c>
      <c r="E398" s="45" t="s">
        <v>2962</v>
      </c>
      <c r="F398" s="58" t="s">
        <v>1534</v>
      </c>
      <c r="G398" s="50"/>
      <c r="H398" s="50"/>
      <c r="I398" s="50"/>
      <c r="J398" s="40">
        <f>COUNTIF(System_configuration!B:B,A398)</f>
        <v>0</v>
      </c>
    </row>
    <row r="399" spans="1:10" s="29" customFormat="1" x14ac:dyDescent="0.2">
      <c r="A399" s="86" t="s">
        <v>3326</v>
      </c>
      <c r="B399" s="43" t="s">
        <v>1534</v>
      </c>
      <c r="C399" s="43" t="s">
        <v>1534</v>
      </c>
      <c r="D399" s="45" t="s">
        <v>2964</v>
      </c>
      <c r="E399" s="45" t="s">
        <v>2965</v>
      </c>
      <c r="F399" s="58" t="s">
        <v>1534</v>
      </c>
      <c r="G399" s="50"/>
      <c r="H399" s="50"/>
      <c r="I399" s="50"/>
      <c r="J399" s="40">
        <f>COUNTIF(System_configuration!B:B,A399)</f>
        <v>0</v>
      </c>
    </row>
    <row r="400" spans="1:10" s="29" customFormat="1" x14ac:dyDescent="0.2">
      <c r="A400" s="86" t="s">
        <v>3327</v>
      </c>
      <c r="B400" s="43" t="s">
        <v>1534</v>
      </c>
      <c r="C400" s="43" t="s">
        <v>1534</v>
      </c>
      <c r="D400" s="45" t="s">
        <v>2967</v>
      </c>
      <c r="E400" s="45" t="s">
        <v>2968</v>
      </c>
      <c r="F400" s="58" t="s">
        <v>1534</v>
      </c>
      <c r="G400" s="50"/>
      <c r="H400" s="50"/>
      <c r="I400" s="50"/>
      <c r="J400" s="40">
        <f>COUNTIF(System_configuration!B:B,A400)</f>
        <v>0</v>
      </c>
    </row>
    <row r="401" spans="1:10" s="29" customFormat="1" x14ac:dyDescent="0.2">
      <c r="A401" s="86" t="s">
        <v>3328</v>
      </c>
      <c r="B401" s="43" t="s">
        <v>1534</v>
      </c>
      <c r="C401" s="43" t="s">
        <v>1534</v>
      </c>
      <c r="D401" s="45" t="s">
        <v>3273</v>
      </c>
      <c r="E401" s="45" t="s">
        <v>3274</v>
      </c>
      <c r="F401" s="58" t="s">
        <v>1534</v>
      </c>
      <c r="G401" s="50"/>
      <c r="H401" s="50"/>
      <c r="I401" s="50"/>
      <c r="J401" s="40">
        <f>COUNTIF(System_configuration!B:B,A401)</f>
        <v>0</v>
      </c>
    </row>
    <row r="402" spans="1:10" s="29" customFormat="1" x14ac:dyDescent="0.2">
      <c r="A402" s="86" t="s">
        <v>3329</v>
      </c>
      <c r="B402" s="43" t="s">
        <v>1534</v>
      </c>
      <c r="C402" s="43" t="s">
        <v>1534</v>
      </c>
      <c r="D402" s="45" t="s">
        <v>2973</v>
      </c>
      <c r="E402" s="45" t="s">
        <v>2974</v>
      </c>
      <c r="F402" s="58" t="s">
        <v>1534</v>
      </c>
      <c r="G402" s="50"/>
      <c r="H402" s="50"/>
      <c r="I402" s="50"/>
      <c r="J402" s="40">
        <f>COUNTIF(System_configuration!B:B,A402)</f>
        <v>0</v>
      </c>
    </row>
    <row r="403" spans="1:10" s="29" customFormat="1" x14ac:dyDescent="0.2">
      <c r="A403" s="86" t="s">
        <v>3330</v>
      </c>
      <c r="B403" s="43" t="s">
        <v>1534</v>
      </c>
      <c r="C403" s="43" t="s">
        <v>1534</v>
      </c>
      <c r="D403" s="45" t="s">
        <v>2976</v>
      </c>
      <c r="E403" s="45" t="s">
        <v>2977</v>
      </c>
      <c r="F403" s="58" t="s">
        <v>1534</v>
      </c>
      <c r="G403" s="50"/>
      <c r="H403" s="50"/>
      <c r="I403" s="50"/>
      <c r="J403" s="40">
        <f>COUNTIF(System_configuration!B:B,A403)</f>
        <v>0</v>
      </c>
    </row>
    <row r="404" spans="1:10" s="29" customFormat="1" x14ac:dyDescent="0.2">
      <c r="A404" s="86" t="s">
        <v>3331</v>
      </c>
      <c r="B404" s="43" t="s">
        <v>1534</v>
      </c>
      <c r="C404" s="43" t="s">
        <v>1534</v>
      </c>
      <c r="D404" s="45" t="s">
        <v>2979</v>
      </c>
      <c r="E404" s="45" t="s">
        <v>2980</v>
      </c>
      <c r="F404" s="58" t="s">
        <v>1534</v>
      </c>
      <c r="G404" s="50"/>
      <c r="H404" s="50"/>
      <c r="I404" s="50"/>
      <c r="J404" s="40">
        <f>COUNTIF(System_configuration!B:B,A404)</f>
        <v>0</v>
      </c>
    </row>
    <row r="405" spans="1:10" s="29" customFormat="1" x14ac:dyDescent="0.2">
      <c r="A405" s="86" t="s">
        <v>3332</v>
      </c>
      <c r="B405" s="43" t="s">
        <v>1534</v>
      </c>
      <c r="C405" s="43" t="s">
        <v>1534</v>
      </c>
      <c r="D405" s="45" t="s">
        <v>2982</v>
      </c>
      <c r="E405" s="45" t="s">
        <v>2983</v>
      </c>
      <c r="F405" s="58" t="s">
        <v>1534</v>
      </c>
      <c r="G405" s="50"/>
      <c r="H405" s="50"/>
      <c r="I405" s="50"/>
      <c r="J405" s="40">
        <f>COUNTIF(System_configuration!B:B,A405)</f>
        <v>0</v>
      </c>
    </row>
    <row r="406" spans="1:10" s="29" customFormat="1" x14ac:dyDescent="0.2">
      <c r="A406" s="86" t="s">
        <v>3333</v>
      </c>
      <c r="B406" s="43" t="s">
        <v>1534</v>
      </c>
      <c r="C406" s="43" t="s">
        <v>1534</v>
      </c>
      <c r="D406" s="45" t="s">
        <v>2985</v>
      </c>
      <c r="E406" s="45" t="s">
        <v>2986</v>
      </c>
      <c r="F406" s="58" t="s">
        <v>1534</v>
      </c>
      <c r="G406" s="50"/>
      <c r="H406" s="50"/>
      <c r="I406" s="50"/>
      <c r="J406" s="40">
        <f>COUNTIF(System_configuration!B:B,A406)</f>
        <v>0</v>
      </c>
    </row>
    <row r="407" spans="1:10" s="29" customFormat="1" x14ac:dyDescent="0.2">
      <c r="A407" s="86" t="s">
        <v>3334</v>
      </c>
      <c r="B407" s="43" t="s">
        <v>1534</v>
      </c>
      <c r="C407" s="43" t="s">
        <v>1534</v>
      </c>
      <c r="D407" s="45" t="s">
        <v>2988</v>
      </c>
      <c r="E407" s="45" t="s">
        <v>2989</v>
      </c>
      <c r="F407" s="58" t="s">
        <v>1534</v>
      </c>
      <c r="G407" s="50"/>
      <c r="H407" s="50"/>
      <c r="I407" s="50"/>
      <c r="J407" s="40">
        <f>COUNTIF(System_configuration!B:B,A407)</f>
        <v>0</v>
      </c>
    </row>
    <row r="408" spans="1:10" s="29" customFormat="1" x14ac:dyDescent="0.2">
      <c r="A408" s="86" t="s">
        <v>3335</v>
      </c>
      <c r="B408" s="43" t="s">
        <v>1534</v>
      </c>
      <c r="C408" s="43" t="s">
        <v>1534</v>
      </c>
      <c r="D408" s="45" t="s">
        <v>3336</v>
      </c>
      <c r="E408" s="45" t="s">
        <v>3337</v>
      </c>
      <c r="F408" s="58" t="s">
        <v>1534</v>
      </c>
      <c r="G408" s="50"/>
      <c r="H408" s="50"/>
      <c r="I408" s="50"/>
      <c r="J408" s="40">
        <f>COUNTIF(System_configuration!B:B,A408)</f>
        <v>0</v>
      </c>
    </row>
    <row r="409" spans="1:10" s="29" customFormat="1" x14ac:dyDescent="0.2">
      <c r="A409" s="86" t="s">
        <v>1089</v>
      </c>
      <c r="B409" s="45">
        <v>2000</v>
      </c>
      <c r="C409" s="45">
        <v>2000</v>
      </c>
      <c r="D409" s="45" t="s">
        <v>1100</v>
      </c>
      <c r="E409" s="45" t="s">
        <v>3338</v>
      </c>
      <c r="F409" s="45">
        <v>124</v>
      </c>
      <c r="G409" s="49" t="s">
        <v>3569</v>
      </c>
      <c r="H409" s="49" t="s">
        <v>3569</v>
      </c>
      <c r="I409" s="49" t="s">
        <v>3569</v>
      </c>
      <c r="J409" s="40">
        <f>COUNTIF(System_configuration!B:B,A409)</f>
        <v>0</v>
      </c>
    </row>
    <row r="410" spans="1:10" s="29" customFormat="1" x14ac:dyDescent="0.2">
      <c r="A410" s="86" t="s">
        <v>1090</v>
      </c>
      <c r="B410" s="45">
        <v>2000</v>
      </c>
      <c r="C410" s="45">
        <v>2000</v>
      </c>
      <c r="D410" s="45" t="s">
        <v>3339</v>
      </c>
      <c r="E410" s="45" t="s">
        <v>3340</v>
      </c>
      <c r="F410" s="45">
        <v>124</v>
      </c>
      <c r="G410" s="49" t="s">
        <v>3569</v>
      </c>
      <c r="H410" s="49" t="s">
        <v>3569</v>
      </c>
      <c r="I410" s="49" t="s">
        <v>3569</v>
      </c>
      <c r="J410" s="40">
        <f>COUNTIF(System_configuration!B:B,A410)</f>
        <v>0</v>
      </c>
    </row>
    <row r="411" spans="1:10" s="29" customFormat="1" x14ac:dyDescent="0.2">
      <c r="A411" s="86" t="s">
        <v>1091</v>
      </c>
      <c r="B411" s="45">
        <v>2000</v>
      </c>
      <c r="C411" s="45">
        <v>2000</v>
      </c>
      <c r="D411" s="45" t="s">
        <v>3341</v>
      </c>
      <c r="E411" s="45" t="s">
        <v>3342</v>
      </c>
      <c r="F411" s="45">
        <v>124</v>
      </c>
      <c r="G411" s="49" t="s">
        <v>3569</v>
      </c>
      <c r="H411" s="49" t="s">
        <v>3569</v>
      </c>
      <c r="I411" s="49" t="s">
        <v>3569</v>
      </c>
      <c r="J411" s="40">
        <f>COUNTIF(System_configuration!B:B,A411)</f>
        <v>0</v>
      </c>
    </row>
    <row r="412" spans="1:10" s="29" customFormat="1" x14ac:dyDescent="0.2">
      <c r="A412" s="86" t="s">
        <v>1092</v>
      </c>
      <c r="B412" s="45">
        <v>2000</v>
      </c>
      <c r="C412" s="45">
        <v>2000</v>
      </c>
      <c r="D412" s="45" t="s">
        <v>3343</v>
      </c>
      <c r="E412" s="45" t="s">
        <v>3344</v>
      </c>
      <c r="F412" s="45">
        <v>124</v>
      </c>
      <c r="G412" s="49" t="s">
        <v>3569</v>
      </c>
      <c r="H412" s="49" t="s">
        <v>3569</v>
      </c>
      <c r="I412" s="49" t="s">
        <v>3569</v>
      </c>
      <c r="J412" s="40">
        <f>COUNTIF(System_configuration!B:B,A412)</f>
        <v>0</v>
      </c>
    </row>
    <row r="413" spans="1:10" s="29" customFormat="1" x14ac:dyDescent="0.2">
      <c r="A413" s="86" t="s">
        <v>1093</v>
      </c>
      <c r="B413" s="45">
        <v>2000</v>
      </c>
      <c r="C413" s="45">
        <v>2000</v>
      </c>
      <c r="D413" s="45" t="s">
        <v>3345</v>
      </c>
      <c r="E413" s="45" t="s">
        <v>3346</v>
      </c>
      <c r="F413" s="45">
        <v>124</v>
      </c>
      <c r="G413" s="49" t="s">
        <v>3569</v>
      </c>
      <c r="H413" s="49" t="s">
        <v>3569</v>
      </c>
      <c r="I413" s="49" t="s">
        <v>3569</v>
      </c>
      <c r="J413" s="40">
        <f>COUNTIF(System_configuration!B:B,A413)</f>
        <v>0</v>
      </c>
    </row>
    <row r="414" spans="1:10" s="29" customFormat="1" x14ac:dyDescent="0.2">
      <c r="A414" s="86" t="s">
        <v>3347</v>
      </c>
      <c r="B414" s="45">
        <v>2000</v>
      </c>
      <c r="C414" s="45">
        <v>2000</v>
      </c>
      <c r="D414" s="45" t="s">
        <v>3348</v>
      </c>
      <c r="E414" s="45" t="s">
        <v>3349</v>
      </c>
      <c r="F414" s="45">
        <v>124</v>
      </c>
      <c r="G414" s="49" t="s">
        <v>3569</v>
      </c>
      <c r="H414" s="49" t="s">
        <v>3569</v>
      </c>
      <c r="I414" s="49" t="s">
        <v>3569</v>
      </c>
      <c r="J414" s="40">
        <f>COUNTIF(System_configuration!B:B,A414)</f>
        <v>0</v>
      </c>
    </row>
    <row r="415" spans="1:10" s="29" customFormat="1" x14ac:dyDescent="0.2">
      <c r="A415" s="86" t="s">
        <v>1094</v>
      </c>
      <c r="B415" s="45">
        <v>2000</v>
      </c>
      <c r="C415" s="45">
        <v>2000</v>
      </c>
      <c r="D415" s="45" t="s">
        <v>3350</v>
      </c>
      <c r="E415" s="45" t="s">
        <v>3351</v>
      </c>
      <c r="F415" s="45">
        <v>124</v>
      </c>
      <c r="G415" s="49" t="s">
        <v>3569</v>
      </c>
      <c r="H415" s="49" t="s">
        <v>3569</v>
      </c>
      <c r="I415" s="49" t="s">
        <v>3569</v>
      </c>
      <c r="J415" s="40">
        <f>COUNTIF(System_configuration!B:B,A415)</f>
        <v>0</v>
      </c>
    </row>
    <row r="416" spans="1:10" s="29" customFormat="1" x14ac:dyDescent="0.2">
      <c r="A416" s="86" t="s">
        <v>3352</v>
      </c>
      <c r="B416" s="45">
        <v>2000</v>
      </c>
      <c r="C416" s="45">
        <v>2000</v>
      </c>
      <c r="D416" s="45" t="s">
        <v>3353</v>
      </c>
      <c r="E416" s="45" t="s">
        <v>3354</v>
      </c>
      <c r="F416" s="45">
        <v>124</v>
      </c>
      <c r="G416" s="49" t="s">
        <v>3569</v>
      </c>
      <c r="H416" s="49" t="s">
        <v>3569</v>
      </c>
      <c r="I416" s="49" t="s">
        <v>3569</v>
      </c>
      <c r="J416" s="40">
        <f>COUNTIF(System_configuration!B:B,A416)</f>
        <v>0</v>
      </c>
    </row>
    <row r="417" spans="1:10" s="29" customFormat="1" x14ac:dyDescent="0.2">
      <c r="A417" s="86" t="s">
        <v>3355</v>
      </c>
      <c r="B417" s="43" t="s">
        <v>1534</v>
      </c>
      <c r="C417" s="43" t="s">
        <v>1534</v>
      </c>
      <c r="D417" s="45" t="s">
        <v>2946</v>
      </c>
      <c r="E417" s="45" t="s">
        <v>2947</v>
      </c>
      <c r="F417" s="58" t="s">
        <v>1534</v>
      </c>
      <c r="G417" s="50"/>
      <c r="H417" s="50"/>
      <c r="I417" s="50"/>
      <c r="J417" s="40">
        <f>COUNTIF(System_configuration!B:B,A417)</f>
        <v>0</v>
      </c>
    </row>
    <row r="418" spans="1:10" s="29" customFormat="1" x14ac:dyDescent="0.2">
      <c r="A418" s="86" t="s">
        <v>3356</v>
      </c>
      <c r="B418" s="43" t="s">
        <v>1534</v>
      </c>
      <c r="C418" s="43" t="s">
        <v>1534</v>
      </c>
      <c r="D418" s="45" t="s">
        <v>2949</v>
      </c>
      <c r="E418" s="45" t="s">
        <v>2950</v>
      </c>
      <c r="F418" s="58" t="s">
        <v>1534</v>
      </c>
      <c r="G418" s="50"/>
      <c r="H418" s="50"/>
      <c r="I418" s="50"/>
      <c r="J418" s="40">
        <f>COUNTIF(System_configuration!B:B,A418)</f>
        <v>0</v>
      </c>
    </row>
    <row r="419" spans="1:10" s="29" customFormat="1" x14ac:dyDescent="0.2">
      <c r="A419" s="86" t="s">
        <v>3357</v>
      </c>
      <c r="B419" s="43" t="s">
        <v>1534</v>
      </c>
      <c r="C419" s="43" t="s">
        <v>1534</v>
      </c>
      <c r="D419" s="45" t="s">
        <v>2952</v>
      </c>
      <c r="E419" s="45" t="s">
        <v>2953</v>
      </c>
      <c r="F419" s="58" t="s">
        <v>1534</v>
      </c>
      <c r="G419" s="50"/>
      <c r="H419" s="50"/>
      <c r="I419" s="50"/>
      <c r="J419" s="40">
        <f>COUNTIF(System_configuration!B:B,A419)</f>
        <v>0</v>
      </c>
    </row>
    <row r="420" spans="1:10" s="29" customFormat="1" x14ac:dyDescent="0.2">
      <c r="A420" s="86" t="s">
        <v>3358</v>
      </c>
      <c r="B420" s="43" t="s">
        <v>1534</v>
      </c>
      <c r="C420" s="43" t="s">
        <v>1534</v>
      </c>
      <c r="D420" s="45" t="s">
        <v>2955</v>
      </c>
      <c r="E420" s="45" t="s">
        <v>2956</v>
      </c>
      <c r="F420" s="58" t="s">
        <v>1534</v>
      </c>
      <c r="G420" s="50"/>
      <c r="H420" s="50"/>
      <c r="I420" s="50"/>
      <c r="J420" s="40">
        <f>COUNTIF(System_configuration!B:B,A420)</f>
        <v>0</v>
      </c>
    </row>
    <row r="421" spans="1:10" s="29" customFormat="1" x14ac:dyDescent="0.2">
      <c r="A421" s="86" t="s">
        <v>3359</v>
      </c>
      <c r="B421" s="43" t="s">
        <v>1534</v>
      </c>
      <c r="C421" s="43" t="s">
        <v>1534</v>
      </c>
      <c r="D421" s="45" t="s">
        <v>2958</v>
      </c>
      <c r="E421" s="45" t="s">
        <v>2959</v>
      </c>
      <c r="F421" s="58" t="s">
        <v>1534</v>
      </c>
      <c r="G421" s="50"/>
      <c r="H421" s="50"/>
      <c r="I421" s="50"/>
      <c r="J421" s="40">
        <f>COUNTIF(System_configuration!B:B,A421)</f>
        <v>0</v>
      </c>
    </row>
    <row r="422" spans="1:10" s="29" customFormat="1" x14ac:dyDescent="0.2">
      <c r="A422" s="86" t="s">
        <v>3360</v>
      </c>
      <c r="B422" s="43" t="s">
        <v>1534</v>
      </c>
      <c r="C422" s="43" t="s">
        <v>1534</v>
      </c>
      <c r="D422" s="45" t="s">
        <v>2961</v>
      </c>
      <c r="E422" s="45" t="s">
        <v>2962</v>
      </c>
      <c r="F422" s="58" t="s">
        <v>1534</v>
      </c>
      <c r="G422" s="50"/>
      <c r="H422" s="50"/>
      <c r="I422" s="50"/>
      <c r="J422" s="40">
        <f>COUNTIF(System_configuration!B:B,A422)</f>
        <v>0</v>
      </c>
    </row>
    <row r="423" spans="1:10" s="29" customFormat="1" x14ac:dyDescent="0.2">
      <c r="A423" s="86" t="s">
        <v>3361</v>
      </c>
      <c r="B423" s="43" t="s">
        <v>1534</v>
      </c>
      <c r="C423" s="43" t="s">
        <v>1534</v>
      </c>
      <c r="D423" s="45" t="s">
        <v>2964</v>
      </c>
      <c r="E423" s="45" t="s">
        <v>2965</v>
      </c>
      <c r="F423" s="58" t="s">
        <v>1534</v>
      </c>
      <c r="G423" s="50"/>
      <c r="H423" s="50"/>
      <c r="I423" s="50"/>
      <c r="J423" s="40">
        <f>COUNTIF(System_configuration!B:B,A423)</f>
        <v>0</v>
      </c>
    </row>
    <row r="424" spans="1:10" s="29" customFormat="1" x14ac:dyDescent="0.2">
      <c r="A424" s="86" t="s">
        <v>3362</v>
      </c>
      <c r="B424" s="43" t="s">
        <v>1534</v>
      </c>
      <c r="C424" s="43" t="s">
        <v>1534</v>
      </c>
      <c r="D424" s="45" t="s">
        <v>2967</v>
      </c>
      <c r="E424" s="45" t="s">
        <v>2968</v>
      </c>
      <c r="F424" s="58" t="s">
        <v>1534</v>
      </c>
      <c r="G424" s="50"/>
      <c r="H424" s="50"/>
      <c r="I424" s="50"/>
      <c r="J424" s="40">
        <f>COUNTIF(System_configuration!B:B,A424)</f>
        <v>0</v>
      </c>
    </row>
    <row r="425" spans="1:10" s="29" customFormat="1" x14ac:dyDescent="0.2">
      <c r="A425" s="86" t="s">
        <v>3363</v>
      </c>
      <c r="B425" s="43" t="s">
        <v>1534</v>
      </c>
      <c r="C425" s="43" t="s">
        <v>1534</v>
      </c>
      <c r="D425" s="45" t="s">
        <v>3273</v>
      </c>
      <c r="E425" s="45" t="s">
        <v>3274</v>
      </c>
      <c r="F425" s="58" t="s">
        <v>1534</v>
      </c>
      <c r="G425" s="50"/>
      <c r="H425" s="50"/>
      <c r="I425" s="50"/>
      <c r="J425" s="40">
        <f>COUNTIF(System_configuration!B:B,A425)</f>
        <v>0</v>
      </c>
    </row>
    <row r="426" spans="1:10" s="29" customFormat="1" x14ac:dyDescent="0.2">
      <c r="A426" s="86" t="s">
        <v>3364</v>
      </c>
      <c r="B426" s="43" t="s">
        <v>1534</v>
      </c>
      <c r="C426" s="43" t="s">
        <v>1534</v>
      </c>
      <c r="D426" s="45" t="s">
        <v>3365</v>
      </c>
      <c r="E426" s="45" t="s">
        <v>3366</v>
      </c>
      <c r="F426" s="58" t="s">
        <v>1534</v>
      </c>
      <c r="G426" s="50"/>
      <c r="H426" s="50"/>
      <c r="I426" s="50"/>
      <c r="J426" s="40">
        <f>COUNTIF(System_configuration!B:B,A426)</f>
        <v>0</v>
      </c>
    </row>
    <row r="427" spans="1:10" s="29" customFormat="1" x14ac:dyDescent="0.2">
      <c r="A427" s="86" t="s">
        <v>3367</v>
      </c>
      <c r="B427" s="43" t="s">
        <v>1534</v>
      </c>
      <c r="C427" s="43" t="s">
        <v>1534</v>
      </c>
      <c r="D427" s="45" t="s">
        <v>2976</v>
      </c>
      <c r="E427" s="45" t="s">
        <v>2977</v>
      </c>
      <c r="F427" s="58" t="s">
        <v>1534</v>
      </c>
      <c r="G427" s="50"/>
      <c r="H427" s="50"/>
      <c r="I427" s="50"/>
      <c r="J427" s="40">
        <f>COUNTIF(System_configuration!B:B,A427)</f>
        <v>0</v>
      </c>
    </row>
    <row r="428" spans="1:10" s="29" customFormat="1" x14ac:dyDescent="0.2">
      <c r="A428" s="86" t="s">
        <v>3368</v>
      </c>
      <c r="B428" s="43" t="s">
        <v>1534</v>
      </c>
      <c r="C428" s="43" t="s">
        <v>1534</v>
      </c>
      <c r="D428" s="45" t="s">
        <v>2979</v>
      </c>
      <c r="E428" s="45" t="s">
        <v>2980</v>
      </c>
      <c r="F428" s="58" t="s">
        <v>1534</v>
      </c>
      <c r="G428" s="50"/>
      <c r="H428" s="50"/>
      <c r="I428" s="50"/>
      <c r="J428" s="40">
        <f>COUNTIF(System_configuration!B:B,A428)</f>
        <v>0</v>
      </c>
    </row>
    <row r="429" spans="1:10" s="29" customFormat="1" x14ac:dyDescent="0.2">
      <c r="A429" s="86" t="s">
        <v>3369</v>
      </c>
      <c r="B429" s="43" t="s">
        <v>1534</v>
      </c>
      <c r="C429" s="43" t="s">
        <v>1534</v>
      </c>
      <c r="D429" s="45" t="s">
        <v>2982</v>
      </c>
      <c r="E429" s="45" t="s">
        <v>2983</v>
      </c>
      <c r="F429" s="58" t="s">
        <v>1534</v>
      </c>
      <c r="G429" s="50"/>
      <c r="H429" s="50"/>
      <c r="I429" s="50"/>
      <c r="J429" s="40">
        <f>COUNTIF(System_configuration!B:B,A429)</f>
        <v>0</v>
      </c>
    </row>
    <row r="430" spans="1:10" s="29" customFormat="1" x14ac:dyDescent="0.2">
      <c r="A430" s="86" t="s">
        <v>3370</v>
      </c>
      <c r="B430" s="43" t="s">
        <v>1534</v>
      </c>
      <c r="C430" s="43" t="s">
        <v>1534</v>
      </c>
      <c r="D430" s="45" t="s">
        <v>2985</v>
      </c>
      <c r="E430" s="45" t="s">
        <v>2986</v>
      </c>
      <c r="F430" s="58" t="s">
        <v>1534</v>
      </c>
      <c r="G430" s="50"/>
      <c r="H430" s="50"/>
      <c r="I430" s="50"/>
      <c r="J430" s="40">
        <f>COUNTIF(System_configuration!B:B,A430)</f>
        <v>0</v>
      </c>
    </row>
    <row r="431" spans="1:10" s="29" customFormat="1" x14ac:dyDescent="0.2">
      <c r="A431" s="86" t="s">
        <v>3371</v>
      </c>
      <c r="B431" s="43" t="s">
        <v>1534</v>
      </c>
      <c r="C431" s="43" t="s">
        <v>1534</v>
      </c>
      <c r="D431" s="45" t="s">
        <v>2988</v>
      </c>
      <c r="E431" s="45" t="s">
        <v>2989</v>
      </c>
      <c r="F431" s="58" t="s">
        <v>1534</v>
      </c>
      <c r="G431" s="50"/>
      <c r="H431" s="50"/>
      <c r="I431" s="50"/>
      <c r="J431" s="40">
        <f>COUNTIF(System_configuration!B:B,A431)</f>
        <v>0</v>
      </c>
    </row>
    <row r="432" spans="1:10" s="29" customFormat="1" x14ac:dyDescent="0.2">
      <c r="A432" s="86" t="s">
        <v>3372</v>
      </c>
      <c r="B432" s="43" t="s">
        <v>1534</v>
      </c>
      <c r="C432" s="43" t="s">
        <v>1534</v>
      </c>
      <c r="D432" s="45" t="s">
        <v>3373</v>
      </c>
      <c r="E432" s="45" t="s">
        <v>3374</v>
      </c>
      <c r="F432" s="58" t="s">
        <v>1534</v>
      </c>
      <c r="G432" s="50"/>
      <c r="H432" s="50"/>
      <c r="I432" s="50"/>
      <c r="J432" s="40">
        <f>COUNTIF(System_configuration!B:B,A432)</f>
        <v>0</v>
      </c>
    </row>
    <row r="433" spans="1:10" s="29" customFormat="1" x14ac:dyDescent="0.2">
      <c r="A433" s="86" t="s">
        <v>1083</v>
      </c>
      <c r="B433" s="45">
        <v>2000</v>
      </c>
      <c r="C433" s="45">
        <v>2000</v>
      </c>
      <c r="D433" s="45" t="s">
        <v>1101</v>
      </c>
      <c r="E433" s="45" t="s">
        <v>3375</v>
      </c>
      <c r="F433" s="45">
        <v>142</v>
      </c>
      <c r="G433" s="49" t="s">
        <v>3569</v>
      </c>
      <c r="H433" s="49" t="s">
        <v>3569</v>
      </c>
      <c r="I433" s="49" t="s">
        <v>3569</v>
      </c>
      <c r="J433" s="40">
        <f>COUNTIF(System_configuration!B:B,A433)</f>
        <v>0</v>
      </c>
    </row>
    <row r="434" spans="1:10" s="29" customFormat="1" x14ac:dyDescent="0.2">
      <c r="A434" s="86" t="s">
        <v>1084</v>
      </c>
      <c r="B434" s="45">
        <v>2000</v>
      </c>
      <c r="C434" s="45">
        <v>2000</v>
      </c>
      <c r="D434" s="45" t="s">
        <v>3376</v>
      </c>
      <c r="E434" s="45" t="s">
        <v>3377</v>
      </c>
      <c r="F434" s="45">
        <v>142</v>
      </c>
      <c r="G434" s="49" t="s">
        <v>3569</v>
      </c>
      <c r="H434" s="49" t="s">
        <v>3569</v>
      </c>
      <c r="I434" s="49" t="s">
        <v>3569</v>
      </c>
      <c r="J434" s="40">
        <f>COUNTIF(System_configuration!B:B,A434)</f>
        <v>0</v>
      </c>
    </row>
    <row r="435" spans="1:10" s="29" customFormat="1" x14ac:dyDescent="0.2">
      <c r="A435" s="86" t="s">
        <v>1085</v>
      </c>
      <c r="B435" s="45">
        <v>2000</v>
      </c>
      <c r="C435" s="45">
        <v>2000</v>
      </c>
      <c r="D435" s="45" t="s">
        <v>3378</v>
      </c>
      <c r="E435" s="45" t="s">
        <v>3379</v>
      </c>
      <c r="F435" s="45">
        <v>142</v>
      </c>
      <c r="G435" s="49" t="s">
        <v>3569</v>
      </c>
      <c r="H435" s="49" t="s">
        <v>3569</v>
      </c>
      <c r="I435" s="49" t="s">
        <v>3569</v>
      </c>
      <c r="J435" s="40">
        <f>COUNTIF(System_configuration!B:B,A435)</f>
        <v>0</v>
      </c>
    </row>
    <row r="436" spans="1:10" s="29" customFormat="1" x14ac:dyDescent="0.2">
      <c r="A436" s="86" t="s">
        <v>1086</v>
      </c>
      <c r="B436" s="45">
        <v>2000</v>
      </c>
      <c r="C436" s="45">
        <v>2000</v>
      </c>
      <c r="D436" s="45" t="s">
        <v>3380</v>
      </c>
      <c r="E436" s="45" t="s">
        <v>3381</v>
      </c>
      <c r="F436" s="45">
        <v>142</v>
      </c>
      <c r="G436" s="49" t="s">
        <v>3569</v>
      </c>
      <c r="H436" s="49" t="s">
        <v>3569</v>
      </c>
      <c r="I436" s="49" t="s">
        <v>3569</v>
      </c>
      <c r="J436" s="40">
        <f>COUNTIF(System_configuration!B:B,A436)</f>
        <v>0</v>
      </c>
    </row>
    <row r="437" spans="1:10" s="29" customFormat="1" x14ac:dyDescent="0.2">
      <c r="A437" s="86" t="s">
        <v>1087</v>
      </c>
      <c r="B437" s="45">
        <v>2000</v>
      </c>
      <c r="C437" s="45">
        <v>2000</v>
      </c>
      <c r="D437" s="45" t="s">
        <v>3382</v>
      </c>
      <c r="E437" s="45" t="s">
        <v>3383</v>
      </c>
      <c r="F437" s="45">
        <v>142</v>
      </c>
      <c r="G437" s="49" t="s">
        <v>3569</v>
      </c>
      <c r="H437" s="49" t="s">
        <v>3569</v>
      </c>
      <c r="I437" s="49" t="s">
        <v>3569</v>
      </c>
      <c r="J437" s="40">
        <f>COUNTIF(System_configuration!B:B,A437)</f>
        <v>0</v>
      </c>
    </row>
    <row r="438" spans="1:10" s="29" customFormat="1" x14ac:dyDescent="0.2">
      <c r="A438" s="86" t="s">
        <v>3384</v>
      </c>
      <c r="B438" s="45">
        <v>2000</v>
      </c>
      <c r="C438" s="45">
        <v>2000</v>
      </c>
      <c r="D438" s="45" t="s">
        <v>3385</v>
      </c>
      <c r="E438" s="45" t="s">
        <v>3386</v>
      </c>
      <c r="F438" s="45">
        <v>142</v>
      </c>
      <c r="G438" s="49" t="s">
        <v>3569</v>
      </c>
      <c r="H438" s="49" t="s">
        <v>3569</v>
      </c>
      <c r="I438" s="49" t="s">
        <v>3569</v>
      </c>
      <c r="J438" s="40">
        <f>COUNTIF(System_configuration!B:B,A438)</f>
        <v>0</v>
      </c>
    </row>
    <row r="439" spans="1:10" s="29" customFormat="1" x14ac:dyDescent="0.2">
      <c r="A439" s="86" t="s">
        <v>1088</v>
      </c>
      <c r="B439" s="45">
        <v>2000</v>
      </c>
      <c r="C439" s="45">
        <v>2000</v>
      </c>
      <c r="D439" s="45" t="s">
        <v>3387</v>
      </c>
      <c r="E439" s="45" t="s">
        <v>3388</v>
      </c>
      <c r="F439" s="45">
        <v>142</v>
      </c>
      <c r="G439" s="49" t="s">
        <v>3569</v>
      </c>
      <c r="H439" s="49" t="s">
        <v>3569</v>
      </c>
      <c r="I439" s="49" t="s">
        <v>3569</v>
      </c>
      <c r="J439" s="40">
        <f>COUNTIF(System_configuration!B:B,A439)</f>
        <v>0</v>
      </c>
    </row>
    <row r="440" spans="1:10" s="29" customFormat="1" x14ac:dyDescent="0.2">
      <c r="A440" s="86" t="s">
        <v>3389</v>
      </c>
      <c r="B440" s="45">
        <v>2000</v>
      </c>
      <c r="C440" s="45">
        <v>2000</v>
      </c>
      <c r="D440" s="45" t="s">
        <v>3390</v>
      </c>
      <c r="E440" s="45" t="s">
        <v>3391</v>
      </c>
      <c r="F440" s="45">
        <v>142</v>
      </c>
      <c r="G440" s="49" t="s">
        <v>3569</v>
      </c>
      <c r="H440" s="49" t="s">
        <v>3569</v>
      </c>
      <c r="I440" s="49" t="s">
        <v>3569</v>
      </c>
      <c r="J440" s="40">
        <f>COUNTIF(System_configuration!B:B,A440)</f>
        <v>0</v>
      </c>
    </row>
    <row r="441" spans="1:10" s="29" customFormat="1" x14ac:dyDescent="0.2">
      <c r="A441" s="86" t="s">
        <v>3392</v>
      </c>
      <c r="B441" s="43" t="s">
        <v>1534</v>
      </c>
      <c r="C441" s="43" t="s">
        <v>1534</v>
      </c>
      <c r="D441" s="45" t="s">
        <v>2946</v>
      </c>
      <c r="E441" s="45" t="s">
        <v>2947</v>
      </c>
      <c r="F441" s="58" t="s">
        <v>1534</v>
      </c>
      <c r="G441" s="50"/>
      <c r="H441" s="50"/>
      <c r="I441" s="50"/>
      <c r="J441" s="40">
        <f>COUNTIF(System_configuration!B:B,A441)</f>
        <v>0</v>
      </c>
    </row>
    <row r="442" spans="1:10" s="29" customFormat="1" x14ac:dyDescent="0.2">
      <c r="A442" s="86" t="s">
        <v>3393</v>
      </c>
      <c r="B442" s="43" t="s">
        <v>1534</v>
      </c>
      <c r="C442" s="43" t="s">
        <v>1534</v>
      </c>
      <c r="D442" s="45" t="s">
        <v>2949</v>
      </c>
      <c r="E442" s="45" t="s">
        <v>2950</v>
      </c>
      <c r="F442" s="58" t="s">
        <v>1534</v>
      </c>
      <c r="G442" s="50"/>
      <c r="H442" s="50"/>
      <c r="I442" s="50"/>
      <c r="J442" s="40">
        <f>COUNTIF(System_configuration!B:B,A442)</f>
        <v>0</v>
      </c>
    </row>
    <row r="443" spans="1:10" s="29" customFormat="1" x14ac:dyDescent="0.2">
      <c r="A443" s="86" t="s">
        <v>3394</v>
      </c>
      <c r="B443" s="43" t="s">
        <v>1534</v>
      </c>
      <c r="C443" s="43" t="s">
        <v>1534</v>
      </c>
      <c r="D443" s="45" t="s">
        <v>2952</v>
      </c>
      <c r="E443" s="45" t="s">
        <v>2953</v>
      </c>
      <c r="F443" s="58" t="s">
        <v>1534</v>
      </c>
      <c r="G443" s="50"/>
      <c r="H443" s="50"/>
      <c r="I443" s="50"/>
      <c r="J443" s="40">
        <f>COUNTIF(System_configuration!B:B,A443)</f>
        <v>0</v>
      </c>
    </row>
    <row r="444" spans="1:10" s="29" customFormat="1" x14ac:dyDescent="0.2">
      <c r="A444" s="86" t="s">
        <v>3395</v>
      </c>
      <c r="B444" s="43" t="s">
        <v>1534</v>
      </c>
      <c r="C444" s="43" t="s">
        <v>1534</v>
      </c>
      <c r="D444" s="45" t="s">
        <v>2955</v>
      </c>
      <c r="E444" s="45" t="s">
        <v>2956</v>
      </c>
      <c r="F444" s="58" t="s">
        <v>1534</v>
      </c>
      <c r="G444" s="50"/>
      <c r="H444" s="50"/>
      <c r="I444" s="50"/>
      <c r="J444" s="40">
        <f>COUNTIF(System_configuration!B:B,A444)</f>
        <v>0</v>
      </c>
    </row>
    <row r="445" spans="1:10" s="29" customFormat="1" x14ac:dyDescent="0.2">
      <c r="A445" s="86" t="s">
        <v>3396</v>
      </c>
      <c r="B445" s="43" t="s">
        <v>1534</v>
      </c>
      <c r="C445" s="43" t="s">
        <v>1534</v>
      </c>
      <c r="D445" s="45" t="s">
        <v>2958</v>
      </c>
      <c r="E445" s="45" t="s">
        <v>2959</v>
      </c>
      <c r="F445" s="58" t="s">
        <v>1534</v>
      </c>
      <c r="G445" s="50"/>
      <c r="H445" s="50"/>
      <c r="I445" s="50"/>
      <c r="J445" s="40">
        <f>COUNTIF(System_configuration!B:B,A445)</f>
        <v>0</v>
      </c>
    </row>
    <row r="446" spans="1:10" s="29" customFormat="1" x14ac:dyDescent="0.2">
      <c r="A446" s="86" t="s">
        <v>3397</v>
      </c>
      <c r="B446" s="43" t="s">
        <v>1534</v>
      </c>
      <c r="C446" s="43" t="s">
        <v>1534</v>
      </c>
      <c r="D446" s="45" t="s">
        <v>2961</v>
      </c>
      <c r="E446" s="45" t="s">
        <v>2962</v>
      </c>
      <c r="F446" s="58" t="s">
        <v>1534</v>
      </c>
      <c r="G446" s="50"/>
      <c r="H446" s="50"/>
      <c r="I446" s="50"/>
      <c r="J446" s="40">
        <f>COUNTIF(System_configuration!B:B,A446)</f>
        <v>0</v>
      </c>
    </row>
    <row r="447" spans="1:10" s="29" customFormat="1" x14ac:dyDescent="0.2">
      <c r="A447" s="86" t="s">
        <v>3398</v>
      </c>
      <c r="B447" s="43" t="s">
        <v>1534</v>
      </c>
      <c r="C447" s="43" t="s">
        <v>1534</v>
      </c>
      <c r="D447" s="45" t="s">
        <v>2964</v>
      </c>
      <c r="E447" s="45" t="s">
        <v>2965</v>
      </c>
      <c r="F447" s="58" t="s">
        <v>1534</v>
      </c>
      <c r="G447" s="50"/>
      <c r="H447" s="50"/>
      <c r="I447" s="50"/>
      <c r="J447" s="40">
        <f>COUNTIF(System_configuration!B:B,A447)</f>
        <v>0</v>
      </c>
    </row>
    <row r="448" spans="1:10" s="29" customFormat="1" x14ac:dyDescent="0.2">
      <c r="A448" s="86" t="s">
        <v>3399</v>
      </c>
      <c r="B448" s="43" t="s">
        <v>1534</v>
      </c>
      <c r="C448" s="43" t="s">
        <v>1534</v>
      </c>
      <c r="D448" s="45" t="s">
        <v>2967</v>
      </c>
      <c r="E448" s="45" t="s">
        <v>2968</v>
      </c>
      <c r="F448" s="58" t="s">
        <v>1534</v>
      </c>
      <c r="G448" s="50"/>
      <c r="H448" s="50"/>
      <c r="I448" s="50"/>
      <c r="J448" s="40">
        <f>COUNTIF(System_configuration!B:B,A448)</f>
        <v>0</v>
      </c>
    </row>
    <row r="449" spans="1:10" s="29" customFormat="1" x14ac:dyDescent="0.2">
      <c r="A449" s="86" t="s">
        <v>3400</v>
      </c>
      <c r="B449" s="43" t="s">
        <v>1534</v>
      </c>
      <c r="C449" s="43" t="s">
        <v>1534</v>
      </c>
      <c r="D449" s="45" t="s">
        <v>2970</v>
      </c>
      <c r="E449" s="45" t="s">
        <v>2971</v>
      </c>
      <c r="F449" s="58" t="s">
        <v>1534</v>
      </c>
      <c r="G449" s="50"/>
      <c r="H449" s="50"/>
      <c r="I449" s="50"/>
      <c r="J449" s="40">
        <f>COUNTIF(System_configuration!B:B,A449)</f>
        <v>0</v>
      </c>
    </row>
    <row r="450" spans="1:10" s="29" customFormat="1" x14ac:dyDescent="0.2">
      <c r="A450" s="86" t="s">
        <v>3401</v>
      </c>
      <c r="B450" s="43" t="s">
        <v>1534</v>
      </c>
      <c r="C450" s="43" t="s">
        <v>1534</v>
      </c>
      <c r="D450" s="45" t="s">
        <v>3273</v>
      </c>
      <c r="E450" s="45" t="s">
        <v>3274</v>
      </c>
      <c r="F450" s="58" t="s">
        <v>1534</v>
      </c>
      <c r="G450" s="50"/>
      <c r="H450" s="50"/>
      <c r="I450" s="50"/>
      <c r="J450" s="40">
        <f>COUNTIF(System_configuration!B:B,A450)</f>
        <v>0</v>
      </c>
    </row>
    <row r="451" spans="1:10" s="29" customFormat="1" x14ac:dyDescent="0.2">
      <c r="A451" s="86" t="s">
        <v>3402</v>
      </c>
      <c r="B451" s="43" t="s">
        <v>1534</v>
      </c>
      <c r="C451" s="43" t="s">
        <v>1534</v>
      </c>
      <c r="D451" s="45" t="s">
        <v>3365</v>
      </c>
      <c r="E451" s="45" t="s">
        <v>3366</v>
      </c>
      <c r="F451" s="58" t="s">
        <v>1534</v>
      </c>
      <c r="G451" s="50"/>
      <c r="H451" s="50"/>
      <c r="I451" s="50"/>
      <c r="J451" s="40">
        <f>COUNTIF(System_configuration!B:B,A451)</f>
        <v>0</v>
      </c>
    </row>
    <row r="452" spans="1:10" s="29" customFormat="1" x14ac:dyDescent="0.2">
      <c r="A452" s="86" t="s">
        <v>3403</v>
      </c>
      <c r="B452" s="43" t="s">
        <v>1534</v>
      </c>
      <c r="C452" s="43" t="s">
        <v>1534</v>
      </c>
      <c r="D452" s="45" t="s">
        <v>2976</v>
      </c>
      <c r="E452" s="45" t="s">
        <v>2977</v>
      </c>
      <c r="F452" s="58" t="s">
        <v>1534</v>
      </c>
      <c r="G452" s="50"/>
      <c r="H452" s="50"/>
      <c r="I452" s="50"/>
      <c r="J452" s="40">
        <f>COUNTIF(System_configuration!B:B,A452)</f>
        <v>0</v>
      </c>
    </row>
    <row r="453" spans="1:10" s="29" customFormat="1" x14ac:dyDescent="0.2">
      <c r="A453" s="86" t="s">
        <v>3404</v>
      </c>
      <c r="B453" s="43" t="s">
        <v>1534</v>
      </c>
      <c r="C453" s="43" t="s">
        <v>1534</v>
      </c>
      <c r="D453" s="45" t="s">
        <v>2979</v>
      </c>
      <c r="E453" s="45" t="s">
        <v>2980</v>
      </c>
      <c r="F453" s="58" t="s">
        <v>1534</v>
      </c>
      <c r="G453" s="50"/>
      <c r="H453" s="50"/>
      <c r="I453" s="50"/>
      <c r="J453" s="40">
        <f>COUNTIF(System_configuration!B:B,A453)</f>
        <v>0</v>
      </c>
    </row>
    <row r="454" spans="1:10" s="29" customFormat="1" x14ac:dyDescent="0.2">
      <c r="A454" s="86" t="s">
        <v>3405</v>
      </c>
      <c r="B454" s="43" t="s">
        <v>1534</v>
      </c>
      <c r="C454" s="43" t="s">
        <v>1534</v>
      </c>
      <c r="D454" s="45" t="s">
        <v>2982</v>
      </c>
      <c r="E454" s="45" t="s">
        <v>2983</v>
      </c>
      <c r="F454" s="58" t="s">
        <v>1534</v>
      </c>
      <c r="G454" s="50"/>
      <c r="H454" s="50"/>
      <c r="I454" s="50"/>
      <c r="J454" s="40">
        <f>COUNTIF(System_configuration!B:B,A454)</f>
        <v>0</v>
      </c>
    </row>
    <row r="455" spans="1:10" s="29" customFormat="1" x14ac:dyDescent="0.2">
      <c r="A455" s="86" t="s">
        <v>3406</v>
      </c>
      <c r="B455" s="43" t="s">
        <v>1534</v>
      </c>
      <c r="C455" s="43" t="s">
        <v>1534</v>
      </c>
      <c r="D455" s="45" t="s">
        <v>2985</v>
      </c>
      <c r="E455" s="45" t="s">
        <v>2986</v>
      </c>
      <c r="F455" s="58" t="s">
        <v>1534</v>
      </c>
      <c r="G455" s="50"/>
      <c r="H455" s="50"/>
      <c r="I455" s="50"/>
      <c r="J455" s="40">
        <f>COUNTIF(System_configuration!B:B,A455)</f>
        <v>0</v>
      </c>
    </row>
    <row r="456" spans="1:10" s="29" customFormat="1" x14ac:dyDescent="0.2">
      <c r="A456" s="86" t="s">
        <v>3407</v>
      </c>
      <c r="B456" s="43" t="s">
        <v>1534</v>
      </c>
      <c r="C456" s="43" t="s">
        <v>1534</v>
      </c>
      <c r="D456" s="45" t="s">
        <v>2988</v>
      </c>
      <c r="E456" s="45" t="s">
        <v>2989</v>
      </c>
      <c r="F456" s="58" t="s">
        <v>1534</v>
      </c>
      <c r="G456" s="50"/>
      <c r="H456" s="50"/>
      <c r="I456" s="50"/>
      <c r="J456" s="40">
        <f>COUNTIF(System_configuration!B:B,A456)</f>
        <v>0</v>
      </c>
    </row>
    <row r="457" spans="1:10" s="29" customFormat="1" x14ac:dyDescent="0.2">
      <c r="A457" s="86" t="s">
        <v>3408</v>
      </c>
      <c r="B457" s="43" t="s">
        <v>1534</v>
      </c>
      <c r="C457" s="43" t="s">
        <v>1534</v>
      </c>
      <c r="D457" s="45" t="s">
        <v>3409</v>
      </c>
      <c r="E457" s="45" t="s">
        <v>3410</v>
      </c>
      <c r="F457" s="58" t="s">
        <v>1534</v>
      </c>
      <c r="G457" s="50"/>
      <c r="H457" s="50"/>
      <c r="I457" s="50"/>
      <c r="J457" s="40">
        <f>COUNTIF(System_configuration!B:B,A457)</f>
        <v>0</v>
      </c>
    </row>
    <row r="458" spans="1:10" s="29" customFormat="1" x14ac:dyDescent="0.2">
      <c r="A458" s="86" t="s">
        <v>1077</v>
      </c>
      <c r="B458" s="45">
        <v>2000</v>
      </c>
      <c r="C458" s="45">
        <v>2000</v>
      </c>
      <c r="D458" s="45" t="s">
        <v>1102</v>
      </c>
      <c r="E458" s="45" t="s">
        <v>3411</v>
      </c>
      <c r="F458" s="45">
        <v>142</v>
      </c>
      <c r="G458" s="49" t="s">
        <v>3569</v>
      </c>
      <c r="H458" s="49" t="s">
        <v>3569</v>
      </c>
      <c r="I458" s="49" t="s">
        <v>3569</v>
      </c>
      <c r="J458" s="40">
        <f>COUNTIF(System_configuration!B:B,A458)</f>
        <v>0</v>
      </c>
    </row>
    <row r="459" spans="1:10" s="29" customFormat="1" x14ac:dyDescent="0.2">
      <c r="A459" s="86" t="s">
        <v>1078</v>
      </c>
      <c r="B459" s="45">
        <v>2000</v>
      </c>
      <c r="C459" s="45">
        <v>2000</v>
      </c>
      <c r="D459" s="45" t="s">
        <v>3412</v>
      </c>
      <c r="E459" s="45" t="s">
        <v>3413</v>
      </c>
      <c r="F459" s="45">
        <v>142</v>
      </c>
      <c r="G459" s="49" t="s">
        <v>3569</v>
      </c>
      <c r="H459" s="49" t="s">
        <v>3569</v>
      </c>
      <c r="I459" s="49" t="s">
        <v>3569</v>
      </c>
      <c r="J459" s="40">
        <f>COUNTIF(System_configuration!B:B,A459)</f>
        <v>0</v>
      </c>
    </row>
    <row r="460" spans="1:10" s="29" customFormat="1" x14ac:dyDescent="0.2">
      <c r="A460" s="86" t="s">
        <v>1079</v>
      </c>
      <c r="B460" s="45">
        <v>2000</v>
      </c>
      <c r="C460" s="45">
        <v>2000</v>
      </c>
      <c r="D460" s="45" t="s">
        <v>3414</v>
      </c>
      <c r="E460" s="45" t="s">
        <v>3415</v>
      </c>
      <c r="F460" s="45">
        <v>142</v>
      </c>
      <c r="G460" s="49" t="s">
        <v>3569</v>
      </c>
      <c r="H460" s="49" t="s">
        <v>3569</v>
      </c>
      <c r="I460" s="49" t="s">
        <v>3569</v>
      </c>
      <c r="J460" s="40">
        <f>COUNTIF(System_configuration!B:B,A460)</f>
        <v>0</v>
      </c>
    </row>
    <row r="461" spans="1:10" s="29" customFormat="1" x14ac:dyDescent="0.2">
      <c r="A461" s="86" t="s">
        <v>1080</v>
      </c>
      <c r="B461" s="45">
        <v>2000</v>
      </c>
      <c r="C461" s="45">
        <v>2000</v>
      </c>
      <c r="D461" s="45" t="s">
        <v>3416</v>
      </c>
      <c r="E461" s="45" t="s">
        <v>3417</v>
      </c>
      <c r="F461" s="45">
        <v>142</v>
      </c>
      <c r="G461" s="49" t="s">
        <v>3569</v>
      </c>
      <c r="H461" s="49" t="s">
        <v>3569</v>
      </c>
      <c r="I461" s="49" t="s">
        <v>3569</v>
      </c>
      <c r="J461" s="40">
        <f>COUNTIF(System_configuration!B:B,A461)</f>
        <v>0</v>
      </c>
    </row>
    <row r="462" spans="1:10" s="29" customFormat="1" x14ac:dyDescent="0.2">
      <c r="A462" s="86" t="s">
        <v>1081</v>
      </c>
      <c r="B462" s="45">
        <v>2000</v>
      </c>
      <c r="C462" s="45">
        <v>2000</v>
      </c>
      <c r="D462" s="45" t="s">
        <v>3418</v>
      </c>
      <c r="E462" s="45" t="s">
        <v>3419</v>
      </c>
      <c r="F462" s="45">
        <v>142</v>
      </c>
      <c r="G462" s="49" t="s">
        <v>3569</v>
      </c>
      <c r="H462" s="49" t="s">
        <v>3569</v>
      </c>
      <c r="I462" s="49" t="s">
        <v>3569</v>
      </c>
      <c r="J462" s="40">
        <f>COUNTIF(System_configuration!B:B,A462)</f>
        <v>0</v>
      </c>
    </row>
    <row r="463" spans="1:10" s="29" customFormat="1" x14ac:dyDescent="0.2">
      <c r="A463" s="86" t="s">
        <v>3420</v>
      </c>
      <c r="B463" s="45">
        <v>2000</v>
      </c>
      <c r="C463" s="45">
        <v>2000</v>
      </c>
      <c r="D463" s="45" t="s">
        <v>3421</v>
      </c>
      <c r="E463" s="45" t="s">
        <v>3422</v>
      </c>
      <c r="F463" s="45">
        <v>142</v>
      </c>
      <c r="G463" s="49" t="s">
        <v>3569</v>
      </c>
      <c r="H463" s="49" t="s">
        <v>3569</v>
      </c>
      <c r="I463" s="49" t="s">
        <v>3569</v>
      </c>
      <c r="J463" s="40">
        <f>COUNTIF(System_configuration!B:B,A463)</f>
        <v>0</v>
      </c>
    </row>
    <row r="464" spans="1:10" s="29" customFormat="1" x14ac:dyDescent="0.2">
      <c r="A464" s="86" t="s">
        <v>1082</v>
      </c>
      <c r="B464" s="45">
        <v>2000</v>
      </c>
      <c r="C464" s="45">
        <v>2000</v>
      </c>
      <c r="D464" s="45" t="s">
        <v>3423</v>
      </c>
      <c r="E464" s="45" t="s">
        <v>3424</v>
      </c>
      <c r="F464" s="45">
        <v>142</v>
      </c>
      <c r="G464" s="49" t="s">
        <v>3569</v>
      </c>
      <c r="H464" s="49" t="s">
        <v>3569</v>
      </c>
      <c r="I464" s="49" t="s">
        <v>3569</v>
      </c>
      <c r="J464" s="40">
        <f>COUNTIF(System_configuration!B:B,A464)</f>
        <v>0</v>
      </c>
    </row>
    <row r="465" spans="1:10" s="29" customFormat="1" x14ac:dyDescent="0.2">
      <c r="A465" s="86" t="s">
        <v>3425</v>
      </c>
      <c r="B465" s="45">
        <v>2000</v>
      </c>
      <c r="C465" s="45">
        <v>2000</v>
      </c>
      <c r="D465" s="45" t="s">
        <v>3426</v>
      </c>
      <c r="E465" s="45" t="s">
        <v>3427</v>
      </c>
      <c r="F465" s="45">
        <v>142</v>
      </c>
      <c r="G465" s="49" t="s">
        <v>3569</v>
      </c>
      <c r="H465" s="49" t="s">
        <v>3569</v>
      </c>
      <c r="I465" s="49" t="s">
        <v>3569</v>
      </c>
      <c r="J465" s="40">
        <f>COUNTIF(System_configuration!B:B,A465)</f>
        <v>0</v>
      </c>
    </row>
    <row r="466" spans="1:10" s="29" customFormat="1" x14ac:dyDescent="0.2">
      <c r="A466" s="86" t="s">
        <v>3428</v>
      </c>
      <c r="B466" s="43" t="s">
        <v>1534</v>
      </c>
      <c r="C466" s="43" t="s">
        <v>1534</v>
      </c>
      <c r="D466" s="45" t="s">
        <v>2946</v>
      </c>
      <c r="E466" s="45" t="s">
        <v>2947</v>
      </c>
      <c r="F466" s="58" t="s">
        <v>1534</v>
      </c>
      <c r="G466" s="50"/>
      <c r="H466" s="50"/>
      <c r="I466" s="50"/>
      <c r="J466" s="40">
        <f>COUNTIF(System_configuration!B:B,A466)</f>
        <v>0</v>
      </c>
    </row>
    <row r="467" spans="1:10" s="29" customFormat="1" x14ac:dyDescent="0.2">
      <c r="A467" s="86" t="s">
        <v>3429</v>
      </c>
      <c r="B467" s="43" t="s">
        <v>1534</v>
      </c>
      <c r="C467" s="43" t="s">
        <v>1534</v>
      </c>
      <c r="D467" s="45" t="s">
        <v>2949</v>
      </c>
      <c r="E467" s="45" t="s">
        <v>2950</v>
      </c>
      <c r="F467" s="58" t="s">
        <v>1534</v>
      </c>
      <c r="G467" s="50"/>
      <c r="H467" s="50"/>
      <c r="I467" s="50"/>
      <c r="J467" s="40">
        <f>COUNTIF(System_configuration!B:B,A467)</f>
        <v>0</v>
      </c>
    </row>
    <row r="468" spans="1:10" s="29" customFormat="1" x14ac:dyDescent="0.2">
      <c r="A468" s="86" t="s">
        <v>3430</v>
      </c>
      <c r="B468" s="43" t="s">
        <v>1534</v>
      </c>
      <c r="C468" s="43" t="s">
        <v>1534</v>
      </c>
      <c r="D468" s="45" t="s">
        <v>2952</v>
      </c>
      <c r="E468" s="45" t="s">
        <v>2953</v>
      </c>
      <c r="F468" s="58" t="s">
        <v>1534</v>
      </c>
      <c r="G468" s="50"/>
      <c r="H468" s="50"/>
      <c r="I468" s="50"/>
      <c r="J468" s="40">
        <f>COUNTIF(System_configuration!B:B,A468)</f>
        <v>0</v>
      </c>
    </row>
    <row r="469" spans="1:10" s="29" customFormat="1" x14ac:dyDescent="0.2">
      <c r="A469" s="86" t="s">
        <v>3431</v>
      </c>
      <c r="B469" s="43" t="s">
        <v>1534</v>
      </c>
      <c r="C469" s="43" t="s">
        <v>1534</v>
      </c>
      <c r="D469" s="45" t="s">
        <v>2955</v>
      </c>
      <c r="E469" s="45" t="s">
        <v>2956</v>
      </c>
      <c r="F469" s="58" t="s">
        <v>1534</v>
      </c>
      <c r="G469" s="50"/>
      <c r="H469" s="50"/>
      <c r="I469" s="50"/>
      <c r="J469" s="40">
        <f>COUNTIF(System_configuration!B:B,A469)</f>
        <v>0</v>
      </c>
    </row>
    <row r="470" spans="1:10" s="29" customFormat="1" x14ac:dyDescent="0.2">
      <c r="A470" s="86" t="s">
        <v>3432</v>
      </c>
      <c r="B470" s="43" t="s">
        <v>1534</v>
      </c>
      <c r="C470" s="43" t="s">
        <v>1534</v>
      </c>
      <c r="D470" s="45" t="s">
        <v>2958</v>
      </c>
      <c r="E470" s="45" t="s">
        <v>2959</v>
      </c>
      <c r="F470" s="58" t="s">
        <v>1534</v>
      </c>
      <c r="G470" s="50"/>
      <c r="H470" s="50"/>
      <c r="I470" s="50"/>
      <c r="J470" s="40">
        <f>COUNTIF(System_configuration!B:B,A470)</f>
        <v>0</v>
      </c>
    </row>
    <row r="471" spans="1:10" s="29" customFormat="1" x14ac:dyDescent="0.2">
      <c r="A471" s="86" t="s">
        <v>3433</v>
      </c>
      <c r="B471" s="43" t="s">
        <v>1534</v>
      </c>
      <c r="C471" s="43" t="s">
        <v>1534</v>
      </c>
      <c r="D471" s="45" t="s">
        <v>2961</v>
      </c>
      <c r="E471" s="45" t="s">
        <v>2962</v>
      </c>
      <c r="F471" s="58" t="s">
        <v>1534</v>
      </c>
      <c r="G471" s="50"/>
      <c r="H471" s="50"/>
      <c r="I471" s="50"/>
      <c r="J471" s="40">
        <f>COUNTIF(System_configuration!B:B,A471)</f>
        <v>0</v>
      </c>
    </row>
    <row r="472" spans="1:10" s="29" customFormat="1" x14ac:dyDescent="0.2">
      <c r="A472" s="86" t="s">
        <v>3434</v>
      </c>
      <c r="B472" s="43" t="s">
        <v>1534</v>
      </c>
      <c r="C472" s="43" t="s">
        <v>1534</v>
      </c>
      <c r="D472" s="45" t="s">
        <v>2964</v>
      </c>
      <c r="E472" s="45" t="s">
        <v>2965</v>
      </c>
      <c r="F472" s="58" t="s">
        <v>1534</v>
      </c>
      <c r="G472" s="50"/>
      <c r="H472" s="50"/>
      <c r="I472" s="50"/>
      <c r="J472" s="40">
        <f>COUNTIF(System_configuration!B:B,A472)</f>
        <v>0</v>
      </c>
    </row>
    <row r="473" spans="1:10" s="29" customFormat="1" x14ac:dyDescent="0.2">
      <c r="A473" s="86" t="s">
        <v>3435</v>
      </c>
      <c r="B473" s="43" t="s">
        <v>1534</v>
      </c>
      <c r="C473" s="43" t="s">
        <v>1534</v>
      </c>
      <c r="D473" s="45" t="s">
        <v>2967</v>
      </c>
      <c r="E473" s="45" t="s">
        <v>2968</v>
      </c>
      <c r="F473" s="58" t="s">
        <v>1534</v>
      </c>
      <c r="G473" s="50"/>
      <c r="H473" s="50"/>
      <c r="I473" s="50"/>
      <c r="J473" s="40">
        <f>COUNTIF(System_configuration!B:B,A473)</f>
        <v>0</v>
      </c>
    </row>
    <row r="474" spans="1:10" s="29" customFormat="1" x14ac:dyDescent="0.2">
      <c r="A474" s="86" t="s">
        <v>3436</v>
      </c>
      <c r="B474" s="43" t="s">
        <v>1534</v>
      </c>
      <c r="C474" s="43" t="s">
        <v>1534</v>
      </c>
      <c r="D474" s="45" t="s">
        <v>2970</v>
      </c>
      <c r="E474" s="45" t="s">
        <v>2971</v>
      </c>
      <c r="F474" s="58" t="s">
        <v>1534</v>
      </c>
      <c r="G474" s="50"/>
      <c r="H474" s="50"/>
      <c r="I474" s="50"/>
      <c r="J474" s="40">
        <f>COUNTIF(System_configuration!B:B,A474)</f>
        <v>0</v>
      </c>
    </row>
    <row r="475" spans="1:10" s="29" customFormat="1" x14ac:dyDescent="0.2">
      <c r="A475" s="86" t="s">
        <v>3437</v>
      </c>
      <c r="B475" s="43" t="s">
        <v>1534</v>
      </c>
      <c r="C475" s="43" t="s">
        <v>1534</v>
      </c>
      <c r="D475" s="45" t="s">
        <v>3273</v>
      </c>
      <c r="E475" s="45" t="s">
        <v>3274</v>
      </c>
      <c r="F475" s="58" t="s">
        <v>1534</v>
      </c>
      <c r="G475" s="50"/>
      <c r="H475" s="50"/>
      <c r="I475" s="50"/>
      <c r="J475" s="40">
        <f>COUNTIF(System_configuration!B:B,A475)</f>
        <v>0</v>
      </c>
    </row>
    <row r="476" spans="1:10" s="29" customFormat="1" x14ac:dyDescent="0.2">
      <c r="A476" s="86" t="s">
        <v>3438</v>
      </c>
      <c r="B476" s="43" t="s">
        <v>1534</v>
      </c>
      <c r="C476" s="43" t="s">
        <v>1534</v>
      </c>
      <c r="D476" s="45" t="s">
        <v>3365</v>
      </c>
      <c r="E476" s="45" t="s">
        <v>3366</v>
      </c>
      <c r="F476" s="58" t="s">
        <v>1534</v>
      </c>
      <c r="G476" s="50"/>
      <c r="H476" s="50"/>
      <c r="I476" s="50"/>
      <c r="J476" s="40">
        <f>COUNTIF(System_configuration!B:B,A476)</f>
        <v>0</v>
      </c>
    </row>
    <row r="477" spans="1:10" s="29" customFormat="1" x14ac:dyDescent="0.2">
      <c r="A477" s="86" t="s">
        <v>3439</v>
      </c>
      <c r="B477" s="43" t="s">
        <v>1534</v>
      </c>
      <c r="C477" s="43" t="s">
        <v>1534</v>
      </c>
      <c r="D477" s="45" t="s">
        <v>2976</v>
      </c>
      <c r="E477" s="45" t="s">
        <v>2977</v>
      </c>
      <c r="F477" s="58" t="s">
        <v>1534</v>
      </c>
      <c r="G477" s="50"/>
      <c r="H477" s="50"/>
      <c r="I477" s="50"/>
      <c r="J477" s="40">
        <f>COUNTIF(System_configuration!B:B,A477)</f>
        <v>0</v>
      </c>
    </row>
    <row r="478" spans="1:10" s="29" customFormat="1" x14ac:dyDescent="0.2">
      <c r="A478" s="86" t="s">
        <v>3440</v>
      </c>
      <c r="B478" s="43" t="s">
        <v>1534</v>
      </c>
      <c r="C478" s="43" t="s">
        <v>1534</v>
      </c>
      <c r="D478" s="45" t="s">
        <v>2979</v>
      </c>
      <c r="E478" s="45" t="s">
        <v>2980</v>
      </c>
      <c r="F478" s="58" t="s">
        <v>1534</v>
      </c>
      <c r="G478" s="50"/>
      <c r="H478" s="50"/>
      <c r="I478" s="50"/>
      <c r="J478" s="40">
        <f>COUNTIF(System_configuration!B:B,A478)</f>
        <v>0</v>
      </c>
    </row>
    <row r="479" spans="1:10" s="29" customFormat="1" x14ac:dyDescent="0.2">
      <c r="A479" s="86" t="s">
        <v>3441</v>
      </c>
      <c r="B479" s="43" t="s">
        <v>1534</v>
      </c>
      <c r="C479" s="43" t="s">
        <v>1534</v>
      </c>
      <c r="D479" s="45" t="s">
        <v>2982</v>
      </c>
      <c r="E479" s="45" t="s">
        <v>2983</v>
      </c>
      <c r="F479" s="58" t="s">
        <v>1534</v>
      </c>
      <c r="G479" s="50"/>
      <c r="H479" s="50"/>
      <c r="I479" s="50"/>
      <c r="J479" s="40">
        <f>COUNTIF(System_configuration!B:B,A479)</f>
        <v>0</v>
      </c>
    </row>
    <row r="480" spans="1:10" s="29" customFormat="1" x14ac:dyDescent="0.2">
      <c r="A480" s="86" t="s">
        <v>3442</v>
      </c>
      <c r="B480" s="43" t="s">
        <v>1534</v>
      </c>
      <c r="C480" s="43" t="s">
        <v>1534</v>
      </c>
      <c r="D480" s="45" t="s">
        <v>2985</v>
      </c>
      <c r="E480" s="45" t="s">
        <v>2986</v>
      </c>
      <c r="F480" s="58" t="s">
        <v>1534</v>
      </c>
      <c r="G480" s="50"/>
      <c r="H480" s="50"/>
      <c r="I480" s="50"/>
      <c r="J480" s="40">
        <f>COUNTIF(System_configuration!B:B,A480)</f>
        <v>0</v>
      </c>
    </row>
    <row r="481" spans="1:10" s="29" customFormat="1" x14ac:dyDescent="0.2">
      <c r="A481" s="86" t="s">
        <v>3443</v>
      </c>
      <c r="B481" s="43" t="s">
        <v>1534</v>
      </c>
      <c r="C481" s="43" t="s">
        <v>1534</v>
      </c>
      <c r="D481" s="45" t="s">
        <v>2988</v>
      </c>
      <c r="E481" s="45" t="s">
        <v>2989</v>
      </c>
      <c r="F481" s="58" t="s">
        <v>1534</v>
      </c>
      <c r="G481" s="50"/>
      <c r="H481" s="50"/>
      <c r="I481" s="50"/>
      <c r="J481" s="40">
        <f>COUNTIF(System_configuration!B:B,A481)</f>
        <v>0</v>
      </c>
    </row>
    <row r="482" spans="1:10" s="29" customFormat="1" x14ac:dyDescent="0.2">
      <c r="A482" s="86" t="s">
        <v>704</v>
      </c>
      <c r="B482" s="45">
        <v>2000</v>
      </c>
      <c r="C482" s="45">
        <v>2000</v>
      </c>
      <c r="D482" s="45" t="s">
        <v>3444</v>
      </c>
      <c r="E482" s="45" t="s">
        <v>3445</v>
      </c>
      <c r="F482" s="45">
        <v>64</v>
      </c>
      <c r="G482" s="49" t="s">
        <v>3569</v>
      </c>
      <c r="H482" s="49" t="s">
        <v>3569</v>
      </c>
      <c r="I482" s="49" t="s">
        <v>3569</v>
      </c>
      <c r="J482" s="40">
        <f>COUNTIF(System_configuration!B:B,A482)</f>
        <v>0</v>
      </c>
    </row>
    <row r="483" spans="1:10" s="29" customFormat="1" x14ac:dyDescent="0.2">
      <c r="A483" s="86" t="s">
        <v>1047</v>
      </c>
      <c r="B483" s="45">
        <v>2000</v>
      </c>
      <c r="C483" s="45">
        <v>2000</v>
      </c>
      <c r="D483" s="45" t="s">
        <v>3446</v>
      </c>
      <c r="E483" s="45" t="s">
        <v>3447</v>
      </c>
      <c r="F483" s="45">
        <v>64</v>
      </c>
      <c r="G483" s="49" t="s">
        <v>3569</v>
      </c>
      <c r="H483" s="49" t="s">
        <v>3569</v>
      </c>
      <c r="I483" s="49" t="s">
        <v>3569</v>
      </c>
      <c r="J483" s="40">
        <f>COUNTIF(System_configuration!B:B,A483)</f>
        <v>0</v>
      </c>
    </row>
    <row r="484" spans="1:10" s="29" customFormat="1" x14ac:dyDescent="0.2">
      <c r="A484" s="86" t="s">
        <v>705</v>
      </c>
      <c r="B484" s="45">
        <v>2000</v>
      </c>
      <c r="C484" s="45">
        <v>2000</v>
      </c>
      <c r="D484" s="45" t="s">
        <v>3448</v>
      </c>
      <c r="E484" s="45" t="s">
        <v>3449</v>
      </c>
      <c r="F484" s="45">
        <v>64</v>
      </c>
      <c r="G484" s="49" t="s">
        <v>3569</v>
      </c>
      <c r="H484" s="49" t="s">
        <v>3569</v>
      </c>
      <c r="I484" s="49" t="s">
        <v>3569</v>
      </c>
      <c r="J484" s="40">
        <f>COUNTIF(System_configuration!B:B,A484)</f>
        <v>0</v>
      </c>
    </row>
    <row r="485" spans="1:10" s="29" customFormat="1" x14ac:dyDescent="0.2">
      <c r="A485" s="86" t="s">
        <v>1048</v>
      </c>
      <c r="B485" s="45">
        <v>2000</v>
      </c>
      <c r="C485" s="45">
        <v>2000</v>
      </c>
      <c r="D485" s="45" t="s">
        <v>3450</v>
      </c>
      <c r="E485" s="45" t="s">
        <v>3451</v>
      </c>
      <c r="F485" s="45">
        <v>64</v>
      </c>
      <c r="G485" s="49" t="s">
        <v>3569</v>
      </c>
      <c r="H485" s="49" t="s">
        <v>3569</v>
      </c>
      <c r="I485" s="49" t="s">
        <v>3569</v>
      </c>
      <c r="J485" s="40">
        <f>COUNTIF(System_configuration!B:B,A485)</f>
        <v>0</v>
      </c>
    </row>
    <row r="486" spans="1:10" s="29" customFormat="1" x14ac:dyDescent="0.2">
      <c r="A486" s="86" t="s">
        <v>706</v>
      </c>
      <c r="B486" s="45">
        <v>2000</v>
      </c>
      <c r="C486" s="45">
        <v>2000</v>
      </c>
      <c r="D486" s="45" t="s">
        <v>3452</v>
      </c>
      <c r="E486" s="45" t="s">
        <v>3453</v>
      </c>
      <c r="F486" s="45">
        <v>64</v>
      </c>
      <c r="G486" s="49" t="s">
        <v>3569</v>
      </c>
      <c r="H486" s="49" t="s">
        <v>3569</v>
      </c>
      <c r="I486" s="49" t="s">
        <v>3569</v>
      </c>
      <c r="J486" s="40">
        <f>COUNTIF(System_configuration!B:B,A486)</f>
        <v>0</v>
      </c>
    </row>
    <row r="487" spans="1:10" s="29" customFormat="1" x14ac:dyDescent="0.2">
      <c r="A487" s="86" t="s">
        <v>1049</v>
      </c>
      <c r="B487" s="45">
        <v>2000</v>
      </c>
      <c r="C487" s="45">
        <v>2000</v>
      </c>
      <c r="D487" s="45" t="s">
        <v>3454</v>
      </c>
      <c r="E487" s="45" t="s">
        <v>3455</v>
      </c>
      <c r="F487" s="45">
        <v>64</v>
      </c>
      <c r="G487" s="49" t="s">
        <v>3569</v>
      </c>
      <c r="H487" s="49" t="s">
        <v>3569</v>
      </c>
      <c r="I487" s="49" t="s">
        <v>3569</v>
      </c>
      <c r="J487" s="40">
        <f>COUNTIF(System_configuration!B:B,A487)</f>
        <v>0</v>
      </c>
    </row>
    <row r="488" spans="1:10" s="29" customFormat="1" x14ac:dyDescent="0.2">
      <c r="A488" s="86" t="s">
        <v>707</v>
      </c>
      <c r="B488" s="45">
        <v>2000</v>
      </c>
      <c r="C488" s="45">
        <v>2000</v>
      </c>
      <c r="D488" s="45" t="s">
        <v>3456</v>
      </c>
      <c r="E488" s="45" t="s">
        <v>3457</v>
      </c>
      <c r="F488" s="45">
        <v>64</v>
      </c>
      <c r="G488" s="49" t="s">
        <v>3569</v>
      </c>
      <c r="H488" s="49" t="s">
        <v>3569</v>
      </c>
      <c r="I488" s="49" t="s">
        <v>3569</v>
      </c>
      <c r="J488" s="40">
        <f>COUNTIF(System_configuration!B:B,A488)</f>
        <v>0</v>
      </c>
    </row>
    <row r="489" spans="1:10" s="29" customFormat="1" x14ac:dyDescent="0.2">
      <c r="A489" s="86" t="s">
        <v>1050</v>
      </c>
      <c r="B489" s="45">
        <v>2000</v>
      </c>
      <c r="C489" s="45">
        <v>2000</v>
      </c>
      <c r="D489" s="45" t="s">
        <v>3458</v>
      </c>
      <c r="E489" s="45" t="s">
        <v>3459</v>
      </c>
      <c r="F489" s="45">
        <v>64</v>
      </c>
      <c r="G489" s="49" t="s">
        <v>3569</v>
      </c>
      <c r="H489" s="49" t="s">
        <v>3569</v>
      </c>
      <c r="I489" s="49" t="s">
        <v>3569</v>
      </c>
      <c r="J489" s="40">
        <f>COUNTIF(System_configuration!B:B,A489)</f>
        <v>0</v>
      </c>
    </row>
    <row r="490" spans="1:10" s="29" customFormat="1" x14ac:dyDescent="0.2">
      <c r="A490" s="86" t="s">
        <v>708</v>
      </c>
      <c r="B490" s="45">
        <v>2000</v>
      </c>
      <c r="C490" s="45">
        <v>2000</v>
      </c>
      <c r="D490" s="45" t="s">
        <v>3460</v>
      </c>
      <c r="E490" s="45" t="s">
        <v>3461</v>
      </c>
      <c r="F490" s="45">
        <v>64</v>
      </c>
      <c r="G490" s="49" t="s">
        <v>3569</v>
      </c>
      <c r="H490" s="49" t="s">
        <v>3569</v>
      </c>
      <c r="I490" s="49" t="s">
        <v>3569</v>
      </c>
      <c r="J490" s="40">
        <f>COUNTIF(System_configuration!B:B,A490)</f>
        <v>0</v>
      </c>
    </row>
    <row r="491" spans="1:10" s="29" customFormat="1" x14ac:dyDescent="0.2">
      <c r="A491" s="86" t="s">
        <v>709</v>
      </c>
      <c r="B491" s="45">
        <v>2000</v>
      </c>
      <c r="C491" s="45">
        <v>2000</v>
      </c>
      <c r="D491" s="45" t="s">
        <v>3462</v>
      </c>
      <c r="E491" s="45" t="s">
        <v>3463</v>
      </c>
      <c r="F491" s="45">
        <v>64</v>
      </c>
      <c r="G491" s="49" t="s">
        <v>3569</v>
      </c>
      <c r="H491" s="49" t="s">
        <v>3569</v>
      </c>
      <c r="I491" s="49" t="s">
        <v>3569</v>
      </c>
      <c r="J491" s="40">
        <f>COUNTIF(System_configuration!B:B,A491)</f>
        <v>0</v>
      </c>
    </row>
    <row r="492" spans="1:10" s="29" customFormat="1" x14ac:dyDescent="0.2">
      <c r="A492" s="86" t="s">
        <v>3464</v>
      </c>
      <c r="B492" s="45">
        <v>2000</v>
      </c>
      <c r="C492" s="45">
        <v>2000</v>
      </c>
      <c r="D492" s="45" t="s">
        <v>3465</v>
      </c>
      <c r="E492" s="45" t="s">
        <v>3466</v>
      </c>
      <c r="F492" s="45">
        <v>71</v>
      </c>
      <c r="G492" s="49" t="s">
        <v>3569</v>
      </c>
      <c r="H492" s="49" t="s">
        <v>3569</v>
      </c>
      <c r="I492" s="49" t="s">
        <v>3569</v>
      </c>
      <c r="J492" s="40">
        <f>COUNTIF(System_configuration!B:B,A492)</f>
        <v>0</v>
      </c>
    </row>
    <row r="493" spans="1:10" s="29" customFormat="1" x14ac:dyDescent="0.2">
      <c r="A493" s="86" t="s">
        <v>222</v>
      </c>
      <c r="B493" s="45">
        <v>2000</v>
      </c>
      <c r="C493" s="43" t="s">
        <v>1534</v>
      </c>
      <c r="D493" s="45" t="s">
        <v>244</v>
      </c>
      <c r="E493" s="45" t="s">
        <v>3467</v>
      </c>
      <c r="F493" s="45">
        <v>59</v>
      </c>
      <c r="G493" s="49" t="s">
        <v>3569</v>
      </c>
      <c r="H493" s="49" t="s">
        <v>3569</v>
      </c>
      <c r="I493" s="49" t="s">
        <v>3569</v>
      </c>
      <c r="J493" s="40">
        <f>COUNTIF(System_configuration!B:B,A493)</f>
        <v>0</v>
      </c>
    </row>
    <row r="494" spans="1:10" s="29" customFormat="1" x14ac:dyDescent="0.2">
      <c r="A494" s="86" t="s">
        <v>223</v>
      </c>
      <c r="B494" s="45">
        <v>2000</v>
      </c>
      <c r="C494" s="43" t="s">
        <v>1534</v>
      </c>
      <c r="D494" s="45" t="s">
        <v>3468</v>
      </c>
      <c r="E494" s="45" t="s">
        <v>3469</v>
      </c>
      <c r="F494" s="45">
        <v>59</v>
      </c>
      <c r="G494" s="49" t="s">
        <v>3569</v>
      </c>
      <c r="H494" s="49" t="s">
        <v>3569</v>
      </c>
      <c r="I494" s="49" t="s">
        <v>3569</v>
      </c>
      <c r="J494" s="40">
        <f>COUNTIF(System_configuration!B:B,A494)</f>
        <v>0</v>
      </c>
    </row>
    <row r="495" spans="1:10" s="29" customFormat="1" x14ac:dyDescent="0.2">
      <c r="A495" s="86" t="s">
        <v>1051</v>
      </c>
      <c r="B495" s="43" t="s">
        <v>1534</v>
      </c>
      <c r="C495" s="45">
        <v>2000</v>
      </c>
      <c r="D495" s="45" t="s">
        <v>1103</v>
      </c>
      <c r="E495" s="45" t="s">
        <v>3470</v>
      </c>
      <c r="F495" s="45">
        <v>59</v>
      </c>
      <c r="G495" s="49" t="s">
        <v>3569</v>
      </c>
      <c r="H495" s="49" t="s">
        <v>3569</v>
      </c>
      <c r="I495" s="49" t="s">
        <v>3569</v>
      </c>
      <c r="J495" s="40">
        <f>COUNTIF(System_configuration!B:B,A495)</f>
        <v>0</v>
      </c>
    </row>
    <row r="496" spans="1:10" s="29" customFormat="1" x14ac:dyDescent="0.2">
      <c r="A496" s="86" t="s">
        <v>1052</v>
      </c>
      <c r="B496" s="43" t="s">
        <v>1534</v>
      </c>
      <c r="C496" s="45">
        <v>2000</v>
      </c>
      <c r="D496" s="45" t="s">
        <v>3471</v>
      </c>
      <c r="E496" s="45" t="s">
        <v>3472</v>
      </c>
      <c r="F496" s="45">
        <v>59</v>
      </c>
      <c r="G496" s="49" t="s">
        <v>3569</v>
      </c>
      <c r="H496" s="49" t="s">
        <v>3569</v>
      </c>
      <c r="I496" s="49" t="s">
        <v>3569</v>
      </c>
      <c r="J496" s="40">
        <f>COUNTIF(System_configuration!B:B,A496)</f>
        <v>0</v>
      </c>
    </row>
    <row r="497" spans="1:10" s="29" customFormat="1" x14ac:dyDescent="0.2">
      <c r="A497" s="86" t="s">
        <v>3473</v>
      </c>
      <c r="B497" s="43" t="s">
        <v>1534</v>
      </c>
      <c r="C497" s="43" t="s">
        <v>1534</v>
      </c>
      <c r="D497" s="45" t="s">
        <v>3474</v>
      </c>
      <c r="E497" s="45" t="s">
        <v>3475</v>
      </c>
      <c r="F497" s="45">
        <v>19</v>
      </c>
      <c r="G497" s="50"/>
      <c r="H497" s="50"/>
      <c r="I497" s="50"/>
      <c r="J497" s="40">
        <f>COUNTIF(System_configuration!B:B,A497)</f>
        <v>0</v>
      </c>
    </row>
    <row r="498" spans="1:10" s="29" customFormat="1" x14ac:dyDescent="0.2">
      <c r="A498" s="86" t="s">
        <v>3476</v>
      </c>
      <c r="B498" s="43" t="s">
        <v>1534</v>
      </c>
      <c r="C498" s="43" t="s">
        <v>1534</v>
      </c>
      <c r="D498" s="45" t="s">
        <v>3477</v>
      </c>
      <c r="E498" s="45" t="s">
        <v>3478</v>
      </c>
      <c r="F498" s="45">
        <v>19</v>
      </c>
      <c r="G498" s="50"/>
      <c r="H498" s="50"/>
      <c r="I498" s="50"/>
      <c r="J498" s="40">
        <f>COUNTIF(System_configuration!B:B,A498)</f>
        <v>0</v>
      </c>
    </row>
    <row r="499" spans="1:10" s="29" customFormat="1" x14ac:dyDescent="0.2">
      <c r="A499" s="86" t="s">
        <v>3479</v>
      </c>
      <c r="B499" s="43" t="s">
        <v>1534</v>
      </c>
      <c r="C499" s="43" t="s">
        <v>1534</v>
      </c>
      <c r="D499" s="45" t="s">
        <v>3480</v>
      </c>
      <c r="E499" s="45" t="s">
        <v>3481</v>
      </c>
      <c r="F499" s="45">
        <v>19</v>
      </c>
      <c r="G499" s="50"/>
      <c r="H499" s="50"/>
      <c r="I499" s="50"/>
      <c r="J499" s="40">
        <f>COUNTIF(System_configuration!B:B,A499)</f>
        <v>0</v>
      </c>
    </row>
    <row r="500" spans="1:10" s="29" customFormat="1" x14ac:dyDescent="0.2">
      <c r="A500" s="86" t="s">
        <v>3482</v>
      </c>
      <c r="B500" s="43" t="s">
        <v>1534</v>
      </c>
      <c r="C500" s="43" t="s">
        <v>1534</v>
      </c>
      <c r="D500" s="45" t="s">
        <v>3483</v>
      </c>
      <c r="E500" s="45" t="s">
        <v>3484</v>
      </c>
      <c r="F500" s="45">
        <v>19</v>
      </c>
      <c r="G500" s="50"/>
      <c r="H500" s="50"/>
      <c r="I500" s="50"/>
      <c r="J500" s="40">
        <f>COUNTIF(System_configuration!B:B,A500)</f>
        <v>0</v>
      </c>
    </row>
    <row r="501" spans="1:10" s="29" customFormat="1" x14ac:dyDescent="0.2">
      <c r="A501" s="86" t="s">
        <v>3485</v>
      </c>
      <c r="B501" s="43" t="s">
        <v>1534</v>
      </c>
      <c r="C501" s="43" t="s">
        <v>1534</v>
      </c>
      <c r="D501" s="45" t="s">
        <v>3486</v>
      </c>
      <c r="E501" s="45" t="s">
        <v>3487</v>
      </c>
      <c r="F501" s="45">
        <v>19</v>
      </c>
      <c r="G501" s="50"/>
      <c r="H501" s="50"/>
      <c r="I501" s="50"/>
      <c r="J501" s="40">
        <f>COUNTIF(System_configuration!B:B,A501)</f>
        <v>0</v>
      </c>
    </row>
    <row r="502" spans="1:10" s="29" customFormat="1" x14ac:dyDescent="0.2">
      <c r="A502" s="86" t="s">
        <v>224</v>
      </c>
      <c r="B502" s="45">
        <v>2000</v>
      </c>
      <c r="C502" s="43" t="s">
        <v>1534</v>
      </c>
      <c r="D502" s="45" t="s">
        <v>245</v>
      </c>
      <c r="E502" s="45" t="s">
        <v>3488</v>
      </c>
      <c r="F502" s="45">
        <v>59</v>
      </c>
      <c r="G502" s="49" t="s">
        <v>3569</v>
      </c>
      <c r="H502" s="49" t="s">
        <v>3569</v>
      </c>
      <c r="I502" s="49" t="s">
        <v>3569</v>
      </c>
      <c r="J502" s="40">
        <f>COUNTIF(System_configuration!B:B,A502)</f>
        <v>0</v>
      </c>
    </row>
    <row r="503" spans="1:10" s="29" customFormat="1" x14ac:dyDescent="0.2">
      <c r="A503" s="86" t="s">
        <v>225</v>
      </c>
      <c r="B503" s="45">
        <v>2000</v>
      </c>
      <c r="C503" s="43" t="s">
        <v>1534</v>
      </c>
      <c r="D503" s="45" t="s">
        <v>3489</v>
      </c>
      <c r="E503" s="45" t="s">
        <v>3490</v>
      </c>
      <c r="F503" s="45">
        <v>59</v>
      </c>
      <c r="G503" s="49" t="s">
        <v>3569</v>
      </c>
      <c r="H503" s="49" t="s">
        <v>3569</v>
      </c>
      <c r="I503" s="49" t="s">
        <v>3569</v>
      </c>
      <c r="J503" s="40">
        <f>COUNTIF(System_configuration!B:B,A503)</f>
        <v>0</v>
      </c>
    </row>
    <row r="504" spans="1:10" s="29" customFormat="1" x14ac:dyDescent="0.2">
      <c r="A504" s="86" t="s">
        <v>226</v>
      </c>
      <c r="B504" s="45">
        <v>2000</v>
      </c>
      <c r="C504" s="43" t="s">
        <v>1534</v>
      </c>
      <c r="D504" s="45" t="s">
        <v>246</v>
      </c>
      <c r="E504" s="45" t="s">
        <v>3491</v>
      </c>
      <c r="F504" s="45">
        <v>59</v>
      </c>
      <c r="G504" s="49" t="s">
        <v>3569</v>
      </c>
      <c r="H504" s="49" t="s">
        <v>3569</v>
      </c>
      <c r="I504" s="49" t="s">
        <v>3569</v>
      </c>
      <c r="J504" s="40">
        <f>COUNTIF(System_configuration!B:B,A504)</f>
        <v>0</v>
      </c>
    </row>
    <row r="505" spans="1:10" s="29" customFormat="1" x14ac:dyDescent="0.2">
      <c r="A505" s="86" t="s">
        <v>227</v>
      </c>
      <c r="B505" s="45">
        <v>2000</v>
      </c>
      <c r="C505" s="43" t="s">
        <v>1534</v>
      </c>
      <c r="D505" s="45" t="s">
        <v>3492</v>
      </c>
      <c r="E505" s="45" t="s">
        <v>3493</v>
      </c>
      <c r="F505" s="45">
        <v>59</v>
      </c>
      <c r="G505" s="49" t="s">
        <v>3569</v>
      </c>
      <c r="H505" s="49" t="s">
        <v>3569</v>
      </c>
      <c r="I505" s="49" t="s">
        <v>3569</v>
      </c>
      <c r="J505" s="40">
        <f>COUNTIF(System_configuration!B:B,A505)</f>
        <v>0</v>
      </c>
    </row>
    <row r="506" spans="1:10" s="29" customFormat="1" x14ac:dyDescent="0.2">
      <c r="A506" s="86" t="s">
        <v>1053</v>
      </c>
      <c r="B506" s="43" t="s">
        <v>1534</v>
      </c>
      <c r="C506" s="45">
        <v>2000</v>
      </c>
      <c r="D506" s="45" t="s">
        <v>1104</v>
      </c>
      <c r="E506" s="45" t="s">
        <v>3494</v>
      </c>
      <c r="F506" s="45">
        <v>59</v>
      </c>
      <c r="G506" s="49" t="s">
        <v>3569</v>
      </c>
      <c r="H506" s="49" t="s">
        <v>3569</v>
      </c>
      <c r="I506" s="49" t="s">
        <v>3569</v>
      </c>
      <c r="J506" s="40">
        <f>COUNTIF(System_configuration!B:B,A506)</f>
        <v>0</v>
      </c>
    </row>
    <row r="507" spans="1:10" s="29" customFormat="1" x14ac:dyDescent="0.2">
      <c r="A507" s="86" t="s">
        <v>1054</v>
      </c>
      <c r="B507" s="43" t="s">
        <v>1534</v>
      </c>
      <c r="C507" s="45">
        <v>2000</v>
      </c>
      <c r="D507" s="45" t="s">
        <v>3495</v>
      </c>
      <c r="E507" s="45" t="s">
        <v>3496</v>
      </c>
      <c r="F507" s="45">
        <v>59</v>
      </c>
      <c r="G507" s="49" t="s">
        <v>3569</v>
      </c>
      <c r="H507" s="49" t="s">
        <v>3569</v>
      </c>
      <c r="I507" s="49" t="s">
        <v>3569</v>
      </c>
      <c r="J507" s="40">
        <f>COUNTIF(System_configuration!B:B,A507)</f>
        <v>0</v>
      </c>
    </row>
    <row r="508" spans="1:10" s="29" customFormat="1" x14ac:dyDescent="0.2">
      <c r="A508" s="86" t="s">
        <v>1055</v>
      </c>
      <c r="B508" s="43" t="s">
        <v>1534</v>
      </c>
      <c r="C508" s="45">
        <v>2000</v>
      </c>
      <c r="D508" s="45" t="s">
        <v>1105</v>
      </c>
      <c r="E508" s="45" t="s">
        <v>3497</v>
      </c>
      <c r="F508" s="45">
        <v>59</v>
      </c>
      <c r="G508" s="49" t="s">
        <v>3569</v>
      </c>
      <c r="H508" s="49" t="s">
        <v>3569</v>
      </c>
      <c r="I508" s="49" t="s">
        <v>3569</v>
      </c>
      <c r="J508" s="40">
        <f>COUNTIF(System_configuration!B:B,A508)</f>
        <v>0</v>
      </c>
    </row>
    <row r="509" spans="1:10" s="29" customFormat="1" x14ac:dyDescent="0.2">
      <c r="A509" s="86" t="s">
        <v>1056</v>
      </c>
      <c r="B509" s="43" t="s">
        <v>1534</v>
      </c>
      <c r="C509" s="45">
        <v>2000</v>
      </c>
      <c r="D509" s="45" t="s">
        <v>3498</v>
      </c>
      <c r="E509" s="45" t="s">
        <v>3499</v>
      </c>
      <c r="F509" s="45">
        <v>59</v>
      </c>
      <c r="G509" s="49" t="s">
        <v>3569</v>
      </c>
      <c r="H509" s="49" t="s">
        <v>3569</v>
      </c>
      <c r="I509" s="49" t="s">
        <v>3569</v>
      </c>
      <c r="J509" s="40">
        <f>COUNTIF(System_configuration!B:B,A509)</f>
        <v>0</v>
      </c>
    </row>
    <row r="510" spans="1:10" s="29" customFormat="1" x14ac:dyDescent="0.2">
      <c r="A510" s="86" t="s">
        <v>228</v>
      </c>
      <c r="B510" s="45">
        <v>2000</v>
      </c>
      <c r="C510" s="43" t="s">
        <v>1534</v>
      </c>
      <c r="D510" s="45" t="s">
        <v>247</v>
      </c>
      <c r="E510" s="45" t="s">
        <v>3500</v>
      </c>
      <c r="F510" s="45">
        <v>59</v>
      </c>
      <c r="G510" s="49" t="s">
        <v>3569</v>
      </c>
      <c r="H510" s="49" t="s">
        <v>3569</v>
      </c>
      <c r="I510" s="49" t="s">
        <v>3569</v>
      </c>
      <c r="J510" s="40">
        <f>COUNTIF(System_configuration!B:B,A510)</f>
        <v>0</v>
      </c>
    </row>
    <row r="511" spans="1:10" s="29" customFormat="1" x14ac:dyDescent="0.2">
      <c r="A511" s="86" t="s">
        <v>229</v>
      </c>
      <c r="B511" s="45">
        <v>2000</v>
      </c>
      <c r="C511" s="43" t="s">
        <v>1534</v>
      </c>
      <c r="D511" s="45" t="s">
        <v>3501</v>
      </c>
      <c r="E511" s="45" t="s">
        <v>3502</v>
      </c>
      <c r="F511" s="45">
        <v>59</v>
      </c>
      <c r="G511" s="49" t="s">
        <v>3569</v>
      </c>
      <c r="H511" s="49" t="s">
        <v>3569</v>
      </c>
      <c r="I511" s="49" t="s">
        <v>3569</v>
      </c>
      <c r="J511" s="40">
        <f>COUNTIF(System_configuration!B:B,A511)</f>
        <v>0</v>
      </c>
    </row>
    <row r="512" spans="1:10" s="29" customFormat="1" x14ac:dyDescent="0.2">
      <c r="A512" s="86" t="s">
        <v>230</v>
      </c>
      <c r="B512" s="45">
        <v>2000</v>
      </c>
      <c r="C512" s="43" t="s">
        <v>1534</v>
      </c>
      <c r="D512" s="45" t="s">
        <v>3503</v>
      </c>
      <c r="E512" s="45" t="s">
        <v>3504</v>
      </c>
      <c r="F512" s="45">
        <v>59</v>
      </c>
      <c r="G512" s="49" t="s">
        <v>3569</v>
      </c>
      <c r="H512" s="49" t="s">
        <v>3569</v>
      </c>
      <c r="I512" s="49" t="s">
        <v>3569</v>
      </c>
      <c r="J512" s="40">
        <f>COUNTIF(System_configuration!B:B,A512)</f>
        <v>0</v>
      </c>
    </row>
    <row r="513" spans="1:10" s="29" customFormat="1" x14ac:dyDescent="0.2">
      <c r="A513" s="86" t="s">
        <v>231</v>
      </c>
      <c r="B513" s="45">
        <v>2000</v>
      </c>
      <c r="C513" s="43" t="s">
        <v>1534</v>
      </c>
      <c r="D513" s="45" t="s">
        <v>248</v>
      </c>
      <c r="E513" s="45" t="s">
        <v>3505</v>
      </c>
      <c r="F513" s="45">
        <v>59</v>
      </c>
      <c r="G513" s="49" t="s">
        <v>3569</v>
      </c>
      <c r="H513" s="49" t="s">
        <v>3569</v>
      </c>
      <c r="I513" s="49" t="s">
        <v>3569</v>
      </c>
      <c r="J513" s="40">
        <f>COUNTIF(System_configuration!B:B,A513)</f>
        <v>0</v>
      </c>
    </row>
    <row r="514" spans="1:10" s="29" customFormat="1" x14ac:dyDescent="0.2">
      <c r="A514" s="86" t="s">
        <v>232</v>
      </c>
      <c r="B514" s="45">
        <v>2000</v>
      </c>
      <c r="C514" s="43" t="s">
        <v>1534</v>
      </c>
      <c r="D514" s="45" t="s">
        <v>3506</v>
      </c>
      <c r="E514" s="45" t="s">
        <v>3507</v>
      </c>
      <c r="F514" s="45">
        <v>59</v>
      </c>
      <c r="G514" s="49" t="s">
        <v>3569</v>
      </c>
      <c r="H514" s="49" t="s">
        <v>3569</v>
      </c>
      <c r="I514" s="49" t="s">
        <v>3569</v>
      </c>
      <c r="J514" s="40">
        <f>COUNTIF(System_configuration!B:B,A514)</f>
        <v>0</v>
      </c>
    </row>
    <row r="515" spans="1:10" s="29" customFormat="1" x14ac:dyDescent="0.2">
      <c r="A515" s="86" t="s">
        <v>233</v>
      </c>
      <c r="B515" s="45">
        <v>2000</v>
      </c>
      <c r="C515" s="43" t="s">
        <v>1534</v>
      </c>
      <c r="D515" s="45" t="s">
        <v>3508</v>
      </c>
      <c r="E515" s="45" t="s">
        <v>3509</v>
      </c>
      <c r="F515" s="45">
        <v>59</v>
      </c>
      <c r="G515" s="49" t="s">
        <v>3569</v>
      </c>
      <c r="H515" s="49" t="s">
        <v>3569</v>
      </c>
      <c r="I515" s="49" t="s">
        <v>3569</v>
      </c>
      <c r="J515" s="40">
        <f>COUNTIF(System_configuration!B:B,A515)</f>
        <v>0</v>
      </c>
    </row>
    <row r="516" spans="1:10" s="29" customFormat="1" x14ac:dyDescent="0.2">
      <c r="A516" s="86" t="s">
        <v>1057</v>
      </c>
      <c r="B516" s="43" t="s">
        <v>1534</v>
      </c>
      <c r="C516" s="45">
        <v>2000</v>
      </c>
      <c r="D516" s="45" t="s">
        <v>1106</v>
      </c>
      <c r="E516" s="45" t="s">
        <v>3510</v>
      </c>
      <c r="F516" s="45">
        <v>59</v>
      </c>
      <c r="G516" s="49" t="s">
        <v>3569</v>
      </c>
      <c r="H516" s="49" t="s">
        <v>3569</v>
      </c>
      <c r="I516" s="49" t="s">
        <v>3569</v>
      </c>
      <c r="J516" s="40">
        <f>COUNTIF(System_configuration!B:B,A516)</f>
        <v>0</v>
      </c>
    </row>
    <row r="517" spans="1:10" s="29" customFormat="1" x14ac:dyDescent="0.2">
      <c r="A517" s="86" t="s">
        <v>1058</v>
      </c>
      <c r="B517" s="43" t="s">
        <v>1534</v>
      </c>
      <c r="C517" s="45">
        <v>2000</v>
      </c>
      <c r="D517" s="45" t="s">
        <v>3511</v>
      </c>
      <c r="E517" s="45" t="s">
        <v>3512</v>
      </c>
      <c r="F517" s="45">
        <v>59</v>
      </c>
      <c r="G517" s="49" t="s">
        <v>3569</v>
      </c>
      <c r="H517" s="49" t="s">
        <v>3569</v>
      </c>
      <c r="I517" s="49" t="s">
        <v>3569</v>
      </c>
      <c r="J517" s="40">
        <f>COUNTIF(System_configuration!B:B,A517)</f>
        <v>0</v>
      </c>
    </row>
    <row r="518" spans="1:10" s="29" customFormat="1" x14ac:dyDescent="0.2">
      <c r="A518" s="86" t="s">
        <v>1059</v>
      </c>
      <c r="B518" s="43" t="s">
        <v>1534</v>
      </c>
      <c r="C518" s="45">
        <v>2000</v>
      </c>
      <c r="D518" s="45" t="s">
        <v>3513</v>
      </c>
      <c r="E518" s="45" t="s">
        <v>3514</v>
      </c>
      <c r="F518" s="45">
        <v>59</v>
      </c>
      <c r="G518" s="49" t="s">
        <v>3569</v>
      </c>
      <c r="H518" s="49" t="s">
        <v>3569</v>
      </c>
      <c r="I518" s="49" t="s">
        <v>3569</v>
      </c>
      <c r="J518" s="40">
        <f>COUNTIF(System_configuration!B:B,A518)</f>
        <v>0</v>
      </c>
    </row>
    <row r="519" spans="1:10" s="29" customFormat="1" x14ac:dyDescent="0.2">
      <c r="A519" s="86" t="s">
        <v>1060</v>
      </c>
      <c r="B519" s="43" t="s">
        <v>1534</v>
      </c>
      <c r="C519" s="45">
        <v>2000</v>
      </c>
      <c r="D519" s="45" t="s">
        <v>1107</v>
      </c>
      <c r="E519" s="45" t="s">
        <v>3515</v>
      </c>
      <c r="F519" s="45">
        <v>59</v>
      </c>
      <c r="G519" s="49" t="s">
        <v>3569</v>
      </c>
      <c r="H519" s="49" t="s">
        <v>3569</v>
      </c>
      <c r="I519" s="49" t="s">
        <v>3569</v>
      </c>
      <c r="J519" s="40">
        <f>COUNTIF(System_configuration!B:B,A519)</f>
        <v>0</v>
      </c>
    </row>
    <row r="520" spans="1:10" s="29" customFormat="1" x14ac:dyDescent="0.2">
      <c r="A520" s="86" t="s">
        <v>1061</v>
      </c>
      <c r="B520" s="43" t="s">
        <v>1534</v>
      </c>
      <c r="C520" s="45">
        <v>2000</v>
      </c>
      <c r="D520" s="45" t="s">
        <v>3516</v>
      </c>
      <c r="E520" s="45" t="s">
        <v>3517</v>
      </c>
      <c r="F520" s="45">
        <v>59</v>
      </c>
      <c r="G520" s="49" t="s">
        <v>3569</v>
      </c>
      <c r="H520" s="49" t="s">
        <v>3569</v>
      </c>
      <c r="I520" s="49" t="s">
        <v>3569</v>
      </c>
      <c r="J520" s="40">
        <f>COUNTIF(System_configuration!B:B,A520)</f>
        <v>0</v>
      </c>
    </row>
    <row r="521" spans="1:10" s="29" customFormat="1" x14ac:dyDescent="0.2">
      <c r="A521" s="86" t="s">
        <v>1062</v>
      </c>
      <c r="B521" s="43" t="s">
        <v>1534</v>
      </c>
      <c r="C521" s="45">
        <v>2000</v>
      </c>
      <c r="D521" s="45" t="s">
        <v>3518</v>
      </c>
      <c r="E521" s="45" t="s">
        <v>3519</v>
      </c>
      <c r="F521" s="45">
        <v>59</v>
      </c>
      <c r="G521" s="49" t="s">
        <v>3569</v>
      </c>
      <c r="H521" s="49" t="s">
        <v>3569</v>
      </c>
      <c r="I521" s="49" t="s">
        <v>3569</v>
      </c>
      <c r="J521" s="40">
        <f>COUNTIF(System_configuration!B:B,A521)</f>
        <v>0</v>
      </c>
    </row>
    <row r="522" spans="1:10" s="29" customFormat="1" x14ac:dyDescent="0.2">
      <c r="A522" s="86" t="s">
        <v>3520</v>
      </c>
      <c r="B522" s="43" t="s">
        <v>1534</v>
      </c>
      <c r="C522" s="43" t="s">
        <v>1534</v>
      </c>
      <c r="D522" s="45" t="s">
        <v>3474</v>
      </c>
      <c r="E522" s="45" t="s">
        <v>3475</v>
      </c>
      <c r="F522" s="45">
        <v>19</v>
      </c>
      <c r="G522" s="50"/>
      <c r="H522" s="50"/>
      <c r="I522" s="50"/>
      <c r="J522" s="40">
        <f>COUNTIF(System_configuration!B:B,A522)</f>
        <v>0</v>
      </c>
    </row>
    <row r="523" spans="1:10" s="29" customFormat="1" x14ac:dyDescent="0.2">
      <c r="A523" s="86" t="s">
        <v>3521</v>
      </c>
      <c r="B523" s="43" t="s">
        <v>1534</v>
      </c>
      <c r="C523" s="43" t="s">
        <v>1534</v>
      </c>
      <c r="D523" s="45" t="s">
        <v>3477</v>
      </c>
      <c r="E523" s="45" t="s">
        <v>3522</v>
      </c>
      <c r="F523" s="45">
        <v>19</v>
      </c>
      <c r="G523" s="50"/>
      <c r="H523" s="50"/>
      <c r="I523" s="50"/>
      <c r="J523" s="40">
        <f>COUNTIF(System_configuration!B:B,A523)</f>
        <v>0</v>
      </c>
    </row>
    <row r="524" spans="1:10" s="29" customFormat="1" x14ac:dyDescent="0.2">
      <c r="A524" s="86" t="s">
        <v>3523</v>
      </c>
      <c r="B524" s="43" t="s">
        <v>1534</v>
      </c>
      <c r="C524" s="43" t="s">
        <v>1534</v>
      </c>
      <c r="D524" s="45" t="s">
        <v>3480</v>
      </c>
      <c r="E524" s="45" t="s">
        <v>3481</v>
      </c>
      <c r="F524" s="45">
        <v>19</v>
      </c>
      <c r="G524" s="50"/>
      <c r="H524" s="50"/>
      <c r="I524" s="50"/>
      <c r="J524" s="40">
        <f>COUNTIF(System_configuration!B:B,A524)</f>
        <v>0</v>
      </c>
    </row>
    <row r="525" spans="1:10" s="29" customFormat="1" x14ac:dyDescent="0.2">
      <c r="A525" s="86" t="s">
        <v>3524</v>
      </c>
      <c r="B525" s="43" t="s">
        <v>1534</v>
      </c>
      <c r="C525" s="43" t="s">
        <v>1534</v>
      </c>
      <c r="D525" s="45" t="s">
        <v>3483</v>
      </c>
      <c r="E525" s="45" t="s">
        <v>3484</v>
      </c>
      <c r="F525" s="45">
        <v>19</v>
      </c>
      <c r="G525" s="50"/>
      <c r="H525" s="50"/>
      <c r="I525" s="50"/>
      <c r="J525" s="40">
        <f>COUNTIF(System_configuration!B:B,A525)</f>
        <v>0</v>
      </c>
    </row>
    <row r="526" spans="1:10" s="29" customFormat="1" x14ac:dyDescent="0.2">
      <c r="A526" s="86" t="s">
        <v>3525</v>
      </c>
      <c r="B526" s="43" t="s">
        <v>1534</v>
      </c>
      <c r="C526" s="43" t="s">
        <v>1534</v>
      </c>
      <c r="D526" s="45" t="s">
        <v>3526</v>
      </c>
      <c r="E526" s="45" t="s">
        <v>3527</v>
      </c>
      <c r="F526" s="45">
        <v>19</v>
      </c>
      <c r="G526" s="50"/>
      <c r="H526" s="50"/>
      <c r="I526" s="50"/>
      <c r="J526" s="40">
        <f>COUNTIF(System_configuration!B:B,A526)</f>
        <v>0</v>
      </c>
    </row>
    <row r="527" spans="1:10" s="29" customFormat="1" x14ac:dyDescent="0.2">
      <c r="A527" s="86" t="s">
        <v>3528</v>
      </c>
      <c r="B527" s="43" t="s">
        <v>1534</v>
      </c>
      <c r="C527" s="43" t="s">
        <v>1534</v>
      </c>
      <c r="D527" s="45" t="s">
        <v>3529</v>
      </c>
      <c r="E527" s="45" t="s">
        <v>3530</v>
      </c>
      <c r="F527" s="58" t="s">
        <v>1534</v>
      </c>
      <c r="G527" s="50"/>
      <c r="H527" s="50"/>
      <c r="I527" s="50"/>
      <c r="J527" s="40">
        <f>COUNTIF(System_configuration!B:B,A527)</f>
        <v>0</v>
      </c>
    </row>
    <row r="528" spans="1:10" s="29" customFormat="1" x14ac:dyDescent="0.2">
      <c r="A528" s="86" t="s">
        <v>3531</v>
      </c>
      <c r="B528" s="45">
        <v>2000</v>
      </c>
      <c r="C528" s="45">
        <v>2000</v>
      </c>
      <c r="D528" s="45" t="s">
        <v>3532</v>
      </c>
      <c r="E528" s="45" t="s">
        <v>3533</v>
      </c>
      <c r="F528" s="45">
        <v>84</v>
      </c>
      <c r="G528" s="49" t="s">
        <v>3569</v>
      </c>
      <c r="H528" s="49" t="s">
        <v>3569</v>
      </c>
      <c r="I528" s="49" t="s">
        <v>3569</v>
      </c>
      <c r="J528" s="40">
        <f>COUNTIF(System_configuration!B:B,A528)</f>
        <v>0</v>
      </c>
    </row>
    <row r="529" spans="1:10" s="29" customFormat="1" x14ac:dyDescent="0.2">
      <c r="A529" s="86" t="s">
        <v>748</v>
      </c>
      <c r="B529" s="45">
        <v>2000</v>
      </c>
      <c r="C529" s="45">
        <v>2000</v>
      </c>
      <c r="D529" s="45" t="s">
        <v>3534</v>
      </c>
      <c r="E529" s="45" t="s">
        <v>3535</v>
      </c>
      <c r="F529" s="45">
        <v>84</v>
      </c>
      <c r="G529" s="49" t="s">
        <v>3569</v>
      </c>
      <c r="H529" s="49" t="s">
        <v>3569</v>
      </c>
      <c r="I529" s="49" t="s">
        <v>3569</v>
      </c>
      <c r="J529" s="40">
        <f>COUNTIF(System_configuration!B:B,A529)</f>
        <v>0</v>
      </c>
    </row>
    <row r="530" spans="1:10" s="29" customFormat="1" x14ac:dyDescent="0.2">
      <c r="A530" s="86" t="s">
        <v>749</v>
      </c>
      <c r="B530" s="45">
        <v>2000</v>
      </c>
      <c r="C530" s="45">
        <v>2000</v>
      </c>
      <c r="D530" s="45" t="s">
        <v>3536</v>
      </c>
      <c r="E530" s="45" t="s">
        <v>3537</v>
      </c>
      <c r="F530" s="45">
        <v>84</v>
      </c>
      <c r="G530" s="49" t="s">
        <v>3569</v>
      </c>
      <c r="H530" s="49" t="s">
        <v>3569</v>
      </c>
      <c r="I530" s="49" t="s">
        <v>3569</v>
      </c>
      <c r="J530" s="40">
        <f>COUNTIF(System_configuration!B:B,A530)</f>
        <v>0</v>
      </c>
    </row>
    <row r="531" spans="1:10" s="29" customFormat="1" x14ac:dyDescent="0.2">
      <c r="A531" s="86" t="s">
        <v>750</v>
      </c>
      <c r="B531" s="45">
        <v>2000</v>
      </c>
      <c r="C531" s="45">
        <v>2000</v>
      </c>
      <c r="D531" s="45" t="s">
        <v>3538</v>
      </c>
      <c r="E531" s="45" t="s">
        <v>3539</v>
      </c>
      <c r="F531" s="45">
        <v>84</v>
      </c>
      <c r="G531" s="49" t="s">
        <v>3569</v>
      </c>
      <c r="H531" s="49" t="s">
        <v>3569</v>
      </c>
      <c r="I531" s="49" t="s">
        <v>3569</v>
      </c>
      <c r="J531" s="40">
        <f>COUNTIF(System_configuration!B:B,A531)</f>
        <v>0</v>
      </c>
    </row>
    <row r="532" spans="1:10" s="29" customFormat="1" x14ac:dyDescent="0.2">
      <c r="A532" s="86" t="s">
        <v>3540</v>
      </c>
      <c r="B532" s="45">
        <v>2000</v>
      </c>
      <c r="C532" s="45">
        <v>2000</v>
      </c>
      <c r="D532" s="45" t="s">
        <v>3541</v>
      </c>
      <c r="E532" s="45" t="s">
        <v>3542</v>
      </c>
      <c r="F532" s="45">
        <v>84</v>
      </c>
      <c r="G532" s="49" t="s">
        <v>3569</v>
      </c>
      <c r="H532" s="49" t="s">
        <v>3569</v>
      </c>
      <c r="I532" s="49" t="s">
        <v>3569</v>
      </c>
      <c r="J532" s="40">
        <f>COUNTIF(System_configuration!B:B,A532)</f>
        <v>0</v>
      </c>
    </row>
    <row r="533" spans="1:10" s="29" customFormat="1" x14ac:dyDescent="0.2">
      <c r="A533" s="86" t="s">
        <v>3543</v>
      </c>
      <c r="B533" s="43" t="s">
        <v>1534</v>
      </c>
      <c r="C533" s="43" t="s">
        <v>1534</v>
      </c>
      <c r="D533" s="45" t="s">
        <v>2946</v>
      </c>
      <c r="E533" s="45" t="s">
        <v>2947</v>
      </c>
      <c r="F533" s="58" t="s">
        <v>1534</v>
      </c>
      <c r="G533" s="50"/>
      <c r="H533" s="50"/>
      <c r="I533" s="50"/>
      <c r="J533" s="40">
        <f>COUNTIF(System_configuration!B:B,A533)</f>
        <v>0</v>
      </c>
    </row>
    <row r="534" spans="1:10" s="29" customFormat="1" x14ac:dyDescent="0.2">
      <c r="A534" s="86" t="s">
        <v>3544</v>
      </c>
      <c r="B534" s="43" t="s">
        <v>1534</v>
      </c>
      <c r="C534" s="43" t="s">
        <v>1534</v>
      </c>
      <c r="D534" s="45" t="s">
        <v>2949</v>
      </c>
      <c r="E534" s="45" t="s">
        <v>2950</v>
      </c>
      <c r="F534" s="58" t="s">
        <v>1534</v>
      </c>
      <c r="G534" s="50"/>
      <c r="H534" s="50"/>
      <c r="I534" s="50"/>
      <c r="J534" s="40">
        <f>COUNTIF(System_configuration!B:B,A534)</f>
        <v>0</v>
      </c>
    </row>
    <row r="535" spans="1:10" s="29" customFormat="1" x14ac:dyDescent="0.2">
      <c r="A535" s="86" t="s">
        <v>3545</v>
      </c>
      <c r="B535" s="43" t="s">
        <v>1534</v>
      </c>
      <c r="C535" s="43" t="s">
        <v>1534</v>
      </c>
      <c r="D535" s="45" t="s">
        <v>2952</v>
      </c>
      <c r="E535" s="45" t="s">
        <v>2953</v>
      </c>
      <c r="F535" s="58" t="s">
        <v>1534</v>
      </c>
      <c r="G535" s="50"/>
      <c r="H535" s="50"/>
      <c r="I535" s="50"/>
      <c r="J535" s="40">
        <f>COUNTIF(System_configuration!B:B,A535)</f>
        <v>0</v>
      </c>
    </row>
    <row r="536" spans="1:10" s="29" customFormat="1" x14ac:dyDescent="0.2">
      <c r="A536" s="86" t="s">
        <v>3546</v>
      </c>
      <c r="B536" s="43" t="s">
        <v>1534</v>
      </c>
      <c r="C536" s="43" t="s">
        <v>1534</v>
      </c>
      <c r="D536" s="45" t="s">
        <v>2955</v>
      </c>
      <c r="E536" s="45" t="s">
        <v>2956</v>
      </c>
      <c r="F536" s="58" t="s">
        <v>1534</v>
      </c>
      <c r="G536" s="50"/>
      <c r="H536" s="50"/>
      <c r="I536" s="50"/>
      <c r="J536" s="40">
        <f>COUNTIF(System_configuration!B:B,A536)</f>
        <v>0</v>
      </c>
    </row>
    <row r="537" spans="1:10" s="29" customFormat="1" x14ac:dyDescent="0.2">
      <c r="A537" s="86" t="s">
        <v>3547</v>
      </c>
      <c r="B537" s="43" t="s">
        <v>1534</v>
      </c>
      <c r="C537" s="43" t="s">
        <v>1534</v>
      </c>
      <c r="D537" s="45" t="s">
        <v>2958</v>
      </c>
      <c r="E537" s="45" t="s">
        <v>2959</v>
      </c>
      <c r="F537" s="58" t="s">
        <v>1534</v>
      </c>
      <c r="G537" s="50"/>
      <c r="H537" s="50"/>
      <c r="I537" s="50"/>
      <c r="J537" s="40">
        <f>COUNTIF(System_configuration!B:B,A537)</f>
        <v>0</v>
      </c>
    </row>
    <row r="538" spans="1:10" s="29" customFormat="1" x14ac:dyDescent="0.2">
      <c r="A538" s="86" t="s">
        <v>3548</v>
      </c>
      <c r="B538" s="43" t="s">
        <v>1534</v>
      </c>
      <c r="C538" s="43" t="s">
        <v>1534</v>
      </c>
      <c r="D538" s="45" t="s">
        <v>2961</v>
      </c>
      <c r="E538" s="45" t="s">
        <v>2962</v>
      </c>
      <c r="F538" s="58" t="s">
        <v>1534</v>
      </c>
      <c r="G538" s="50"/>
      <c r="H538" s="50"/>
      <c r="I538" s="50"/>
      <c r="J538" s="40">
        <f>COUNTIF(System_configuration!B:B,A538)</f>
        <v>0</v>
      </c>
    </row>
    <row r="539" spans="1:10" s="29" customFormat="1" x14ac:dyDescent="0.2">
      <c r="A539" s="86" t="s">
        <v>3549</v>
      </c>
      <c r="B539" s="43" t="s">
        <v>1534</v>
      </c>
      <c r="C539" s="43" t="s">
        <v>1534</v>
      </c>
      <c r="D539" s="45" t="s">
        <v>2964</v>
      </c>
      <c r="E539" s="45" t="s">
        <v>2965</v>
      </c>
      <c r="F539" s="58" t="s">
        <v>1534</v>
      </c>
      <c r="G539" s="50"/>
      <c r="H539" s="50"/>
      <c r="I539" s="50"/>
      <c r="J539" s="40">
        <f>COUNTIF(System_configuration!B:B,A539)</f>
        <v>0</v>
      </c>
    </row>
    <row r="540" spans="1:10" s="29" customFormat="1" x14ac:dyDescent="0.2">
      <c r="A540" s="86" t="s">
        <v>3550</v>
      </c>
      <c r="B540" s="43" t="s">
        <v>1534</v>
      </c>
      <c r="C540" s="43" t="s">
        <v>1534</v>
      </c>
      <c r="D540" s="45" t="s">
        <v>2967</v>
      </c>
      <c r="E540" s="45" t="s">
        <v>2968</v>
      </c>
      <c r="F540" s="58" t="s">
        <v>1534</v>
      </c>
      <c r="G540" s="50"/>
      <c r="H540" s="50"/>
      <c r="I540" s="50"/>
      <c r="J540" s="40">
        <f>COUNTIF(System_configuration!B:B,A540)</f>
        <v>0</v>
      </c>
    </row>
    <row r="541" spans="1:10" s="29" customFormat="1" x14ac:dyDescent="0.2">
      <c r="A541" s="86" t="s">
        <v>3551</v>
      </c>
      <c r="B541" s="43" t="s">
        <v>1534</v>
      </c>
      <c r="C541" s="43" t="s">
        <v>1534</v>
      </c>
      <c r="D541" s="45" t="s">
        <v>3552</v>
      </c>
      <c r="E541" s="45" t="s">
        <v>3553</v>
      </c>
      <c r="F541" s="58" t="s">
        <v>1534</v>
      </c>
      <c r="G541" s="50"/>
      <c r="H541" s="50"/>
      <c r="I541" s="50"/>
      <c r="J541" s="40">
        <f>COUNTIF(System_configuration!B:B,A541)</f>
        <v>0</v>
      </c>
    </row>
    <row r="542" spans="1:10" s="29" customFormat="1" x14ac:dyDescent="0.2">
      <c r="A542" s="86" t="s">
        <v>3554</v>
      </c>
      <c r="B542" s="43" t="s">
        <v>1534</v>
      </c>
      <c r="C542" s="43" t="s">
        <v>1534</v>
      </c>
      <c r="D542" s="45" t="s">
        <v>3365</v>
      </c>
      <c r="E542" s="45" t="s">
        <v>3366</v>
      </c>
      <c r="F542" s="58" t="s">
        <v>1534</v>
      </c>
      <c r="G542" s="50"/>
      <c r="H542" s="50"/>
      <c r="I542" s="50"/>
      <c r="J542" s="40">
        <f>COUNTIF(System_configuration!B:B,A542)</f>
        <v>0</v>
      </c>
    </row>
    <row r="543" spans="1:10" s="29" customFormat="1" x14ac:dyDescent="0.2">
      <c r="A543" s="86" t="s">
        <v>3555</v>
      </c>
      <c r="B543" s="43" t="s">
        <v>1534</v>
      </c>
      <c r="C543" s="43" t="s">
        <v>1534</v>
      </c>
      <c r="D543" s="45" t="s">
        <v>2976</v>
      </c>
      <c r="E543" s="45" t="s">
        <v>2977</v>
      </c>
      <c r="F543" s="58" t="s">
        <v>1534</v>
      </c>
      <c r="G543" s="50"/>
      <c r="H543" s="50"/>
      <c r="I543" s="50"/>
      <c r="J543" s="40">
        <f>COUNTIF(System_configuration!B:B,A543)</f>
        <v>0</v>
      </c>
    </row>
    <row r="544" spans="1:10" s="29" customFormat="1" x14ac:dyDescent="0.2">
      <c r="A544" s="86" t="s">
        <v>3556</v>
      </c>
      <c r="B544" s="43" t="s">
        <v>1534</v>
      </c>
      <c r="C544" s="43" t="s">
        <v>1534</v>
      </c>
      <c r="D544" s="45" t="s">
        <v>2979</v>
      </c>
      <c r="E544" s="45" t="s">
        <v>2980</v>
      </c>
      <c r="F544" s="58" t="s">
        <v>1534</v>
      </c>
      <c r="G544" s="50"/>
      <c r="H544" s="50"/>
      <c r="I544" s="50"/>
      <c r="J544" s="40">
        <f>COUNTIF(System_configuration!B:B,A544)</f>
        <v>0</v>
      </c>
    </row>
    <row r="545" spans="1:10" s="29" customFormat="1" x14ac:dyDescent="0.2">
      <c r="A545" s="86" t="s">
        <v>3557</v>
      </c>
      <c r="B545" s="43" t="s">
        <v>1534</v>
      </c>
      <c r="C545" s="43" t="s">
        <v>1534</v>
      </c>
      <c r="D545" s="45" t="s">
        <v>2982</v>
      </c>
      <c r="E545" s="45" t="s">
        <v>2983</v>
      </c>
      <c r="F545" s="58" t="s">
        <v>1534</v>
      </c>
      <c r="G545" s="50"/>
      <c r="H545" s="50"/>
      <c r="I545" s="50"/>
      <c r="J545" s="40">
        <f>COUNTIF(System_configuration!B:B,A545)</f>
        <v>0</v>
      </c>
    </row>
    <row r="546" spans="1:10" s="29" customFormat="1" x14ac:dyDescent="0.2">
      <c r="A546" s="86" t="s">
        <v>3558</v>
      </c>
      <c r="B546" s="43" t="s">
        <v>1534</v>
      </c>
      <c r="C546" s="43" t="s">
        <v>1534</v>
      </c>
      <c r="D546" s="45" t="s">
        <v>2985</v>
      </c>
      <c r="E546" s="45" t="s">
        <v>2986</v>
      </c>
      <c r="F546" s="58" t="s">
        <v>1534</v>
      </c>
      <c r="G546" s="50"/>
      <c r="H546" s="50"/>
      <c r="I546" s="50"/>
      <c r="J546" s="40">
        <f>COUNTIF(System_configuration!B:B,A546)</f>
        <v>0</v>
      </c>
    </row>
    <row r="547" spans="1:10" s="29" customFormat="1" x14ac:dyDescent="0.2">
      <c r="A547" s="86" t="s">
        <v>3559</v>
      </c>
      <c r="B547" s="43" t="s">
        <v>1534</v>
      </c>
      <c r="C547" s="43" t="s">
        <v>1534</v>
      </c>
      <c r="D547" s="45" t="s">
        <v>2988</v>
      </c>
      <c r="E547" s="45" t="s">
        <v>2989</v>
      </c>
      <c r="F547" s="58" t="s">
        <v>1534</v>
      </c>
      <c r="G547" s="50"/>
      <c r="H547" s="50"/>
      <c r="I547" s="50"/>
      <c r="J547" s="40">
        <f>COUNTIF(System_configuration!B:B,A547)</f>
        <v>0</v>
      </c>
    </row>
    <row r="548" spans="1:10" s="29" customFormat="1" x14ac:dyDescent="0.2">
      <c r="A548" s="86" t="s">
        <v>3560</v>
      </c>
      <c r="B548" s="43" t="s">
        <v>1534</v>
      </c>
      <c r="C548" s="43" t="s">
        <v>1534</v>
      </c>
      <c r="D548" s="45" t="s">
        <v>3561</v>
      </c>
      <c r="E548" s="45" t="s">
        <v>3562</v>
      </c>
      <c r="F548" s="58" t="s">
        <v>1534</v>
      </c>
      <c r="G548" s="50"/>
      <c r="H548" s="50"/>
      <c r="I548" s="50"/>
      <c r="J548" s="40">
        <f>COUNTIF(System_configuration!B:B,A548)</f>
        <v>0</v>
      </c>
    </row>
    <row r="549" spans="1:10" s="29" customFormat="1" x14ac:dyDescent="0.2">
      <c r="A549" s="83" t="s">
        <v>1429</v>
      </c>
      <c r="B549" s="81">
        <v>-80</v>
      </c>
      <c r="C549" s="43" t="s">
        <v>1534</v>
      </c>
      <c r="D549" s="37" t="s">
        <v>1430</v>
      </c>
      <c r="E549" s="37" t="s">
        <v>1431</v>
      </c>
      <c r="F549" s="39">
        <v>12</v>
      </c>
      <c r="G549" s="49"/>
      <c r="H549" s="49"/>
      <c r="I549" s="49"/>
      <c r="J549" s="40">
        <f>COUNTIF(System_configuration!B:B,A549)</f>
        <v>0</v>
      </c>
    </row>
    <row r="550" spans="1:10" s="29" customFormat="1" x14ac:dyDescent="0.2">
      <c r="A550" s="83" t="s">
        <v>1432</v>
      </c>
      <c r="B550" s="81">
        <v>2200</v>
      </c>
      <c r="C550" s="43" t="s">
        <v>1534</v>
      </c>
      <c r="D550" s="37" t="s">
        <v>1433</v>
      </c>
      <c r="E550" s="37" t="s">
        <v>1434</v>
      </c>
      <c r="F550" s="39">
        <v>44</v>
      </c>
      <c r="G550" s="49"/>
      <c r="H550" s="49"/>
      <c r="I550" s="49"/>
      <c r="J550" s="40">
        <f>COUNTIF(System_configuration!B:B,A550)</f>
        <v>0</v>
      </c>
    </row>
    <row r="551" spans="1:10" s="29" customFormat="1" ht="25.5" x14ac:dyDescent="0.2">
      <c r="A551" s="83" t="s">
        <v>1435</v>
      </c>
      <c r="B551" s="81">
        <v>-310</v>
      </c>
      <c r="C551" s="43" t="s">
        <v>1534</v>
      </c>
      <c r="D551" s="37" t="s">
        <v>1436</v>
      </c>
      <c r="E551" s="37" t="s">
        <v>1437</v>
      </c>
      <c r="F551" s="39">
        <v>12</v>
      </c>
      <c r="G551" s="49"/>
      <c r="H551" s="49"/>
      <c r="I551" s="49"/>
      <c r="J551" s="40">
        <f>COUNTIF(System_configuration!B:B,A551)</f>
        <v>0</v>
      </c>
    </row>
    <row r="552" spans="1:10" s="29" customFormat="1" x14ac:dyDescent="0.2">
      <c r="A552" s="83" t="s">
        <v>1438</v>
      </c>
      <c r="B552" s="81">
        <v>-80</v>
      </c>
      <c r="C552" s="43" t="s">
        <v>1534</v>
      </c>
      <c r="D552" s="37" t="s">
        <v>1439</v>
      </c>
      <c r="E552" s="37" t="s">
        <v>1440</v>
      </c>
      <c r="F552" s="39">
        <v>12</v>
      </c>
      <c r="G552" s="49"/>
      <c r="H552" s="49"/>
      <c r="I552" s="49"/>
      <c r="J552" s="40">
        <f>COUNTIF(System_configuration!B:B,A552)</f>
        <v>0</v>
      </c>
    </row>
    <row r="553" spans="1:10" s="29" customFormat="1" x14ac:dyDescent="0.2">
      <c r="A553" s="83" t="s">
        <v>1441</v>
      </c>
      <c r="B553" s="81">
        <v>-80</v>
      </c>
      <c r="C553" s="43" t="s">
        <v>1534</v>
      </c>
      <c r="D553" s="37" t="s">
        <v>1442</v>
      </c>
      <c r="E553" s="37" t="s">
        <v>1443</v>
      </c>
      <c r="F553" s="39">
        <v>12</v>
      </c>
      <c r="G553" s="49"/>
      <c r="H553" s="49"/>
      <c r="I553" s="49"/>
      <c r="J553" s="40">
        <f>COUNTIF(System_configuration!B:B,A553)</f>
        <v>0</v>
      </c>
    </row>
    <row r="554" spans="1:10" s="29" customFormat="1" x14ac:dyDescent="0.2">
      <c r="A554" s="83" t="s">
        <v>1444</v>
      </c>
      <c r="B554" s="81">
        <v>-90</v>
      </c>
      <c r="C554" s="43" t="s">
        <v>1534</v>
      </c>
      <c r="D554" s="37" t="s">
        <v>1445</v>
      </c>
      <c r="E554" s="37" t="s">
        <v>1446</v>
      </c>
      <c r="F554" s="39">
        <v>12</v>
      </c>
      <c r="G554" s="49"/>
      <c r="H554" s="49"/>
      <c r="I554" s="49"/>
      <c r="J554" s="40">
        <f>COUNTIF(System_configuration!B:B,A554)</f>
        <v>0</v>
      </c>
    </row>
    <row r="555" spans="1:10" s="29" customFormat="1" x14ac:dyDescent="0.2">
      <c r="A555" s="83" t="s">
        <v>1447</v>
      </c>
      <c r="B555" s="81">
        <v>-80</v>
      </c>
      <c r="C555" s="43" t="s">
        <v>1534</v>
      </c>
      <c r="D555" s="37" t="s">
        <v>1448</v>
      </c>
      <c r="E555" s="37" t="s">
        <v>1449</v>
      </c>
      <c r="F555" s="39">
        <v>12</v>
      </c>
      <c r="G555" s="49"/>
      <c r="H555" s="49"/>
      <c r="I555" s="49"/>
      <c r="J555" s="40">
        <f>COUNTIF(System_configuration!B:B,A555)</f>
        <v>0</v>
      </c>
    </row>
    <row r="556" spans="1:10" s="29" customFormat="1" x14ac:dyDescent="0.2">
      <c r="A556" s="83" t="s">
        <v>1450</v>
      </c>
      <c r="B556" s="81">
        <v>-200</v>
      </c>
      <c r="C556" s="43" t="s">
        <v>1534</v>
      </c>
      <c r="D556" s="37" t="s">
        <v>1451</v>
      </c>
      <c r="E556" s="37" t="s">
        <v>1452</v>
      </c>
      <c r="F556" s="39">
        <v>24</v>
      </c>
      <c r="G556" s="49"/>
      <c r="H556" s="49"/>
      <c r="I556" s="49"/>
      <c r="J556" s="40">
        <f>COUNTIF(System_configuration!B:B,A556)</f>
        <v>0</v>
      </c>
    </row>
    <row r="557" spans="1:10" s="29" customFormat="1" x14ac:dyDescent="0.2">
      <c r="A557" s="83" t="s">
        <v>1453</v>
      </c>
      <c r="B557" s="81">
        <v>-200</v>
      </c>
      <c r="C557" s="43" t="s">
        <v>1534</v>
      </c>
      <c r="D557" s="37" t="s">
        <v>1454</v>
      </c>
      <c r="E557" s="37" t="s">
        <v>1455</v>
      </c>
      <c r="F557" s="39">
        <v>12</v>
      </c>
      <c r="G557" s="49"/>
      <c r="H557" s="49"/>
      <c r="I557" s="49"/>
      <c r="J557" s="40">
        <f>COUNTIF(System_configuration!B:B,A557)</f>
        <v>0</v>
      </c>
    </row>
    <row r="558" spans="1:10" s="29" customFormat="1" x14ac:dyDescent="0.2">
      <c r="A558" s="83" t="s">
        <v>1456</v>
      </c>
      <c r="B558" s="81">
        <v>-200</v>
      </c>
      <c r="C558" s="43" t="s">
        <v>1534</v>
      </c>
      <c r="D558" s="37" t="s">
        <v>1457</v>
      </c>
      <c r="E558" s="37" t="s">
        <v>1458</v>
      </c>
      <c r="F558" s="39">
        <v>12</v>
      </c>
      <c r="G558" s="49"/>
      <c r="H558" s="49"/>
      <c r="I558" s="49"/>
      <c r="J558" s="40">
        <f>COUNTIF(System_configuration!B:B,A558)</f>
        <v>0</v>
      </c>
    </row>
    <row r="559" spans="1:10" s="29" customFormat="1" x14ac:dyDescent="0.2">
      <c r="A559" s="83" t="s">
        <v>1459</v>
      </c>
      <c r="B559" s="81">
        <v>-90</v>
      </c>
      <c r="C559" s="43" t="s">
        <v>1534</v>
      </c>
      <c r="D559" s="37" t="s">
        <v>1460</v>
      </c>
      <c r="E559" s="37" t="s">
        <v>1461</v>
      </c>
      <c r="F559" s="39">
        <v>12</v>
      </c>
      <c r="G559" s="49"/>
      <c r="H559" s="49"/>
      <c r="I559" s="49"/>
      <c r="J559" s="40">
        <f>COUNTIF(System_configuration!B:B,A559)</f>
        <v>0</v>
      </c>
    </row>
    <row r="560" spans="1:10" s="29" customFormat="1" x14ac:dyDescent="0.2">
      <c r="A560" s="83" t="s">
        <v>1462</v>
      </c>
      <c r="B560" s="81">
        <v>-110</v>
      </c>
      <c r="C560" s="43" t="s">
        <v>1534</v>
      </c>
      <c r="D560" s="37" t="s">
        <v>1463</v>
      </c>
      <c r="E560" s="37" t="s">
        <v>1464</v>
      </c>
      <c r="F560" s="39">
        <v>12</v>
      </c>
      <c r="G560" s="49"/>
      <c r="H560" s="49"/>
      <c r="I560" s="49"/>
      <c r="J560" s="40">
        <f>COUNTIF(System_configuration!B:B,A560)</f>
        <v>0</v>
      </c>
    </row>
    <row r="561" spans="1:10" s="29" customFormat="1" x14ac:dyDescent="0.2">
      <c r="A561" s="83" t="s">
        <v>1465</v>
      </c>
      <c r="B561" s="81">
        <v>-110</v>
      </c>
      <c r="C561" s="43" t="s">
        <v>1534</v>
      </c>
      <c r="D561" s="37" t="s">
        <v>1466</v>
      </c>
      <c r="E561" s="37" t="s">
        <v>1467</v>
      </c>
      <c r="F561" s="39">
        <v>12</v>
      </c>
      <c r="G561" s="49"/>
      <c r="H561" s="49"/>
      <c r="I561" s="49"/>
      <c r="J561" s="40">
        <f>COUNTIF(System_configuration!B:B,A561)</f>
        <v>0</v>
      </c>
    </row>
    <row r="562" spans="1:10" s="29" customFormat="1" x14ac:dyDescent="0.2">
      <c r="A562" s="83" t="s">
        <v>1468</v>
      </c>
      <c r="B562" s="81">
        <v>-130</v>
      </c>
      <c r="C562" s="43" t="s">
        <v>1534</v>
      </c>
      <c r="D562" s="37" t="s">
        <v>1469</v>
      </c>
      <c r="E562" s="37" t="s">
        <v>1470</v>
      </c>
      <c r="F562" s="39">
        <v>12</v>
      </c>
      <c r="G562" s="49"/>
      <c r="H562" s="49"/>
      <c r="I562" s="49"/>
      <c r="J562" s="40">
        <f>COUNTIF(System_configuration!B:B,A562)</f>
        <v>0</v>
      </c>
    </row>
    <row r="563" spans="1:10" s="29" customFormat="1" x14ac:dyDescent="0.2">
      <c r="A563" s="83" t="s">
        <v>1471</v>
      </c>
      <c r="B563" s="81">
        <v>-221</v>
      </c>
      <c r="C563" s="43" t="s">
        <v>1534</v>
      </c>
      <c r="D563" s="37" t="s">
        <v>1472</v>
      </c>
      <c r="E563" s="37" t="s">
        <v>1473</v>
      </c>
      <c r="F563" s="39">
        <v>24</v>
      </c>
      <c r="G563" s="49"/>
      <c r="H563" s="49"/>
      <c r="I563" s="49"/>
      <c r="J563" s="40">
        <f>COUNTIF(System_configuration!B:B,A563)</f>
        <v>0</v>
      </c>
    </row>
    <row r="564" spans="1:10" s="29" customFormat="1" x14ac:dyDescent="0.2">
      <c r="A564" s="83" t="s">
        <v>1474</v>
      </c>
      <c r="B564" s="81">
        <v>-221</v>
      </c>
      <c r="C564" s="43" t="s">
        <v>1534</v>
      </c>
      <c r="D564" s="37" t="s">
        <v>1475</v>
      </c>
      <c r="E564" s="37" t="s">
        <v>1476</v>
      </c>
      <c r="F564" s="39">
        <v>12</v>
      </c>
      <c r="G564" s="49"/>
      <c r="H564" s="49"/>
      <c r="I564" s="49"/>
      <c r="J564" s="40">
        <f>COUNTIF(System_configuration!B:B,A564)</f>
        <v>0</v>
      </c>
    </row>
    <row r="565" spans="1:10" s="29" customFormat="1" x14ac:dyDescent="0.2">
      <c r="A565" s="83" t="s">
        <v>1477</v>
      </c>
      <c r="B565" s="81">
        <v>-120</v>
      </c>
      <c r="C565" s="43" t="s">
        <v>1534</v>
      </c>
      <c r="D565" s="37" t="s">
        <v>1478</v>
      </c>
      <c r="E565" s="37" t="s">
        <v>1479</v>
      </c>
      <c r="F565" s="39">
        <v>12</v>
      </c>
      <c r="G565" s="49"/>
      <c r="H565" s="49"/>
      <c r="I565" s="49"/>
      <c r="J565" s="40">
        <f>COUNTIF(System_configuration!B:B,A565)</f>
        <v>0</v>
      </c>
    </row>
    <row r="566" spans="1:10" s="29" customFormat="1" x14ac:dyDescent="0.2">
      <c r="A566" s="83" t="s">
        <v>1480</v>
      </c>
      <c r="B566" s="81">
        <v>-300</v>
      </c>
      <c r="C566" s="43" t="s">
        <v>1534</v>
      </c>
      <c r="D566" s="37" t="s">
        <v>1481</v>
      </c>
      <c r="E566" s="37" t="s">
        <v>1482</v>
      </c>
      <c r="F566" s="39">
        <v>12</v>
      </c>
      <c r="G566" s="49"/>
      <c r="H566" s="49"/>
      <c r="I566" s="49"/>
      <c r="J566" s="40">
        <f>COUNTIF(System_configuration!B:B,A566)</f>
        <v>0</v>
      </c>
    </row>
    <row r="567" spans="1:10" s="29" customFormat="1" x14ac:dyDescent="0.2">
      <c r="A567" s="83" t="s">
        <v>1483</v>
      </c>
      <c r="B567" s="81">
        <v>-165</v>
      </c>
      <c r="C567" s="43" t="s">
        <v>1534</v>
      </c>
      <c r="D567" s="37" t="s">
        <v>1484</v>
      </c>
      <c r="E567" s="37" t="s">
        <v>1485</v>
      </c>
      <c r="F567" s="39">
        <v>12</v>
      </c>
      <c r="G567" s="49"/>
      <c r="H567" s="49"/>
      <c r="I567" s="49"/>
      <c r="J567" s="40">
        <f>COUNTIF(System_configuration!B:B,A567)</f>
        <v>0</v>
      </c>
    </row>
    <row r="568" spans="1:10" s="29" customFormat="1" x14ac:dyDescent="0.2">
      <c r="A568" s="83" t="s">
        <v>1486</v>
      </c>
      <c r="B568" s="81"/>
      <c r="C568" s="43" t="s">
        <v>1534</v>
      </c>
      <c r="D568" s="37" t="s">
        <v>1487</v>
      </c>
      <c r="E568" s="37" t="s">
        <v>1488</v>
      </c>
      <c r="F568" s="39">
        <v>12</v>
      </c>
      <c r="G568" s="49"/>
      <c r="H568" s="49"/>
      <c r="I568" s="49"/>
      <c r="J568" s="40">
        <f>COUNTIF(System_configuration!B:B,A568)</f>
        <v>0</v>
      </c>
    </row>
    <row r="569" spans="1:10" s="29" customFormat="1" x14ac:dyDescent="0.2">
      <c r="A569" s="83" t="s">
        <v>1489</v>
      </c>
      <c r="B569" s="81">
        <v>-90</v>
      </c>
      <c r="C569" s="43" t="s">
        <v>1534</v>
      </c>
      <c r="D569" s="37" t="s">
        <v>1490</v>
      </c>
      <c r="E569" s="37" t="s">
        <v>1491</v>
      </c>
      <c r="F569" s="39">
        <v>12</v>
      </c>
      <c r="G569" s="49"/>
      <c r="H569" s="49"/>
      <c r="I569" s="49"/>
      <c r="J569" s="40">
        <f>COUNTIF(System_configuration!B:B,A569)</f>
        <v>0</v>
      </c>
    </row>
    <row r="570" spans="1:10" s="29" customFormat="1" x14ac:dyDescent="0.2">
      <c r="A570" s="83" t="s">
        <v>1492</v>
      </c>
      <c r="B570" s="81">
        <v>-90</v>
      </c>
      <c r="C570" s="43" t="s">
        <v>1534</v>
      </c>
      <c r="D570" s="37" t="s">
        <v>1493</v>
      </c>
      <c r="E570" s="37" t="s">
        <v>1494</v>
      </c>
      <c r="F570" s="39">
        <v>12</v>
      </c>
      <c r="G570" s="49"/>
      <c r="H570" s="49"/>
      <c r="I570" s="49"/>
      <c r="J570" s="40">
        <f>COUNTIF(System_configuration!B:B,A570)</f>
        <v>0</v>
      </c>
    </row>
    <row r="571" spans="1:10" s="29" customFormat="1" x14ac:dyDescent="0.2">
      <c r="A571" s="83" t="s">
        <v>1495</v>
      </c>
      <c r="B571" s="81"/>
      <c r="C571" s="43" t="s">
        <v>1534</v>
      </c>
      <c r="D571" s="37" t="s">
        <v>1496</v>
      </c>
      <c r="E571" s="37" t="s">
        <v>1497</v>
      </c>
      <c r="F571" s="39">
        <v>12</v>
      </c>
      <c r="G571" s="49"/>
      <c r="H571" s="49"/>
      <c r="I571" s="49"/>
      <c r="J571" s="40">
        <f>COUNTIF(System_configuration!B:B,A571)</f>
        <v>0</v>
      </c>
    </row>
    <row r="572" spans="1:10" s="29" customFormat="1" x14ac:dyDescent="0.2">
      <c r="A572" s="83" t="s">
        <v>1498</v>
      </c>
      <c r="B572" s="81">
        <v>-222</v>
      </c>
      <c r="C572" s="43" t="s">
        <v>1534</v>
      </c>
      <c r="D572" s="37" t="s">
        <v>1237</v>
      </c>
      <c r="E572" s="37" t="s">
        <v>1179</v>
      </c>
      <c r="F572" s="39">
        <v>12</v>
      </c>
      <c r="G572" s="49"/>
      <c r="H572" s="49"/>
      <c r="I572" s="49"/>
      <c r="J572" s="40">
        <f>COUNTIF(System_configuration!B:B,A572)</f>
        <v>0</v>
      </c>
    </row>
    <row r="573" spans="1:10" s="29" customFormat="1" x14ac:dyDescent="0.2">
      <c r="A573" s="83" t="s">
        <v>1499</v>
      </c>
      <c r="B573" s="81">
        <v>-140</v>
      </c>
      <c r="C573" s="43" t="s">
        <v>1534</v>
      </c>
      <c r="D573" s="37" t="s">
        <v>1500</v>
      </c>
      <c r="E573" s="37" t="s">
        <v>1501</v>
      </c>
      <c r="F573" s="39">
        <v>24</v>
      </c>
      <c r="G573" s="49"/>
      <c r="H573" s="49"/>
      <c r="I573" s="49"/>
      <c r="J573" s="40">
        <f>COUNTIF(System_configuration!B:B,A573)</f>
        <v>0</v>
      </c>
    </row>
    <row r="574" spans="1:10" s="29" customFormat="1" x14ac:dyDescent="0.2">
      <c r="A574" s="83" t="s">
        <v>1502</v>
      </c>
      <c r="B574" s="81">
        <v>-130</v>
      </c>
      <c r="C574" s="43" t="s">
        <v>1534</v>
      </c>
      <c r="D574" s="37" t="s">
        <v>1503</v>
      </c>
      <c r="E574" s="37" t="s">
        <v>1504</v>
      </c>
      <c r="F574" s="39">
        <v>24</v>
      </c>
      <c r="G574" s="49"/>
      <c r="H574" s="49"/>
      <c r="I574" s="49"/>
      <c r="J574" s="40">
        <f>COUNTIF(System_configuration!B:B,A574)</f>
        <v>0</v>
      </c>
    </row>
    <row r="575" spans="1:10" s="29" customFormat="1" x14ac:dyDescent="0.2">
      <c r="A575" s="83" t="s">
        <v>1505</v>
      </c>
      <c r="B575" s="81">
        <v>-160</v>
      </c>
      <c r="C575" s="43" t="s">
        <v>1534</v>
      </c>
      <c r="D575" s="37" t="s">
        <v>1506</v>
      </c>
      <c r="E575" s="37" t="s">
        <v>1507</v>
      </c>
      <c r="F575" s="39">
        <v>24</v>
      </c>
      <c r="G575" s="49"/>
      <c r="H575" s="49"/>
      <c r="I575" s="49"/>
      <c r="J575" s="40">
        <f>COUNTIF(System_configuration!B:B,A575)</f>
        <v>0</v>
      </c>
    </row>
    <row r="576" spans="1:10" s="29" customFormat="1" x14ac:dyDescent="0.2">
      <c r="A576" s="83" t="s">
        <v>1508</v>
      </c>
      <c r="B576" s="81">
        <v>-60</v>
      </c>
      <c r="C576" s="43" t="s">
        <v>1534</v>
      </c>
      <c r="D576" s="37" t="s">
        <v>1509</v>
      </c>
      <c r="E576" s="37" t="s">
        <v>1510</v>
      </c>
      <c r="F576" s="39">
        <v>12</v>
      </c>
      <c r="G576" s="49"/>
      <c r="H576" s="49"/>
      <c r="I576" s="49"/>
      <c r="J576" s="40">
        <f>COUNTIF(System_configuration!B:B,A576)</f>
        <v>0</v>
      </c>
    </row>
    <row r="577" spans="1:10" s="29" customFormat="1" x14ac:dyDescent="0.2">
      <c r="A577" s="83" t="s">
        <v>1511</v>
      </c>
      <c r="B577" s="81">
        <v>2500</v>
      </c>
      <c r="C577" s="43" t="s">
        <v>1534</v>
      </c>
      <c r="D577" s="37" t="s">
        <v>1512</v>
      </c>
      <c r="E577" s="37" t="s">
        <v>1513</v>
      </c>
      <c r="F577" s="39">
        <v>12</v>
      </c>
      <c r="G577" s="49"/>
      <c r="H577" s="49"/>
      <c r="I577" s="49"/>
      <c r="J577" s="40">
        <f>COUNTIF(System_configuration!B:B,A577)</f>
        <v>0</v>
      </c>
    </row>
    <row r="578" spans="1:10" s="29" customFormat="1" x14ac:dyDescent="0.2">
      <c r="A578" s="83" t="s">
        <v>1514</v>
      </c>
      <c r="B578" s="81">
        <v>12000</v>
      </c>
      <c r="C578" s="43" t="s">
        <v>1534</v>
      </c>
      <c r="D578" s="37" t="s">
        <v>1515</v>
      </c>
      <c r="E578" s="37" t="s">
        <v>1516</v>
      </c>
      <c r="F578" s="39">
        <v>24</v>
      </c>
      <c r="G578" s="49"/>
      <c r="H578" s="49"/>
      <c r="I578" s="49"/>
      <c r="J578" s="40">
        <f>COUNTIF(System_configuration!B:B,A578)</f>
        <v>0</v>
      </c>
    </row>
    <row r="579" spans="1:10" s="29" customFormat="1" x14ac:dyDescent="0.2">
      <c r="A579" s="83" t="s">
        <v>1517</v>
      </c>
      <c r="B579" s="81"/>
      <c r="C579" s="43" t="s">
        <v>1534</v>
      </c>
      <c r="D579" s="37" t="s">
        <v>1518</v>
      </c>
      <c r="E579" s="37" t="s">
        <v>1519</v>
      </c>
      <c r="F579" s="39">
        <v>24</v>
      </c>
      <c r="G579" s="49"/>
      <c r="H579" s="49"/>
      <c r="I579" s="49"/>
      <c r="J579" s="40">
        <f>COUNTIF(System_configuration!B:B,A579)</f>
        <v>0</v>
      </c>
    </row>
    <row r="580" spans="1:10" s="29" customFormat="1" x14ac:dyDescent="0.2">
      <c r="A580" s="83" t="s">
        <v>1520</v>
      </c>
      <c r="B580" s="81">
        <v>-85</v>
      </c>
      <c r="C580" s="43" t="s">
        <v>1534</v>
      </c>
      <c r="D580" s="37" t="s">
        <v>1521</v>
      </c>
      <c r="E580" s="37" t="s">
        <v>1522</v>
      </c>
      <c r="F580" s="39">
        <v>12</v>
      </c>
      <c r="G580" s="49"/>
      <c r="H580" s="49"/>
      <c r="I580" s="49"/>
      <c r="J580" s="40">
        <f>COUNTIF(System_configuration!B:B,A580)</f>
        <v>0</v>
      </c>
    </row>
    <row r="581" spans="1:10" s="29" customFormat="1" x14ac:dyDescent="0.2">
      <c r="A581" s="83" t="s">
        <v>15</v>
      </c>
      <c r="B581" s="39">
        <v>2000</v>
      </c>
      <c r="C581" s="43" t="s">
        <v>1534</v>
      </c>
      <c r="D581" s="37" t="s">
        <v>249</v>
      </c>
      <c r="E581" s="37" t="s">
        <v>998</v>
      </c>
      <c r="F581" s="39">
        <v>44</v>
      </c>
      <c r="G581" s="49" t="s">
        <v>3569</v>
      </c>
      <c r="H581" s="49" t="s">
        <v>3569</v>
      </c>
      <c r="I581" s="49" t="s">
        <v>3569</v>
      </c>
      <c r="J581" s="40">
        <f>COUNTIF(System_configuration!B:B,A581)</f>
        <v>1</v>
      </c>
    </row>
    <row r="582" spans="1:10" s="29" customFormat="1" x14ac:dyDescent="0.2">
      <c r="A582" s="83" t="s">
        <v>1108</v>
      </c>
      <c r="B582" s="39">
        <v>2000</v>
      </c>
      <c r="C582" s="43" t="s">
        <v>1534</v>
      </c>
      <c r="D582" s="37" t="s">
        <v>1109</v>
      </c>
      <c r="E582" s="37" t="s">
        <v>1110</v>
      </c>
      <c r="F582" s="39">
        <v>44</v>
      </c>
      <c r="G582" s="49" t="s">
        <v>3569</v>
      </c>
      <c r="H582" s="49" t="s">
        <v>3569</v>
      </c>
      <c r="I582" s="49" t="s">
        <v>3569</v>
      </c>
      <c r="J582" s="40">
        <f>COUNTIF(System_configuration!B:B,A582)</f>
        <v>0</v>
      </c>
    </row>
    <row r="583" spans="1:10" s="29" customFormat="1" x14ac:dyDescent="0.2">
      <c r="A583" s="83" t="s">
        <v>16</v>
      </c>
      <c r="B583" s="39">
        <v>2000</v>
      </c>
      <c r="C583" s="43" t="s">
        <v>1534</v>
      </c>
      <c r="D583" s="37" t="s">
        <v>250</v>
      </c>
      <c r="E583" s="37" t="s">
        <v>999</v>
      </c>
      <c r="F583" s="39">
        <v>44</v>
      </c>
      <c r="G583" s="49" t="s">
        <v>3569</v>
      </c>
      <c r="H583" s="49" t="s">
        <v>3569</v>
      </c>
      <c r="I583" s="49" t="s">
        <v>3569</v>
      </c>
      <c r="J583" s="40">
        <f>COUNTIF(System_configuration!B:B,A583)</f>
        <v>0</v>
      </c>
    </row>
    <row r="584" spans="1:10" s="29" customFormat="1" x14ac:dyDescent="0.2">
      <c r="A584" s="83" t="s">
        <v>710</v>
      </c>
      <c r="B584" s="39">
        <v>2000</v>
      </c>
      <c r="C584" s="43" t="s">
        <v>1534</v>
      </c>
      <c r="D584" s="37" t="s">
        <v>722</v>
      </c>
      <c r="E584" s="37" t="s">
        <v>1000</v>
      </c>
      <c r="F584" s="39">
        <v>44</v>
      </c>
      <c r="G584" s="49" t="s">
        <v>3569</v>
      </c>
      <c r="H584" s="49" t="s">
        <v>3569</v>
      </c>
      <c r="I584" s="49" t="s">
        <v>3569</v>
      </c>
      <c r="J584" s="40">
        <f>COUNTIF(System_configuration!B:B,A584)</f>
        <v>0</v>
      </c>
    </row>
    <row r="585" spans="1:10" s="29" customFormat="1" x14ac:dyDescent="0.2">
      <c r="A585" s="83" t="s">
        <v>18</v>
      </c>
      <c r="B585" s="39">
        <v>-130</v>
      </c>
      <c r="C585" s="43" t="s">
        <v>1534</v>
      </c>
      <c r="D585" s="37" t="s">
        <v>19</v>
      </c>
      <c r="E585" s="37" t="s">
        <v>1001</v>
      </c>
      <c r="F585" s="39">
        <v>44</v>
      </c>
      <c r="G585" s="49" t="s">
        <v>1534</v>
      </c>
      <c r="H585" s="49" t="s">
        <v>1534</v>
      </c>
      <c r="I585" s="49" t="s">
        <v>1534</v>
      </c>
      <c r="J585" s="40">
        <f>COUNTIF(System_configuration!B:B,A585)</f>
        <v>0</v>
      </c>
    </row>
    <row r="586" spans="1:10" s="29" customFormat="1" x14ac:dyDescent="0.2">
      <c r="A586" s="83" t="s">
        <v>1523</v>
      </c>
      <c r="B586" s="39">
        <v>-130</v>
      </c>
      <c r="C586" s="43" t="s">
        <v>1534</v>
      </c>
      <c r="D586" s="37" t="s">
        <v>1524</v>
      </c>
      <c r="E586" s="37" t="s">
        <v>1525</v>
      </c>
      <c r="F586" s="39">
        <v>44</v>
      </c>
      <c r="G586" s="49" t="s">
        <v>1534</v>
      </c>
      <c r="H586" s="49" t="s">
        <v>1534</v>
      </c>
      <c r="I586" s="49" t="s">
        <v>1534</v>
      </c>
      <c r="J586" s="40">
        <f>COUNTIF(System_configuration!B:B,A586)</f>
        <v>0</v>
      </c>
    </row>
    <row r="587" spans="1:10" s="29" customFormat="1" x14ac:dyDescent="0.2">
      <c r="A587" s="83" t="s">
        <v>216</v>
      </c>
      <c r="B587" s="39">
        <v>-220</v>
      </c>
      <c r="C587" s="43" t="s">
        <v>1534</v>
      </c>
      <c r="D587" s="37" t="s">
        <v>217</v>
      </c>
      <c r="E587" s="37" t="s">
        <v>1002</v>
      </c>
      <c r="F587" s="39">
        <v>24</v>
      </c>
      <c r="G587" s="49" t="s">
        <v>3570</v>
      </c>
      <c r="H587" s="49" t="s">
        <v>3570</v>
      </c>
      <c r="I587" s="49" t="s">
        <v>3570</v>
      </c>
      <c r="J587" s="40">
        <f>COUNTIF(System_configuration!B:B,A587)</f>
        <v>0</v>
      </c>
    </row>
    <row r="588" spans="1:10" s="29" customFormat="1" x14ac:dyDescent="0.2">
      <c r="A588" s="83" t="s">
        <v>1111</v>
      </c>
      <c r="B588" s="39">
        <v>-220</v>
      </c>
      <c r="C588" s="43" t="s">
        <v>1534</v>
      </c>
      <c r="D588" s="37" t="s">
        <v>1112</v>
      </c>
      <c r="E588" s="37" t="s">
        <v>1113</v>
      </c>
      <c r="F588" s="39">
        <v>24</v>
      </c>
      <c r="G588" s="49" t="s">
        <v>3570</v>
      </c>
      <c r="H588" s="49" t="s">
        <v>3570</v>
      </c>
      <c r="I588" s="49" t="s">
        <v>3570</v>
      </c>
      <c r="J588" s="40">
        <f>COUNTIF(System_configuration!B:B,A588)</f>
        <v>0</v>
      </c>
    </row>
    <row r="589" spans="1:10" s="29" customFormat="1" x14ac:dyDescent="0.2">
      <c r="A589" s="83" t="s">
        <v>711</v>
      </c>
      <c r="B589" s="39">
        <v>-220</v>
      </c>
      <c r="C589" s="43" t="s">
        <v>1534</v>
      </c>
      <c r="D589" s="37" t="s">
        <v>723</v>
      </c>
      <c r="E589" s="37" t="s">
        <v>1003</v>
      </c>
      <c r="F589" s="39">
        <v>24</v>
      </c>
      <c r="G589" s="49" t="s">
        <v>3570</v>
      </c>
      <c r="H589" s="49" t="s">
        <v>3570</v>
      </c>
      <c r="I589" s="49" t="s">
        <v>3570</v>
      </c>
      <c r="J589" s="40">
        <f>COUNTIF(System_configuration!B:B,A589)</f>
        <v>0</v>
      </c>
    </row>
    <row r="590" spans="1:10" s="29" customFormat="1" x14ac:dyDescent="0.2">
      <c r="A590" s="83" t="s">
        <v>1115</v>
      </c>
      <c r="B590" s="39"/>
      <c r="C590" s="43" t="s">
        <v>1534</v>
      </c>
      <c r="D590" s="37" t="s">
        <v>1186</v>
      </c>
      <c r="E590" s="37" t="s">
        <v>1152</v>
      </c>
      <c r="F590" s="39">
        <v>12</v>
      </c>
      <c r="G590" s="49" t="s">
        <v>3569</v>
      </c>
      <c r="H590" s="49" t="s">
        <v>3569</v>
      </c>
      <c r="I590" s="49"/>
      <c r="J590" s="40">
        <f>COUNTIF(System_configuration!B:B,A590)</f>
        <v>0</v>
      </c>
    </row>
    <row r="591" spans="1:10" s="29" customFormat="1" x14ac:dyDescent="0.2">
      <c r="A591" s="83" t="s">
        <v>1116</v>
      </c>
      <c r="B591" s="39">
        <v>-130</v>
      </c>
      <c r="C591" s="43" t="s">
        <v>1534</v>
      </c>
      <c r="D591" s="37" t="s">
        <v>1187</v>
      </c>
      <c r="E591" s="37" t="s">
        <v>1153</v>
      </c>
      <c r="F591" s="39">
        <v>12</v>
      </c>
      <c r="G591" s="49" t="s">
        <v>1534</v>
      </c>
      <c r="H591" s="49" t="s">
        <v>1534</v>
      </c>
      <c r="I591" s="49" t="s">
        <v>1534</v>
      </c>
      <c r="J591" s="40">
        <f>COUNTIF(System_configuration!B:B,A591)</f>
        <v>0</v>
      </c>
    </row>
    <row r="592" spans="1:10" s="29" customFormat="1" x14ac:dyDescent="0.2">
      <c r="A592" s="83" t="s">
        <v>1117</v>
      </c>
      <c r="B592" s="39">
        <v>-220</v>
      </c>
      <c r="C592" s="43" t="s">
        <v>1534</v>
      </c>
      <c r="D592" s="37" t="s">
        <v>1188</v>
      </c>
      <c r="E592" s="37" t="s">
        <v>1154</v>
      </c>
      <c r="F592" s="39">
        <v>24</v>
      </c>
      <c r="G592" s="49" t="s">
        <v>3570</v>
      </c>
      <c r="H592" s="49" t="s">
        <v>3570</v>
      </c>
      <c r="I592" s="49" t="s">
        <v>3570</v>
      </c>
      <c r="J592" s="40">
        <f>COUNTIF(System_configuration!B:B,A592)</f>
        <v>0</v>
      </c>
    </row>
    <row r="593" spans="1:10" s="29" customFormat="1" x14ac:dyDescent="0.2">
      <c r="A593" s="83" t="s">
        <v>17</v>
      </c>
      <c r="B593" s="39">
        <v>2000</v>
      </c>
      <c r="C593" s="43" t="s">
        <v>1534</v>
      </c>
      <c r="D593" s="37" t="s">
        <v>251</v>
      </c>
      <c r="E593" s="37" t="s">
        <v>1004</v>
      </c>
      <c r="F593" s="39">
        <v>49</v>
      </c>
      <c r="G593" s="49" t="s">
        <v>3569</v>
      </c>
      <c r="H593" s="49" t="s">
        <v>3569</v>
      </c>
      <c r="I593" s="49" t="s">
        <v>3569</v>
      </c>
      <c r="J593" s="40">
        <f>COUNTIF(System_configuration!B:B,A593)</f>
        <v>0</v>
      </c>
    </row>
    <row r="594" spans="1:10" s="29" customFormat="1" ht="25.5" x14ac:dyDescent="0.2">
      <c r="A594" s="83" t="s">
        <v>252</v>
      </c>
      <c r="B594" s="39">
        <v>2000</v>
      </c>
      <c r="C594" s="43" t="s">
        <v>1534</v>
      </c>
      <c r="D594" s="37" t="s">
        <v>1526</v>
      </c>
      <c r="E594" s="37" t="s">
        <v>1527</v>
      </c>
      <c r="F594" s="39">
        <v>49</v>
      </c>
      <c r="G594" s="49" t="s">
        <v>3569</v>
      </c>
      <c r="H594" s="49" t="s">
        <v>3569</v>
      </c>
      <c r="I594" s="49" t="s">
        <v>3569</v>
      </c>
      <c r="J594" s="40">
        <f>COUNTIF(System_configuration!B:B,A594)</f>
        <v>0</v>
      </c>
    </row>
    <row r="595" spans="1:10" s="29" customFormat="1" ht="25.5" x14ac:dyDescent="0.2">
      <c r="A595" s="83" t="s">
        <v>1114</v>
      </c>
      <c r="B595" s="39">
        <v>2000</v>
      </c>
      <c r="C595" s="43" t="s">
        <v>1534</v>
      </c>
      <c r="D595" s="37" t="s">
        <v>1189</v>
      </c>
      <c r="E595" s="37" t="s">
        <v>1155</v>
      </c>
      <c r="F595" s="39">
        <v>12</v>
      </c>
      <c r="G595" s="49" t="s">
        <v>3569</v>
      </c>
      <c r="H595" s="49" t="s">
        <v>3569</v>
      </c>
      <c r="I595" s="49" t="s">
        <v>3569</v>
      </c>
      <c r="J595" s="40">
        <f>COUNTIF(System_configuration!B:B,A595)</f>
        <v>0</v>
      </c>
    </row>
    <row r="596" spans="1:10" s="29" customFormat="1" x14ac:dyDescent="0.2">
      <c r="A596" s="83" t="s">
        <v>218</v>
      </c>
      <c r="B596" s="39">
        <v>-350</v>
      </c>
      <c r="C596" s="43" t="s">
        <v>1534</v>
      </c>
      <c r="D596" s="37" t="s">
        <v>219</v>
      </c>
      <c r="E596" s="37" t="s">
        <v>1005</v>
      </c>
      <c r="F596" s="39">
        <v>24</v>
      </c>
      <c r="G596" s="49" t="s">
        <v>3570</v>
      </c>
      <c r="H596" s="49" t="s">
        <v>3570</v>
      </c>
      <c r="I596" s="49" t="s">
        <v>3570</v>
      </c>
      <c r="J596" s="40">
        <f>COUNTIF(System_configuration!B:B,A596)</f>
        <v>0</v>
      </c>
    </row>
    <row r="597" spans="1:10" s="29" customFormat="1" x14ac:dyDescent="0.2">
      <c r="A597" s="83" t="s">
        <v>253</v>
      </c>
      <c r="B597" s="39">
        <v>-350</v>
      </c>
      <c r="C597" s="43" t="s">
        <v>1534</v>
      </c>
      <c r="D597" s="37" t="s">
        <v>725</v>
      </c>
      <c r="E597" s="37" t="s">
        <v>1006</v>
      </c>
      <c r="F597" s="39">
        <v>24</v>
      </c>
      <c r="G597" s="49" t="s">
        <v>3570</v>
      </c>
      <c r="H597" s="49" t="s">
        <v>3570</v>
      </c>
      <c r="I597" s="49" t="s">
        <v>3570</v>
      </c>
      <c r="J597" s="40">
        <f>COUNTIF(System_configuration!B:B,A597)</f>
        <v>0</v>
      </c>
    </row>
    <row r="598" spans="1:10" s="29" customFormat="1" x14ac:dyDescent="0.2">
      <c r="A598" s="83" t="s">
        <v>674</v>
      </c>
      <c r="B598" s="39">
        <v>2000</v>
      </c>
      <c r="C598" s="43" t="s">
        <v>1534</v>
      </c>
      <c r="D598" s="37" t="s">
        <v>703</v>
      </c>
      <c r="E598" s="37" t="s">
        <v>1007</v>
      </c>
      <c r="F598" s="39">
        <v>49</v>
      </c>
      <c r="G598" s="49" t="s">
        <v>3569</v>
      </c>
      <c r="H598" s="49" t="s">
        <v>3569</v>
      </c>
      <c r="I598" s="49" t="s">
        <v>3569</v>
      </c>
      <c r="J598" s="40">
        <f>COUNTIF(System_configuration!B:B,A598)</f>
        <v>0</v>
      </c>
    </row>
    <row r="599" spans="1:10" s="29" customFormat="1" x14ac:dyDescent="0.2">
      <c r="A599" s="83" t="s">
        <v>675</v>
      </c>
      <c r="B599" s="39">
        <v>-200</v>
      </c>
      <c r="C599" s="43" t="s">
        <v>1534</v>
      </c>
      <c r="D599" s="37" t="s">
        <v>702</v>
      </c>
      <c r="E599" s="37" t="s">
        <v>1008</v>
      </c>
      <c r="F599" s="39">
        <v>24</v>
      </c>
      <c r="G599" s="49" t="s">
        <v>3570</v>
      </c>
      <c r="H599" s="49" t="s">
        <v>3570</v>
      </c>
      <c r="I599" s="49" t="s">
        <v>3570</v>
      </c>
      <c r="J599" s="40">
        <f>COUNTIF(System_configuration!B:B,A599)</f>
        <v>0</v>
      </c>
    </row>
    <row r="600" spans="1:10" s="29" customFormat="1" ht="38.25" x14ac:dyDescent="0.2">
      <c r="A600" s="83" t="s">
        <v>712</v>
      </c>
      <c r="B600" s="39">
        <v>1000</v>
      </c>
      <c r="C600" s="43" t="s">
        <v>1534</v>
      </c>
      <c r="D600" s="37" t="s">
        <v>1190</v>
      </c>
      <c r="E600" s="37" t="s">
        <v>1528</v>
      </c>
      <c r="F600" s="39">
        <v>44</v>
      </c>
      <c r="G600" s="49" t="s">
        <v>3569</v>
      </c>
      <c r="H600" s="49" t="s">
        <v>3569</v>
      </c>
      <c r="I600" s="49"/>
      <c r="J600" s="40">
        <f>COUNTIF(System_configuration!B:B,A600)</f>
        <v>0</v>
      </c>
    </row>
    <row r="601" spans="1:10" s="29" customFormat="1" ht="38.25" x14ac:dyDescent="0.2">
      <c r="A601" s="83" t="s">
        <v>713</v>
      </c>
      <c r="B601" s="39">
        <v>1000</v>
      </c>
      <c r="C601" s="43" t="s">
        <v>1534</v>
      </c>
      <c r="D601" s="37" t="s">
        <v>1191</v>
      </c>
      <c r="E601" s="37" t="s">
        <v>1529</v>
      </c>
      <c r="F601" s="39">
        <v>44</v>
      </c>
      <c r="G601" s="49" t="s">
        <v>3569</v>
      </c>
      <c r="H601" s="49" t="s">
        <v>3569</v>
      </c>
      <c r="I601" s="49"/>
      <c r="J601" s="40">
        <f>COUNTIF(System_configuration!B:B,A601)</f>
        <v>0</v>
      </c>
    </row>
    <row r="602" spans="1:10" s="29" customFormat="1" ht="38.25" x14ac:dyDescent="0.2">
      <c r="A602" s="83" t="s">
        <v>714</v>
      </c>
      <c r="B602" s="39">
        <v>1000</v>
      </c>
      <c r="C602" s="43" t="s">
        <v>1534</v>
      </c>
      <c r="D602" s="37" t="s">
        <v>1192</v>
      </c>
      <c r="E602" s="37" t="s">
        <v>1530</v>
      </c>
      <c r="F602" s="39">
        <v>44</v>
      </c>
      <c r="G602" s="49" t="s">
        <v>3569</v>
      </c>
      <c r="H602" s="49" t="s">
        <v>3569</v>
      </c>
      <c r="I602" s="49"/>
      <c r="J602" s="40">
        <f>COUNTIF(System_configuration!B:B,A602)</f>
        <v>0</v>
      </c>
    </row>
    <row r="603" spans="1:10" s="29" customFormat="1" ht="25.5" x14ac:dyDescent="0.2">
      <c r="A603" s="83" t="s">
        <v>715</v>
      </c>
      <c r="B603" s="39">
        <v>1000</v>
      </c>
      <c r="C603" s="43" t="s">
        <v>1534</v>
      </c>
      <c r="D603" s="37" t="s">
        <v>1193</v>
      </c>
      <c r="E603" s="37" t="s">
        <v>1531</v>
      </c>
      <c r="F603" s="39">
        <v>44</v>
      </c>
      <c r="G603" s="49" t="s">
        <v>3569</v>
      </c>
      <c r="H603" s="49" t="s">
        <v>3569</v>
      </c>
      <c r="I603" s="49"/>
      <c r="J603" s="40">
        <f>COUNTIF(System_configuration!B:B,A603)</f>
        <v>0</v>
      </c>
    </row>
    <row r="604" spans="1:10" s="29" customFormat="1" ht="38.25" x14ac:dyDescent="0.2">
      <c r="A604" s="83" t="s">
        <v>673</v>
      </c>
      <c r="B604" s="39">
        <v>500</v>
      </c>
      <c r="C604" s="43" t="s">
        <v>1534</v>
      </c>
      <c r="D604" s="37" t="s">
        <v>1194</v>
      </c>
      <c r="E604" s="37" t="s">
        <v>1532</v>
      </c>
      <c r="F604" s="39">
        <v>44</v>
      </c>
      <c r="G604" s="49" t="s">
        <v>3569</v>
      </c>
      <c r="H604" s="49" t="s">
        <v>3569</v>
      </c>
      <c r="I604" s="49"/>
      <c r="J604" s="40">
        <f>COUNTIF(System_configuration!B:B,A604)</f>
        <v>0</v>
      </c>
    </row>
    <row r="605" spans="1:10" s="29" customFormat="1" ht="63.75" x14ac:dyDescent="0.2">
      <c r="A605" s="83" t="s">
        <v>752</v>
      </c>
      <c r="B605" s="39">
        <v>0</v>
      </c>
      <c r="C605" s="43" t="s">
        <v>1534</v>
      </c>
      <c r="D605" s="37" t="s">
        <v>1195</v>
      </c>
      <c r="E605" s="37" t="s">
        <v>1533</v>
      </c>
      <c r="F605" s="43">
        <v>230</v>
      </c>
      <c r="G605" s="53"/>
      <c r="H605" s="53"/>
      <c r="I605" s="53"/>
      <c r="J605" s="40">
        <f>COUNTIF(System_configuration!B:B,A605)</f>
        <v>0</v>
      </c>
    </row>
    <row r="606" spans="1:10" s="29" customFormat="1" x14ac:dyDescent="0.2">
      <c r="A606" s="83" t="s">
        <v>254</v>
      </c>
      <c r="B606" s="39">
        <v>2000</v>
      </c>
      <c r="C606" s="43" t="s">
        <v>1534</v>
      </c>
      <c r="D606" s="37" t="s">
        <v>255</v>
      </c>
      <c r="E606" s="37" t="s">
        <v>1009</v>
      </c>
      <c r="F606" s="39">
        <v>65</v>
      </c>
      <c r="G606" s="49" t="s">
        <v>3569</v>
      </c>
      <c r="H606" s="49" t="s">
        <v>3569</v>
      </c>
      <c r="I606" s="49" t="s">
        <v>3569</v>
      </c>
      <c r="J606" s="40">
        <f>COUNTIF(System_configuration!B:B,A606)</f>
        <v>0</v>
      </c>
    </row>
    <row r="607" spans="1:10" s="29" customFormat="1" x14ac:dyDescent="0.2">
      <c r="A607" s="83" t="s">
        <v>256</v>
      </c>
      <c r="B607" s="39">
        <v>2000</v>
      </c>
      <c r="C607" s="43" t="s">
        <v>1534</v>
      </c>
      <c r="D607" s="37" t="s">
        <v>257</v>
      </c>
      <c r="E607" s="37" t="s">
        <v>1010</v>
      </c>
      <c r="F607" s="39">
        <v>65</v>
      </c>
      <c r="G607" s="49" t="s">
        <v>3569</v>
      </c>
      <c r="H607" s="49" t="s">
        <v>3569</v>
      </c>
      <c r="I607" s="49" t="s">
        <v>3569</v>
      </c>
      <c r="J607" s="40">
        <f>COUNTIF(System_configuration!B:B,A607)</f>
        <v>0</v>
      </c>
    </row>
    <row r="608" spans="1:10" s="29" customFormat="1" x14ac:dyDescent="0.2">
      <c r="A608" s="83" t="s">
        <v>1535</v>
      </c>
      <c r="B608" s="39">
        <v>2000</v>
      </c>
      <c r="C608" s="43" t="s">
        <v>1534</v>
      </c>
      <c r="D608" s="37" t="s">
        <v>1536</v>
      </c>
      <c r="E608" s="37" t="s">
        <v>1537</v>
      </c>
      <c r="F608" s="39">
        <v>65</v>
      </c>
      <c r="G608" s="49" t="s">
        <v>3569</v>
      </c>
      <c r="H608" s="49" t="s">
        <v>3569</v>
      </c>
      <c r="I608" s="49" t="s">
        <v>3569</v>
      </c>
      <c r="J608" s="40">
        <f>COUNTIF(System_configuration!B:B,A608)</f>
        <v>0</v>
      </c>
    </row>
    <row r="609" spans="1:10" s="29" customFormat="1" x14ac:dyDescent="0.2">
      <c r="A609" s="83" t="s">
        <v>258</v>
      </c>
      <c r="B609" s="39">
        <v>2000</v>
      </c>
      <c r="C609" s="43" t="s">
        <v>1534</v>
      </c>
      <c r="D609" s="37" t="s">
        <v>1196</v>
      </c>
      <c r="E609" s="37" t="s">
        <v>1538</v>
      </c>
      <c r="F609" s="39">
        <v>65</v>
      </c>
      <c r="G609" s="49" t="s">
        <v>3569</v>
      </c>
      <c r="H609" s="49" t="s">
        <v>3569</v>
      </c>
      <c r="I609" s="49" t="s">
        <v>3569</v>
      </c>
      <c r="J609" s="40">
        <f>COUNTIF(System_configuration!B:B,A609)</f>
        <v>0</v>
      </c>
    </row>
    <row r="610" spans="1:10" s="29" customFormat="1" x14ac:dyDescent="0.2">
      <c r="A610" s="83" t="s">
        <v>259</v>
      </c>
      <c r="B610" s="39">
        <v>2000</v>
      </c>
      <c r="C610" s="43" t="s">
        <v>1534</v>
      </c>
      <c r="D610" s="37" t="s">
        <v>260</v>
      </c>
      <c r="E610" s="37" t="s">
        <v>1011</v>
      </c>
      <c r="F610" s="39">
        <v>65</v>
      </c>
      <c r="G610" s="49" t="s">
        <v>3569</v>
      </c>
      <c r="H610" s="49" t="s">
        <v>3569</v>
      </c>
      <c r="I610" s="49" t="s">
        <v>3569</v>
      </c>
      <c r="J610" s="40">
        <f>COUNTIF(System_configuration!B:B,A610)</f>
        <v>0</v>
      </c>
    </row>
    <row r="611" spans="1:10" s="29" customFormat="1" x14ac:dyDescent="0.2">
      <c r="A611" s="83" t="s">
        <v>261</v>
      </c>
      <c r="B611" s="39">
        <v>2000</v>
      </c>
      <c r="C611" s="43" t="s">
        <v>1534</v>
      </c>
      <c r="D611" s="37" t="s">
        <v>262</v>
      </c>
      <c r="E611" s="37" t="s">
        <v>1012</v>
      </c>
      <c r="F611" s="39">
        <v>65</v>
      </c>
      <c r="G611" s="49" t="s">
        <v>3569</v>
      </c>
      <c r="H611" s="49" t="s">
        <v>3569</v>
      </c>
      <c r="I611" s="49" t="s">
        <v>3569</v>
      </c>
      <c r="J611" s="40">
        <f>COUNTIF(System_configuration!B:B,A611)</f>
        <v>0</v>
      </c>
    </row>
    <row r="612" spans="1:10" s="29" customFormat="1" x14ac:dyDescent="0.2">
      <c r="A612" s="83" t="s">
        <v>23</v>
      </c>
      <c r="B612" s="39">
        <v>-90</v>
      </c>
      <c r="C612" s="43" t="s">
        <v>1534</v>
      </c>
      <c r="D612" s="37" t="s">
        <v>727</v>
      </c>
      <c r="E612" s="37" t="s">
        <v>1014</v>
      </c>
      <c r="F612" s="39">
        <v>12</v>
      </c>
      <c r="G612" s="49" t="s">
        <v>3568</v>
      </c>
      <c r="H612" s="49" t="s">
        <v>3568</v>
      </c>
      <c r="I612" s="49" t="s">
        <v>3568</v>
      </c>
      <c r="J612" s="40">
        <f>COUNTIF(System_configuration!B:B,A612)</f>
        <v>0</v>
      </c>
    </row>
    <row r="613" spans="1:10" s="29" customFormat="1" x14ac:dyDescent="0.2">
      <c r="A613" s="83" t="s">
        <v>24</v>
      </c>
      <c r="B613" s="39">
        <v>-90</v>
      </c>
      <c r="C613" s="43" t="s">
        <v>1534</v>
      </c>
      <c r="D613" s="37" t="s">
        <v>265</v>
      </c>
      <c r="E613" s="37" t="s">
        <v>1015</v>
      </c>
      <c r="F613" s="39">
        <v>12</v>
      </c>
      <c r="G613" s="49" t="s">
        <v>3568</v>
      </c>
      <c r="H613" s="49" t="s">
        <v>3568</v>
      </c>
      <c r="I613" s="49"/>
      <c r="J613" s="40">
        <f>COUNTIF(System_configuration!B:B,A613)</f>
        <v>1</v>
      </c>
    </row>
    <row r="614" spans="1:10" s="29" customFormat="1" x14ac:dyDescent="0.2">
      <c r="A614" s="83" t="s">
        <v>676</v>
      </c>
      <c r="B614" s="39">
        <v>-90</v>
      </c>
      <c r="C614" s="43" t="s">
        <v>1534</v>
      </c>
      <c r="D614" s="37" t="s">
        <v>701</v>
      </c>
      <c r="E614" s="37" t="s">
        <v>1016</v>
      </c>
      <c r="F614" s="39">
        <v>12</v>
      </c>
      <c r="G614" s="49" t="s">
        <v>3568</v>
      </c>
      <c r="H614" s="49" t="s">
        <v>3568</v>
      </c>
      <c r="I614" s="49"/>
      <c r="J614" s="40">
        <f>COUNTIF(System_configuration!B:B,A614)</f>
        <v>0</v>
      </c>
    </row>
    <row r="615" spans="1:10" s="29" customFormat="1" x14ac:dyDescent="0.2">
      <c r="A615" s="83" t="s">
        <v>25</v>
      </c>
      <c r="B615" s="39">
        <v>-90</v>
      </c>
      <c r="C615" s="43" t="s">
        <v>1534</v>
      </c>
      <c r="D615" s="37" t="s">
        <v>267</v>
      </c>
      <c r="E615" s="37" t="s">
        <v>1017</v>
      </c>
      <c r="F615" s="39">
        <v>12</v>
      </c>
      <c r="G615" s="49" t="s">
        <v>3568</v>
      </c>
      <c r="H615" s="49" t="s">
        <v>3568</v>
      </c>
      <c r="I615" s="49"/>
      <c r="J615" s="40">
        <f>COUNTIF(System_configuration!B:B,A615)</f>
        <v>0</v>
      </c>
    </row>
    <row r="616" spans="1:10" s="29" customFormat="1" x14ac:dyDescent="0.2">
      <c r="A616" s="83" t="s">
        <v>26</v>
      </c>
      <c r="B616" s="39">
        <v>-90</v>
      </c>
      <c r="C616" s="43" t="s">
        <v>1534</v>
      </c>
      <c r="D616" s="37" t="s">
        <v>269</v>
      </c>
      <c r="E616" s="37" t="s">
        <v>1018</v>
      </c>
      <c r="F616" s="39">
        <v>12</v>
      </c>
      <c r="G616" s="49" t="s">
        <v>3568</v>
      </c>
      <c r="H616" s="49" t="s">
        <v>3568</v>
      </c>
      <c r="I616" s="49" t="s">
        <v>3568</v>
      </c>
      <c r="J616" s="40">
        <f>COUNTIF(System_configuration!B:B,A616)</f>
        <v>0</v>
      </c>
    </row>
    <row r="617" spans="1:10" s="29" customFormat="1" x14ac:dyDescent="0.2">
      <c r="A617" s="83" t="s">
        <v>27</v>
      </c>
      <c r="B617" s="39">
        <v>-90</v>
      </c>
      <c r="C617" s="43" t="s">
        <v>1534</v>
      </c>
      <c r="D617" s="37" t="s">
        <v>271</v>
      </c>
      <c r="E617" s="37" t="s">
        <v>1019</v>
      </c>
      <c r="F617" s="39">
        <v>12</v>
      </c>
      <c r="G617" s="49" t="s">
        <v>3568</v>
      </c>
      <c r="H617" s="49" t="s">
        <v>3568</v>
      </c>
      <c r="I617" s="49"/>
      <c r="J617" s="40">
        <f>COUNTIF(System_configuration!B:B,A617)</f>
        <v>0</v>
      </c>
    </row>
    <row r="618" spans="1:10" s="29" customFormat="1" x14ac:dyDescent="0.2">
      <c r="A618" s="83" t="s">
        <v>28</v>
      </c>
      <c r="B618" s="39">
        <v>-90</v>
      </c>
      <c r="C618" s="43" t="s">
        <v>1534</v>
      </c>
      <c r="D618" s="37" t="s">
        <v>273</v>
      </c>
      <c r="E618" s="37" t="s">
        <v>1020</v>
      </c>
      <c r="F618" s="39">
        <v>12</v>
      </c>
      <c r="G618" s="49" t="s">
        <v>3568</v>
      </c>
      <c r="H618" s="49" t="s">
        <v>3568</v>
      </c>
      <c r="I618" s="49"/>
      <c r="J618" s="40">
        <f>COUNTIF(System_configuration!B:B,A618)</f>
        <v>0</v>
      </c>
    </row>
    <row r="619" spans="1:10" s="29" customFormat="1" ht="25.5" x14ac:dyDescent="0.2">
      <c r="A619" s="83" t="s">
        <v>29</v>
      </c>
      <c r="B619" s="39">
        <v>-90</v>
      </c>
      <c r="C619" s="43" t="s">
        <v>1534</v>
      </c>
      <c r="D619" s="37" t="s">
        <v>728</v>
      </c>
      <c r="E619" s="37" t="s">
        <v>1021</v>
      </c>
      <c r="F619" s="39">
        <v>12</v>
      </c>
      <c r="G619" s="49" t="s">
        <v>3568</v>
      </c>
      <c r="H619" s="49" t="s">
        <v>3568</v>
      </c>
      <c r="I619" s="49"/>
      <c r="J619" s="40">
        <f>COUNTIF(System_configuration!B:B,A619)</f>
        <v>0</v>
      </c>
    </row>
    <row r="620" spans="1:10" s="29" customFormat="1" ht="25.5" x14ac:dyDescent="0.2">
      <c r="A620" s="83" t="s">
        <v>30</v>
      </c>
      <c r="B620" s="39">
        <v>-90</v>
      </c>
      <c r="C620" s="43" t="s">
        <v>1534</v>
      </c>
      <c r="D620" s="37" t="s">
        <v>729</v>
      </c>
      <c r="E620" s="37" t="s">
        <v>1022</v>
      </c>
      <c r="F620" s="39">
        <v>12</v>
      </c>
      <c r="G620" s="49" t="s">
        <v>3568</v>
      </c>
      <c r="H620" s="49" t="s">
        <v>3568</v>
      </c>
      <c r="I620" s="49"/>
      <c r="J620" s="40">
        <f>COUNTIF(System_configuration!B:B,A620)</f>
        <v>0</v>
      </c>
    </row>
    <row r="621" spans="1:10" s="29" customFormat="1" x14ac:dyDescent="0.2">
      <c r="A621" s="83" t="s">
        <v>32</v>
      </c>
      <c r="B621" s="39">
        <v>-90</v>
      </c>
      <c r="C621" s="43" t="s">
        <v>1534</v>
      </c>
      <c r="D621" s="37" t="s">
        <v>277</v>
      </c>
      <c r="E621" s="37" t="s">
        <v>1023</v>
      </c>
      <c r="F621" s="39">
        <v>12</v>
      </c>
      <c r="G621" s="49" t="s">
        <v>3568</v>
      </c>
      <c r="H621" s="49" t="s">
        <v>3568</v>
      </c>
      <c r="I621" s="49"/>
      <c r="J621" s="40">
        <f>COUNTIF(System_configuration!B:B,A621)</f>
        <v>0</v>
      </c>
    </row>
    <row r="622" spans="1:10" s="29" customFormat="1" x14ac:dyDescent="0.2">
      <c r="A622" s="83" t="s">
        <v>33</v>
      </c>
      <c r="B622" s="39">
        <v>-90</v>
      </c>
      <c r="C622" s="43" t="s">
        <v>1534</v>
      </c>
      <c r="D622" s="37" t="s">
        <v>279</v>
      </c>
      <c r="E622" s="37" t="s">
        <v>1024</v>
      </c>
      <c r="F622" s="39">
        <v>12</v>
      </c>
      <c r="G622" s="49" t="s">
        <v>3568</v>
      </c>
      <c r="H622" s="49" t="s">
        <v>3568</v>
      </c>
      <c r="I622" s="49"/>
      <c r="J622" s="40">
        <f>COUNTIF(System_configuration!B:B,A622)</f>
        <v>0</v>
      </c>
    </row>
    <row r="623" spans="1:10" s="29" customFormat="1" x14ac:dyDescent="0.2">
      <c r="A623" s="83" t="s">
        <v>34</v>
      </c>
      <c r="B623" s="39">
        <v>-90</v>
      </c>
      <c r="C623" s="43" t="s">
        <v>1534</v>
      </c>
      <c r="D623" s="37" t="s">
        <v>281</v>
      </c>
      <c r="E623" s="37" t="s">
        <v>1025</v>
      </c>
      <c r="F623" s="39">
        <v>12</v>
      </c>
      <c r="G623" s="49" t="s">
        <v>3568</v>
      </c>
      <c r="H623" s="49" t="s">
        <v>3568</v>
      </c>
      <c r="I623" s="49"/>
      <c r="J623" s="40">
        <f>COUNTIF(System_configuration!B:B,A623)</f>
        <v>0</v>
      </c>
    </row>
    <row r="624" spans="1:10" s="29" customFormat="1" x14ac:dyDescent="0.2">
      <c r="A624" s="83" t="s">
        <v>35</v>
      </c>
      <c r="B624" s="39">
        <v>-90</v>
      </c>
      <c r="C624" s="43" t="s">
        <v>1534</v>
      </c>
      <c r="D624" s="37" t="s">
        <v>283</v>
      </c>
      <c r="E624" s="37" t="s">
        <v>1026</v>
      </c>
      <c r="F624" s="39">
        <v>12</v>
      </c>
      <c r="G624" s="49" t="s">
        <v>3568</v>
      </c>
      <c r="H624" s="49" t="s">
        <v>3568</v>
      </c>
      <c r="I624" s="49"/>
      <c r="J624" s="40">
        <f>COUNTIF(System_configuration!B:B,A624)</f>
        <v>0</v>
      </c>
    </row>
    <row r="625" spans="1:10" s="29" customFormat="1" ht="25.5" x14ac:dyDescent="0.2">
      <c r="A625" s="83" t="s">
        <v>13</v>
      </c>
      <c r="B625" s="39">
        <v>-90</v>
      </c>
      <c r="C625" s="43" t="s">
        <v>1534</v>
      </c>
      <c r="D625" s="37" t="s">
        <v>730</v>
      </c>
      <c r="E625" s="37" t="s">
        <v>1027</v>
      </c>
      <c r="F625" s="39">
        <v>12</v>
      </c>
      <c r="G625" s="49" t="s">
        <v>3568</v>
      </c>
      <c r="H625" s="49" t="s">
        <v>3568</v>
      </c>
      <c r="I625" s="49"/>
      <c r="J625" s="40">
        <f>COUNTIF(System_configuration!B:B,A625)</f>
        <v>0</v>
      </c>
    </row>
    <row r="626" spans="1:10" s="29" customFormat="1" ht="25.5" x14ac:dyDescent="0.2">
      <c r="A626" s="83" t="s">
        <v>31</v>
      </c>
      <c r="B626" s="39">
        <v>-90</v>
      </c>
      <c r="C626" s="43" t="s">
        <v>1534</v>
      </c>
      <c r="D626" s="37" t="s">
        <v>731</v>
      </c>
      <c r="E626" s="37" t="s">
        <v>1028</v>
      </c>
      <c r="F626" s="39">
        <v>12</v>
      </c>
      <c r="G626" s="49" t="s">
        <v>3568</v>
      </c>
      <c r="H626" s="49" t="s">
        <v>3568</v>
      </c>
      <c r="I626" s="49"/>
      <c r="J626" s="40">
        <f>COUNTIF(System_configuration!B:B,A626)</f>
        <v>0</v>
      </c>
    </row>
    <row r="627" spans="1:10" s="29" customFormat="1" ht="25.5" x14ac:dyDescent="0.2">
      <c r="A627" s="83" t="s">
        <v>20</v>
      </c>
      <c r="B627" s="39">
        <v>-90</v>
      </c>
      <c r="C627" s="43" t="s">
        <v>1534</v>
      </c>
      <c r="D627" s="37" t="s">
        <v>1197</v>
      </c>
      <c r="E627" s="37" t="s">
        <v>1539</v>
      </c>
      <c r="F627" s="39">
        <v>12</v>
      </c>
      <c r="G627" s="49" t="s">
        <v>3568</v>
      </c>
      <c r="H627" s="49" t="s">
        <v>3568</v>
      </c>
      <c r="I627" s="49"/>
      <c r="J627" s="40">
        <f>COUNTIF(System_configuration!B:B,A627)</f>
        <v>0</v>
      </c>
    </row>
    <row r="628" spans="1:10" s="29" customFormat="1" ht="25.5" x14ac:dyDescent="0.2">
      <c r="A628" s="83" t="s">
        <v>22</v>
      </c>
      <c r="B628" s="39">
        <v>-90</v>
      </c>
      <c r="C628" s="43" t="s">
        <v>1534</v>
      </c>
      <c r="D628" s="37" t="s">
        <v>732</v>
      </c>
      <c r="E628" s="37" t="s">
        <v>1029</v>
      </c>
      <c r="F628" s="39">
        <v>12</v>
      </c>
      <c r="G628" s="49" t="s">
        <v>3568</v>
      </c>
      <c r="H628" s="49" t="s">
        <v>3568</v>
      </c>
      <c r="I628" s="49"/>
      <c r="J628" s="40">
        <f>COUNTIF(System_configuration!B:B,A628)</f>
        <v>0</v>
      </c>
    </row>
    <row r="629" spans="1:10" s="29" customFormat="1" ht="25.5" x14ac:dyDescent="0.2">
      <c r="A629" s="83" t="s">
        <v>21</v>
      </c>
      <c r="B629" s="39">
        <v>-90</v>
      </c>
      <c r="C629" s="43" t="s">
        <v>1534</v>
      </c>
      <c r="D629" s="37" t="s">
        <v>733</v>
      </c>
      <c r="E629" s="37" t="s">
        <v>1030</v>
      </c>
      <c r="F629" s="39">
        <v>12</v>
      </c>
      <c r="G629" s="49" t="s">
        <v>3568</v>
      </c>
      <c r="H629" s="49" t="s">
        <v>3568</v>
      </c>
      <c r="I629" s="49"/>
      <c r="J629" s="40">
        <f>COUNTIF(System_configuration!B:B,A629)</f>
        <v>0</v>
      </c>
    </row>
    <row r="630" spans="1:10" s="29" customFormat="1" x14ac:dyDescent="0.2">
      <c r="A630" s="83" t="s">
        <v>36</v>
      </c>
      <c r="B630" s="39">
        <v>-110</v>
      </c>
      <c r="C630" s="43" t="s">
        <v>1534</v>
      </c>
      <c r="D630" s="37" t="s">
        <v>290</v>
      </c>
      <c r="E630" s="37" t="s">
        <v>1031</v>
      </c>
      <c r="F630" s="39">
        <v>12</v>
      </c>
      <c r="G630" s="49" t="s">
        <v>3568</v>
      </c>
      <c r="H630" s="49" t="s">
        <v>3568</v>
      </c>
      <c r="I630" s="49" t="s">
        <v>3568</v>
      </c>
      <c r="J630" s="40">
        <f>COUNTIF(System_configuration!B:B,A630)</f>
        <v>0</v>
      </c>
    </row>
    <row r="631" spans="1:10" s="29" customFormat="1" x14ac:dyDescent="0.2">
      <c r="A631" s="83" t="s">
        <v>37</v>
      </c>
      <c r="B631" s="39">
        <v>-110</v>
      </c>
      <c r="C631" s="43" t="s">
        <v>1534</v>
      </c>
      <c r="D631" s="37" t="s">
        <v>1198</v>
      </c>
      <c r="E631" s="37" t="s">
        <v>1032</v>
      </c>
      <c r="F631" s="39">
        <v>12</v>
      </c>
      <c r="G631" s="49" t="s">
        <v>3568</v>
      </c>
      <c r="H631" s="49" t="s">
        <v>3568</v>
      </c>
      <c r="I631" s="49" t="s">
        <v>3568</v>
      </c>
      <c r="J631" s="40">
        <f>COUNTIF(System_configuration!B:B,A631)</f>
        <v>0</v>
      </c>
    </row>
    <row r="632" spans="1:10" s="29" customFormat="1" x14ac:dyDescent="0.2">
      <c r="A632" s="83" t="s">
        <v>716</v>
      </c>
      <c r="B632" s="39">
        <v>-110</v>
      </c>
      <c r="C632" s="43" t="s">
        <v>1534</v>
      </c>
      <c r="D632" s="37" t="s">
        <v>1199</v>
      </c>
      <c r="E632" s="37" t="s">
        <v>1033</v>
      </c>
      <c r="F632" s="39">
        <v>12</v>
      </c>
      <c r="G632" s="49" t="s">
        <v>3568</v>
      </c>
      <c r="H632" s="49" t="s">
        <v>3568</v>
      </c>
      <c r="I632" s="49"/>
      <c r="J632" s="40">
        <f>COUNTIF(System_configuration!B:B,A632)</f>
        <v>0</v>
      </c>
    </row>
    <row r="633" spans="1:10" s="29" customFormat="1" ht="25.5" x14ac:dyDescent="0.2">
      <c r="A633" s="83" t="s">
        <v>717</v>
      </c>
      <c r="B633" s="39">
        <v>-90</v>
      </c>
      <c r="C633" s="43" t="s">
        <v>1534</v>
      </c>
      <c r="D633" s="37" t="s">
        <v>724</v>
      </c>
      <c r="E633" s="37" t="s">
        <v>1034</v>
      </c>
      <c r="F633" s="39">
        <v>12</v>
      </c>
      <c r="G633" s="49" t="s">
        <v>3568</v>
      </c>
      <c r="H633" s="49" t="s">
        <v>3568</v>
      </c>
      <c r="I633" s="49"/>
      <c r="J633" s="40">
        <f>COUNTIF(System_configuration!B:B,A633)</f>
        <v>0</v>
      </c>
    </row>
    <row r="634" spans="1:10" s="29" customFormat="1" x14ac:dyDescent="0.2">
      <c r="A634" s="83" t="s">
        <v>38</v>
      </c>
      <c r="B634" s="39">
        <v>-70</v>
      </c>
      <c r="C634" s="43" t="s">
        <v>1534</v>
      </c>
      <c r="D634" s="37" t="s">
        <v>293</v>
      </c>
      <c r="E634" s="37" t="s">
        <v>1035</v>
      </c>
      <c r="F634" s="39">
        <v>12</v>
      </c>
      <c r="G634" s="49" t="s">
        <v>3568</v>
      </c>
      <c r="H634" s="49" t="s">
        <v>3568</v>
      </c>
      <c r="I634" s="49" t="s">
        <v>3568</v>
      </c>
      <c r="J634" s="40">
        <f>COUNTIF(System_configuration!B:B,A634)</f>
        <v>0</v>
      </c>
    </row>
    <row r="635" spans="1:10" s="29" customFormat="1" x14ac:dyDescent="0.2">
      <c r="A635" s="83" t="s">
        <v>718</v>
      </c>
      <c r="B635" s="39">
        <v>-70</v>
      </c>
      <c r="C635" s="43" t="s">
        <v>1534</v>
      </c>
      <c r="D635" s="37" t="s">
        <v>293</v>
      </c>
      <c r="E635" s="37" t="s">
        <v>1035</v>
      </c>
      <c r="F635" s="39">
        <v>12</v>
      </c>
      <c r="G635" s="49" t="s">
        <v>3568</v>
      </c>
      <c r="H635" s="49" t="s">
        <v>3568</v>
      </c>
      <c r="I635" s="49" t="s">
        <v>3568</v>
      </c>
      <c r="J635" s="40">
        <f>COUNTIF(System_configuration!B:B,A635)</f>
        <v>0</v>
      </c>
    </row>
    <row r="636" spans="1:10" s="29" customFormat="1" x14ac:dyDescent="0.2">
      <c r="A636" s="83" t="s">
        <v>1118</v>
      </c>
      <c r="B636" s="39">
        <v>-120</v>
      </c>
      <c r="C636" s="43" t="s">
        <v>1534</v>
      </c>
      <c r="D636" s="37" t="s">
        <v>1200</v>
      </c>
      <c r="E636" s="37" t="s">
        <v>1156</v>
      </c>
      <c r="F636" s="39">
        <v>12</v>
      </c>
      <c r="G636" s="49" t="s">
        <v>3568</v>
      </c>
      <c r="H636" s="49" t="s">
        <v>3568</v>
      </c>
      <c r="I636" s="49"/>
      <c r="J636" s="40">
        <f>COUNTIF(System_configuration!B:B,A636)</f>
        <v>0</v>
      </c>
    </row>
    <row r="637" spans="1:10" s="29" customFormat="1" x14ac:dyDescent="0.2">
      <c r="A637" s="83" t="s">
        <v>4</v>
      </c>
      <c r="B637" s="39">
        <v>-130</v>
      </c>
      <c r="C637" s="43" t="s">
        <v>1534</v>
      </c>
      <c r="D637" s="37" t="s">
        <v>295</v>
      </c>
      <c r="E637" s="37" t="s">
        <v>1036</v>
      </c>
      <c r="F637" s="39">
        <v>12</v>
      </c>
      <c r="G637" s="49" t="s">
        <v>3568</v>
      </c>
      <c r="H637" s="49" t="s">
        <v>3568</v>
      </c>
      <c r="I637" s="49"/>
      <c r="J637" s="40">
        <f>COUNTIF(System_configuration!B:B,A637)</f>
        <v>0</v>
      </c>
    </row>
    <row r="638" spans="1:10" s="29" customFormat="1" x14ac:dyDescent="0.2">
      <c r="A638" s="83" t="s">
        <v>45</v>
      </c>
      <c r="B638" s="39">
        <v>-130</v>
      </c>
      <c r="C638" s="43" t="s">
        <v>1534</v>
      </c>
      <c r="D638" s="37" t="s">
        <v>297</v>
      </c>
      <c r="E638" s="37" t="s">
        <v>1037</v>
      </c>
      <c r="F638" s="39">
        <v>12</v>
      </c>
      <c r="G638" s="49" t="s">
        <v>3568</v>
      </c>
      <c r="H638" s="49" t="s">
        <v>3568</v>
      </c>
      <c r="I638" s="49" t="s">
        <v>3568</v>
      </c>
      <c r="J638" s="40">
        <f>COUNTIF(System_configuration!B:B,A638)</f>
        <v>0</v>
      </c>
    </row>
    <row r="639" spans="1:10" s="29" customFormat="1" x14ac:dyDescent="0.2">
      <c r="A639" s="83" t="s">
        <v>41</v>
      </c>
      <c r="B639" s="39">
        <v>-110</v>
      </c>
      <c r="C639" s="43" t="s">
        <v>1534</v>
      </c>
      <c r="D639" s="37" t="s">
        <v>299</v>
      </c>
      <c r="E639" s="37" t="s">
        <v>1038</v>
      </c>
      <c r="F639" s="39">
        <v>12</v>
      </c>
      <c r="G639" s="49" t="s">
        <v>3568</v>
      </c>
      <c r="H639" s="49" t="s">
        <v>3568</v>
      </c>
      <c r="I639" s="49" t="s">
        <v>3568</v>
      </c>
      <c r="J639" s="40">
        <f>COUNTIF(System_configuration!B:B,A639)</f>
        <v>0</v>
      </c>
    </row>
    <row r="640" spans="1:10" s="29" customFormat="1" x14ac:dyDescent="0.2">
      <c r="A640" s="83" t="s">
        <v>42</v>
      </c>
      <c r="B640" s="39">
        <v>-110</v>
      </c>
      <c r="C640" s="43" t="s">
        <v>1534</v>
      </c>
      <c r="D640" s="37" t="s">
        <v>301</v>
      </c>
      <c r="E640" s="37" t="s">
        <v>1039</v>
      </c>
      <c r="F640" s="39">
        <v>12</v>
      </c>
      <c r="G640" s="49" t="s">
        <v>3568</v>
      </c>
      <c r="H640" s="49" t="s">
        <v>3568</v>
      </c>
      <c r="I640" s="49" t="s">
        <v>3568</v>
      </c>
      <c r="J640" s="40">
        <f>COUNTIF(System_configuration!B:B,A640)</f>
        <v>0</v>
      </c>
    </row>
    <row r="641" spans="1:10" s="29" customFormat="1" x14ac:dyDescent="0.2">
      <c r="A641" s="83" t="s">
        <v>43</v>
      </c>
      <c r="B641" s="39">
        <v>-110</v>
      </c>
      <c r="C641" s="43" t="s">
        <v>1534</v>
      </c>
      <c r="D641" s="37" t="s">
        <v>303</v>
      </c>
      <c r="E641" s="37" t="s">
        <v>1040</v>
      </c>
      <c r="F641" s="39">
        <v>12</v>
      </c>
      <c r="G641" s="49"/>
      <c r="H641" s="49"/>
      <c r="I641" s="49"/>
      <c r="J641" s="40">
        <f>COUNTIF(System_configuration!B:B,A641)</f>
        <v>0</v>
      </c>
    </row>
    <row r="642" spans="1:10" s="29" customFormat="1" x14ac:dyDescent="0.2">
      <c r="A642" s="83" t="s">
        <v>305</v>
      </c>
      <c r="B642" s="39">
        <v>-90</v>
      </c>
      <c r="C642" s="43" t="s">
        <v>1534</v>
      </c>
      <c r="D642" s="37" t="s">
        <v>306</v>
      </c>
      <c r="E642" s="37" t="s">
        <v>1041</v>
      </c>
      <c r="F642" s="39">
        <v>12</v>
      </c>
      <c r="G642" s="49" t="s">
        <v>3568</v>
      </c>
      <c r="H642" s="49" t="s">
        <v>3568</v>
      </c>
      <c r="I642" s="49"/>
      <c r="J642" s="40">
        <f>COUNTIF(System_configuration!B:B,A642)</f>
        <v>0</v>
      </c>
    </row>
    <row r="643" spans="1:10" s="29" customFormat="1" x14ac:dyDescent="0.2">
      <c r="A643" s="83" t="s">
        <v>307</v>
      </c>
      <c r="B643" s="39">
        <v>-100</v>
      </c>
      <c r="C643" s="43" t="s">
        <v>1534</v>
      </c>
      <c r="D643" s="37" t="s">
        <v>308</v>
      </c>
      <c r="E643" s="37" t="s">
        <v>1042</v>
      </c>
      <c r="F643" s="39">
        <v>12</v>
      </c>
      <c r="G643" s="49" t="s">
        <v>3568</v>
      </c>
      <c r="H643" s="49" t="s">
        <v>3568</v>
      </c>
      <c r="I643" s="49"/>
      <c r="J643" s="40">
        <f>COUNTIF(System_configuration!B:B,A643)</f>
        <v>0</v>
      </c>
    </row>
    <row r="644" spans="1:10" s="29" customFormat="1" x14ac:dyDescent="0.2">
      <c r="A644" s="83" t="s">
        <v>309</v>
      </c>
      <c r="B644" s="39">
        <v>-100</v>
      </c>
      <c r="C644" s="43" t="s">
        <v>1534</v>
      </c>
      <c r="D644" s="37" t="s">
        <v>310</v>
      </c>
      <c r="E644" s="37" t="s">
        <v>1043</v>
      </c>
      <c r="F644" s="39">
        <v>12</v>
      </c>
      <c r="G644" s="49" t="s">
        <v>3568</v>
      </c>
      <c r="H644" s="49" t="s">
        <v>3568</v>
      </c>
      <c r="I644" s="49"/>
      <c r="J644" s="40">
        <f>COUNTIF(System_configuration!B:B,A644)</f>
        <v>0</v>
      </c>
    </row>
    <row r="645" spans="1:10" s="29" customFormat="1" x14ac:dyDescent="0.2">
      <c r="A645" s="83" t="s">
        <v>311</v>
      </c>
      <c r="B645" s="39">
        <v>-90</v>
      </c>
      <c r="C645" s="43" t="s">
        <v>1534</v>
      </c>
      <c r="D645" s="37" t="s">
        <v>312</v>
      </c>
      <c r="E645" s="37" t="s">
        <v>1044</v>
      </c>
      <c r="F645" s="39">
        <v>12</v>
      </c>
      <c r="G645" s="49" t="s">
        <v>3568</v>
      </c>
      <c r="H645" s="49" t="s">
        <v>3568</v>
      </c>
      <c r="I645" s="49"/>
      <c r="J645" s="40">
        <f>COUNTIF(System_configuration!B:B,A645)</f>
        <v>0</v>
      </c>
    </row>
    <row r="646" spans="1:10" s="29" customFormat="1" x14ac:dyDescent="0.2">
      <c r="A646" s="83" t="s">
        <v>313</v>
      </c>
      <c r="B646" s="39">
        <v>-100</v>
      </c>
      <c r="C646" s="43" t="s">
        <v>1534</v>
      </c>
      <c r="D646" s="37" t="s">
        <v>314</v>
      </c>
      <c r="E646" s="37" t="s">
        <v>1045</v>
      </c>
      <c r="F646" s="39">
        <v>12</v>
      </c>
      <c r="G646" s="49" t="s">
        <v>3568</v>
      </c>
      <c r="H646" s="49" t="s">
        <v>3568</v>
      </c>
      <c r="I646" s="49"/>
      <c r="J646" s="40">
        <f>COUNTIF(System_configuration!B:B,A646)</f>
        <v>0</v>
      </c>
    </row>
    <row r="647" spans="1:10" s="29" customFormat="1" ht="25.5" x14ac:dyDescent="0.2">
      <c r="A647" s="83" t="s">
        <v>315</v>
      </c>
      <c r="B647" s="39">
        <v>-130</v>
      </c>
      <c r="C647" s="43" t="s">
        <v>1534</v>
      </c>
      <c r="D647" s="37" t="s">
        <v>734</v>
      </c>
      <c r="E647" s="37" t="s">
        <v>775</v>
      </c>
      <c r="F647" s="39">
        <v>12</v>
      </c>
      <c r="G647" s="49" t="s">
        <v>3568</v>
      </c>
      <c r="H647" s="49" t="s">
        <v>3568</v>
      </c>
      <c r="I647" s="49"/>
      <c r="J647" s="40">
        <f>COUNTIF(System_configuration!B:B,A647)</f>
        <v>2</v>
      </c>
    </row>
    <row r="648" spans="1:10" s="29" customFormat="1" x14ac:dyDescent="0.2">
      <c r="A648" s="83" t="s">
        <v>316</v>
      </c>
      <c r="B648" s="39">
        <v>-100</v>
      </c>
      <c r="C648" s="43" t="s">
        <v>1534</v>
      </c>
      <c r="D648" s="37" t="s">
        <v>317</v>
      </c>
      <c r="E648" s="37" t="s">
        <v>776</v>
      </c>
      <c r="F648" s="39">
        <v>12</v>
      </c>
      <c r="G648" s="49"/>
      <c r="H648" s="49"/>
      <c r="I648" s="49"/>
      <c r="J648" s="40">
        <f>COUNTIF(System_configuration!B:B,A648)</f>
        <v>0</v>
      </c>
    </row>
    <row r="649" spans="1:10" s="29" customFormat="1" ht="25.5" x14ac:dyDescent="0.2">
      <c r="A649" s="83" t="s">
        <v>318</v>
      </c>
      <c r="B649" s="39">
        <v>-100</v>
      </c>
      <c r="C649" s="43" t="s">
        <v>1534</v>
      </c>
      <c r="D649" s="37" t="s">
        <v>319</v>
      </c>
      <c r="E649" s="37" t="s">
        <v>777</v>
      </c>
      <c r="F649" s="39">
        <v>12</v>
      </c>
      <c r="G649" s="49"/>
      <c r="H649" s="49"/>
      <c r="I649" s="49"/>
      <c r="J649" s="40">
        <f>COUNTIF(System_configuration!B:B,A649)</f>
        <v>0</v>
      </c>
    </row>
    <row r="650" spans="1:10" s="29" customFormat="1" x14ac:dyDescent="0.2">
      <c r="A650" s="83" t="s">
        <v>320</v>
      </c>
      <c r="B650" s="39">
        <v>-100</v>
      </c>
      <c r="C650" s="43" t="s">
        <v>1534</v>
      </c>
      <c r="D650" s="37" t="s">
        <v>321</v>
      </c>
      <c r="E650" s="37" t="s">
        <v>778</v>
      </c>
      <c r="F650" s="39">
        <v>12</v>
      </c>
      <c r="G650" s="49"/>
      <c r="H650" s="49"/>
      <c r="I650" s="49"/>
      <c r="J650" s="40">
        <f>COUNTIF(System_configuration!B:B,A650)</f>
        <v>0</v>
      </c>
    </row>
    <row r="651" spans="1:10" s="29" customFormat="1" x14ac:dyDescent="0.2">
      <c r="A651" s="83" t="s">
        <v>322</v>
      </c>
      <c r="B651" s="39">
        <v>-110</v>
      </c>
      <c r="C651" s="43" t="s">
        <v>1534</v>
      </c>
      <c r="D651" s="37" t="s">
        <v>323</v>
      </c>
      <c r="E651" s="37" t="s">
        <v>779</v>
      </c>
      <c r="F651" s="39">
        <v>12</v>
      </c>
      <c r="G651" s="49" t="s">
        <v>3568</v>
      </c>
      <c r="H651" s="49" t="s">
        <v>3568</v>
      </c>
      <c r="I651" s="49"/>
      <c r="J651" s="40">
        <f>COUNTIF(System_configuration!B:B,A651)</f>
        <v>0</v>
      </c>
    </row>
    <row r="652" spans="1:10" s="29" customFormat="1" x14ac:dyDescent="0.2">
      <c r="A652" s="83" t="s">
        <v>39</v>
      </c>
      <c r="B652" s="39">
        <v>-200</v>
      </c>
      <c r="C652" s="43" t="s">
        <v>1534</v>
      </c>
      <c r="D652" s="37" t="s">
        <v>40</v>
      </c>
      <c r="E652" s="37" t="s">
        <v>780</v>
      </c>
      <c r="F652" s="39">
        <v>12</v>
      </c>
      <c r="G652" s="49" t="s">
        <v>3568</v>
      </c>
      <c r="H652" s="49" t="s">
        <v>3568</v>
      </c>
      <c r="I652" s="49"/>
      <c r="J652" s="40">
        <f>COUNTIF(System_configuration!B:B,A652)</f>
        <v>0</v>
      </c>
    </row>
    <row r="653" spans="1:10" s="29" customFormat="1" x14ac:dyDescent="0.2">
      <c r="A653" s="83" t="s">
        <v>47</v>
      </c>
      <c r="B653" s="39">
        <v>-100</v>
      </c>
      <c r="C653" s="43" t="s">
        <v>1534</v>
      </c>
      <c r="D653" s="37" t="s">
        <v>735</v>
      </c>
      <c r="E653" s="37" t="s">
        <v>781</v>
      </c>
      <c r="F653" s="39">
        <v>12</v>
      </c>
      <c r="G653" s="49" t="s">
        <v>3568</v>
      </c>
      <c r="H653" s="49" t="s">
        <v>3568</v>
      </c>
      <c r="I653" s="49" t="s">
        <v>3568</v>
      </c>
      <c r="J653" s="40">
        <f>COUNTIF(System_configuration!B:B,A653)</f>
        <v>0</v>
      </c>
    </row>
    <row r="654" spans="1:10" s="29" customFormat="1" x14ac:dyDescent="0.2">
      <c r="A654" s="83" t="s">
        <v>10</v>
      </c>
      <c r="B654" s="39">
        <v>-100</v>
      </c>
      <c r="C654" s="43" t="s">
        <v>1534</v>
      </c>
      <c r="D654" s="37" t="s">
        <v>325</v>
      </c>
      <c r="E654" s="37" t="s">
        <v>782</v>
      </c>
      <c r="F654" s="39">
        <v>12</v>
      </c>
      <c r="G654" s="49" t="s">
        <v>3568</v>
      </c>
      <c r="H654" s="49" t="s">
        <v>3568</v>
      </c>
      <c r="I654" s="49"/>
      <c r="J654" s="40">
        <f>COUNTIF(System_configuration!B:B,A654)</f>
        <v>0</v>
      </c>
    </row>
    <row r="655" spans="1:10" s="29" customFormat="1" x14ac:dyDescent="0.2">
      <c r="A655" s="83" t="s">
        <v>48</v>
      </c>
      <c r="B655" s="39">
        <v>-110</v>
      </c>
      <c r="C655" s="43" t="s">
        <v>1534</v>
      </c>
      <c r="D655" s="37" t="s">
        <v>736</v>
      </c>
      <c r="E655" s="37" t="s">
        <v>783</v>
      </c>
      <c r="F655" s="39">
        <v>12</v>
      </c>
      <c r="G655" s="49" t="s">
        <v>3568</v>
      </c>
      <c r="H655" s="49" t="s">
        <v>3568</v>
      </c>
      <c r="I655" s="49"/>
      <c r="J655" s="40">
        <f>COUNTIF(System_configuration!B:B,A655)</f>
        <v>0</v>
      </c>
    </row>
    <row r="656" spans="1:10" s="29" customFormat="1" x14ac:dyDescent="0.2">
      <c r="A656" s="83" t="s">
        <v>1540</v>
      </c>
      <c r="B656" s="39">
        <v>-60</v>
      </c>
      <c r="C656" s="43" t="s">
        <v>1534</v>
      </c>
      <c r="D656" s="37" t="s">
        <v>1541</v>
      </c>
      <c r="E656" s="37" t="s">
        <v>1542</v>
      </c>
      <c r="F656" s="39">
        <v>12</v>
      </c>
      <c r="G656" s="49" t="s">
        <v>3568</v>
      </c>
      <c r="H656" s="49" t="s">
        <v>3568</v>
      </c>
      <c r="I656" s="49"/>
      <c r="J656" s="40">
        <f>COUNTIF(System_configuration!B:B,A656)</f>
        <v>0</v>
      </c>
    </row>
    <row r="657" spans="1:10" s="29" customFormat="1" x14ac:dyDescent="0.2">
      <c r="A657" s="83" t="s">
        <v>9</v>
      </c>
      <c r="B657" s="39">
        <v>-100</v>
      </c>
      <c r="C657" s="43" t="s">
        <v>1534</v>
      </c>
      <c r="D657" s="37" t="s">
        <v>328</v>
      </c>
      <c r="E657" s="37" t="s">
        <v>784</v>
      </c>
      <c r="F657" s="39">
        <v>12</v>
      </c>
      <c r="G657" s="49" t="s">
        <v>3568</v>
      </c>
      <c r="H657" s="49" t="s">
        <v>3568</v>
      </c>
      <c r="I657" s="49" t="s">
        <v>3568</v>
      </c>
      <c r="J657" s="40">
        <f>COUNTIF(System_configuration!B:B,A657)</f>
        <v>0</v>
      </c>
    </row>
    <row r="658" spans="1:10" s="29" customFormat="1" x14ac:dyDescent="0.2">
      <c r="A658" s="83" t="s">
        <v>49</v>
      </c>
      <c r="B658" s="39">
        <v>-120</v>
      </c>
      <c r="C658" s="43" t="s">
        <v>1534</v>
      </c>
      <c r="D658" s="37" t="s">
        <v>330</v>
      </c>
      <c r="E658" s="37" t="s">
        <v>785</v>
      </c>
      <c r="F658" s="39">
        <v>12</v>
      </c>
      <c r="G658" s="49" t="s">
        <v>3568</v>
      </c>
      <c r="H658" s="49" t="s">
        <v>3568</v>
      </c>
      <c r="I658" s="49"/>
      <c r="J658" s="40">
        <f>COUNTIF(System_configuration!B:B,A658)</f>
        <v>0</v>
      </c>
    </row>
    <row r="659" spans="1:10" s="29" customFormat="1" x14ac:dyDescent="0.2">
      <c r="A659" s="83" t="s">
        <v>332</v>
      </c>
      <c r="B659" s="39">
        <v>-120</v>
      </c>
      <c r="C659" s="43" t="s">
        <v>1534</v>
      </c>
      <c r="D659" s="37" t="s">
        <v>333</v>
      </c>
      <c r="E659" s="37" t="s">
        <v>786</v>
      </c>
      <c r="F659" s="39">
        <v>12</v>
      </c>
      <c r="G659" s="49" t="s">
        <v>3568</v>
      </c>
      <c r="H659" s="49" t="s">
        <v>3568</v>
      </c>
      <c r="I659" s="49"/>
      <c r="J659" s="40">
        <f>COUNTIF(System_configuration!B:B,A659)</f>
        <v>0</v>
      </c>
    </row>
    <row r="660" spans="1:10" s="29" customFormat="1" x14ac:dyDescent="0.2">
      <c r="A660" s="83" t="s">
        <v>50</v>
      </c>
      <c r="B660" s="39">
        <v>-100</v>
      </c>
      <c r="C660" s="43" t="s">
        <v>1534</v>
      </c>
      <c r="D660" s="37" t="s">
        <v>737</v>
      </c>
      <c r="E660" s="37" t="s">
        <v>787</v>
      </c>
      <c r="F660" s="39">
        <v>12</v>
      </c>
      <c r="G660" s="49" t="s">
        <v>3568</v>
      </c>
      <c r="H660" s="49" t="s">
        <v>3568</v>
      </c>
      <c r="I660" s="49" t="s">
        <v>3568</v>
      </c>
      <c r="J660" s="40">
        <f>COUNTIF(System_configuration!B:B,A660)</f>
        <v>0</v>
      </c>
    </row>
    <row r="661" spans="1:10" s="29" customFormat="1" x14ac:dyDescent="0.2">
      <c r="A661" s="83" t="s">
        <v>51</v>
      </c>
      <c r="B661" s="39">
        <v>-120</v>
      </c>
      <c r="C661" s="43" t="s">
        <v>1534</v>
      </c>
      <c r="D661" s="37" t="s">
        <v>335</v>
      </c>
      <c r="E661" s="37" t="s">
        <v>788</v>
      </c>
      <c r="F661" s="39">
        <v>12</v>
      </c>
      <c r="G661" s="49" t="s">
        <v>3568</v>
      </c>
      <c r="H661" s="49" t="s">
        <v>3568</v>
      </c>
      <c r="I661" s="49"/>
      <c r="J661" s="40">
        <f>COUNTIF(System_configuration!B:B,A661)</f>
        <v>1</v>
      </c>
    </row>
    <row r="662" spans="1:10" s="29" customFormat="1" x14ac:dyDescent="0.2">
      <c r="A662" s="83" t="s">
        <v>234</v>
      </c>
      <c r="B662" s="39">
        <v>-120</v>
      </c>
      <c r="C662" s="43" t="s">
        <v>1534</v>
      </c>
      <c r="D662" s="37" t="s">
        <v>337</v>
      </c>
      <c r="E662" s="37" t="s">
        <v>789</v>
      </c>
      <c r="F662" s="39">
        <v>12</v>
      </c>
      <c r="G662" s="49" t="s">
        <v>3568</v>
      </c>
      <c r="H662" s="49" t="s">
        <v>3568</v>
      </c>
      <c r="I662" s="49"/>
      <c r="J662" s="40">
        <f>COUNTIF(System_configuration!B:B,A662)</f>
        <v>0</v>
      </c>
    </row>
    <row r="663" spans="1:10" s="29" customFormat="1" x14ac:dyDescent="0.2">
      <c r="A663" s="83" t="s">
        <v>52</v>
      </c>
      <c r="B663" s="39">
        <v>-100</v>
      </c>
      <c r="C663" s="43" t="s">
        <v>1534</v>
      </c>
      <c r="D663" s="37" t="s">
        <v>235</v>
      </c>
      <c r="E663" s="37" t="s">
        <v>790</v>
      </c>
      <c r="F663" s="39">
        <v>12</v>
      </c>
      <c r="G663" s="49" t="s">
        <v>3568</v>
      </c>
      <c r="H663" s="49" t="s">
        <v>3568</v>
      </c>
      <c r="I663" s="49"/>
      <c r="J663" s="40">
        <f>COUNTIF(System_configuration!B:B,A663)</f>
        <v>0</v>
      </c>
    </row>
    <row r="664" spans="1:10" s="29" customFormat="1" x14ac:dyDescent="0.2">
      <c r="A664" s="83" t="s">
        <v>53</v>
      </c>
      <c r="B664" s="39">
        <v>-110</v>
      </c>
      <c r="C664" s="43" t="s">
        <v>1534</v>
      </c>
      <c r="D664" s="37" t="s">
        <v>738</v>
      </c>
      <c r="E664" s="37" t="s">
        <v>791</v>
      </c>
      <c r="F664" s="39">
        <v>12</v>
      </c>
      <c r="G664" s="49" t="s">
        <v>3568</v>
      </c>
      <c r="H664" s="49" t="s">
        <v>3568</v>
      </c>
      <c r="I664" s="49"/>
      <c r="J664" s="40">
        <f>COUNTIF(System_configuration!B:B,A664)</f>
        <v>0</v>
      </c>
    </row>
    <row r="665" spans="1:10" s="29" customFormat="1" ht="25.5" x14ac:dyDescent="0.2">
      <c r="A665" s="83" t="s">
        <v>46</v>
      </c>
      <c r="B665" s="39">
        <v>-130</v>
      </c>
      <c r="C665" s="43" t="s">
        <v>1534</v>
      </c>
      <c r="D665" s="37" t="s">
        <v>739</v>
      </c>
      <c r="E665" s="37" t="s">
        <v>792</v>
      </c>
      <c r="F665" s="39">
        <v>12</v>
      </c>
      <c r="G665" s="49" t="s">
        <v>3568</v>
      </c>
      <c r="H665" s="49" t="s">
        <v>3568</v>
      </c>
      <c r="I665" s="49"/>
      <c r="J665" s="40">
        <f>COUNTIF(System_configuration!B:B,A665)</f>
        <v>0</v>
      </c>
    </row>
    <row r="666" spans="1:10" s="29" customFormat="1" x14ac:dyDescent="0.2">
      <c r="A666" s="83" t="s">
        <v>54</v>
      </c>
      <c r="B666" s="39">
        <v>-130</v>
      </c>
      <c r="C666" s="43" t="s">
        <v>1534</v>
      </c>
      <c r="D666" s="37" t="s">
        <v>342</v>
      </c>
      <c r="E666" s="37" t="s">
        <v>793</v>
      </c>
      <c r="F666" s="39">
        <v>12</v>
      </c>
      <c r="G666" s="49" t="s">
        <v>3568</v>
      </c>
      <c r="H666" s="49" t="s">
        <v>3568</v>
      </c>
      <c r="I666" s="49" t="s">
        <v>3568</v>
      </c>
      <c r="J666" s="40">
        <f>COUNTIF(System_configuration!B:B,A666)</f>
        <v>0</v>
      </c>
    </row>
    <row r="667" spans="1:10" s="29" customFormat="1" x14ac:dyDescent="0.2">
      <c r="A667" s="83" t="s">
        <v>55</v>
      </c>
      <c r="B667" s="39">
        <v>-120</v>
      </c>
      <c r="C667" s="43" t="s">
        <v>1534</v>
      </c>
      <c r="D667" s="37" t="s">
        <v>1201</v>
      </c>
      <c r="E667" s="37" t="s">
        <v>794</v>
      </c>
      <c r="F667" s="39">
        <v>12</v>
      </c>
      <c r="G667" s="49" t="s">
        <v>3568</v>
      </c>
      <c r="H667" s="49" t="s">
        <v>3568</v>
      </c>
      <c r="I667" s="49" t="s">
        <v>3568</v>
      </c>
      <c r="J667" s="40">
        <f>COUNTIF(System_configuration!B:B,A667)</f>
        <v>0</v>
      </c>
    </row>
    <row r="668" spans="1:10" s="29" customFormat="1" x14ac:dyDescent="0.2">
      <c r="A668" s="83" t="s">
        <v>56</v>
      </c>
      <c r="B668" s="39">
        <v>-130</v>
      </c>
      <c r="C668" s="43" t="s">
        <v>1534</v>
      </c>
      <c r="D668" s="37" t="s">
        <v>345</v>
      </c>
      <c r="E668" s="37" t="s">
        <v>795</v>
      </c>
      <c r="F668" s="39">
        <v>12</v>
      </c>
      <c r="G668" s="49" t="s">
        <v>3568</v>
      </c>
      <c r="H668" s="49" t="s">
        <v>3568</v>
      </c>
      <c r="I668" s="49" t="s">
        <v>3568</v>
      </c>
      <c r="J668" s="40">
        <f>COUNTIF(System_configuration!B:B,A668)</f>
        <v>0</v>
      </c>
    </row>
    <row r="669" spans="1:10" s="29" customFormat="1" x14ac:dyDescent="0.2">
      <c r="A669" s="83" t="s">
        <v>719</v>
      </c>
      <c r="B669" s="39">
        <v>-130</v>
      </c>
      <c r="C669" s="43" t="s">
        <v>1534</v>
      </c>
      <c r="D669" s="37" t="s">
        <v>740</v>
      </c>
      <c r="E669" s="37" t="s">
        <v>796</v>
      </c>
      <c r="F669" s="39">
        <v>12</v>
      </c>
      <c r="G669" s="49" t="s">
        <v>3568</v>
      </c>
      <c r="H669" s="49" t="s">
        <v>3568</v>
      </c>
      <c r="I669" s="49"/>
      <c r="J669" s="40">
        <f>COUNTIF(System_configuration!B:B,A669)</f>
        <v>0</v>
      </c>
    </row>
    <row r="670" spans="1:10" s="29" customFormat="1" ht="25.5" x14ac:dyDescent="0.2">
      <c r="A670" s="83" t="s">
        <v>57</v>
      </c>
      <c r="B670" s="39">
        <v>-70</v>
      </c>
      <c r="C670" s="43" t="s">
        <v>1534</v>
      </c>
      <c r="D670" s="37" t="s">
        <v>741</v>
      </c>
      <c r="E670" s="37" t="s">
        <v>797</v>
      </c>
      <c r="F670" s="39">
        <v>12</v>
      </c>
      <c r="G670" s="49" t="s">
        <v>3568</v>
      </c>
      <c r="H670" s="49" t="s">
        <v>3568</v>
      </c>
      <c r="I670" s="49" t="s">
        <v>3568</v>
      </c>
      <c r="J670" s="40">
        <f>COUNTIF(System_configuration!B:B,A670)</f>
        <v>0</v>
      </c>
    </row>
    <row r="671" spans="1:10" s="29" customFormat="1" x14ac:dyDescent="0.2">
      <c r="A671" s="83" t="s">
        <v>64</v>
      </c>
      <c r="B671" s="39">
        <v>-150</v>
      </c>
      <c r="C671" s="43" t="s">
        <v>1534</v>
      </c>
      <c r="D671" s="37" t="s">
        <v>348</v>
      </c>
      <c r="E671" s="37" t="s">
        <v>798</v>
      </c>
      <c r="F671" s="39">
        <v>12</v>
      </c>
      <c r="G671" s="49" t="s">
        <v>3568</v>
      </c>
      <c r="H671" s="49" t="s">
        <v>3568</v>
      </c>
      <c r="I671" s="49" t="s">
        <v>3568</v>
      </c>
      <c r="J671" s="40">
        <f>COUNTIF(System_configuration!B:B,A671)</f>
        <v>0</v>
      </c>
    </row>
    <row r="672" spans="1:10" s="29" customFormat="1" x14ac:dyDescent="0.2">
      <c r="A672" s="83" t="s">
        <v>67</v>
      </c>
      <c r="B672" s="39">
        <v>-280</v>
      </c>
      <c r="C672" s="43" t="s">
        <v>1534</v>
      </c>
      <c r="D672" s="37" t="s">
        <v>239</v>
      </c>
      <c r="E672" s="37" t="s">
        <v>799</v>
      </c>
      <c r="F672" s="39">
        <v>12</v>
      </c>
      <c r="G672" s="49" t="s">
        <v>3568</v>
      </c>
      <c r="H672" s="49" t="s">
        <v>3568</v>
      </c>
      <c r="I672" s="49"/>
      <c r="J672" s="40">
        <f>COUNTIF(System_configuration!B:B,A672)</f>
        <v>0</v>
      </c>
    </row>
    <row r="673" spans="1:10" s="29" customFormat="1" x14ac:dyDescent="0.2">
      <c r="A673" s="83" t="s">
        <v>237</v>
      </c>
      <c r="B673" s="39">
        <v>-280</v>
      </c>
      <c r="C673" s="43" t="s">
        <v>1534</v>
      </c>
      <c r="D673" s="37" t="s">
        <v>238</v>
      </c>
      <c r="E673" s="37" t="s">
        <v>800</v>
      </c>
      <c r="F673" s="39">
        <v>12</v>
      </c>
      <c r="G673" s="49" t="s">
        <v>3568</v>
      </c>
      <c r="H673" s="49" t="s">
        <v>3568</v>
      </c>
      <c r="I673" s="49"/>
      <c r="J673" s="40">
        <f>COUNTIF(System_configuration!B:B,A673)</f>
        <v>0</v>
      </c>
    </row>
    <row r="674" spans="1:10" s="29" customFormat="1" x14ac:dyDescent="0.2">
      <c r="A674" s="83" t="s">
        <v>351</v>
      </c>
      <c r="B674" s="39">
        <v>-280</v>
      </c>
      <c r="C674" s="43" t="s">
        <v>1534</v>
      </c>
      <c r="D674" s="37" t="s">
        <v>352</v>
      </c>
      <c r="E674" s="37" t="s">
        <v>801</v>
      </c>
      <c r="F674" s="39">
        <v>12</v>
      </c>
      <c r="G674" s="49" t="s">
        <v>3568</v>
      </c>
      <c r="H674" s="49" t="s">
        <v>3568</v>
      </c>
      <c r="I674" s="49"/>
      <c r="J674" s="40">
        <f>COUNTIF(System_configuration!B:B,A674)</f>
        <v>0</v>
      </c>
    </row>
    <row r="675" spans="1:10" s="29" customFormat="1" x14ac:dyDescent="0.2">
      <c r="A675" s="83" t="s">
        <v>353</v>
      </c>
      <c r="B675" s="39">
        <v>-280</v>
      </c>
      <c r="C675" s="43" t="s">
        <v>1534</v>
      </c>
      <c r="D675" s="37" t="s">
        <v>239</v>
      </c>
      <c r="E675" s="37" t="s">
        <v>799</v>
      </c>
      <c r="F675" s="39">
        <v>12</v>
      </c>
      <c r="G675" s="49" t="s">
        <v>3568</v>
      </c>
      <c r="H675" s="49" t="s">
        <v>3568</v>
      </c>
      <c r="I675" s="49"/>
      <c r="J675" s="40">
        <f>COUNTIF(System_configuration!B:B,A675)</f>
        <v>0</v>
      </c>
    </row>
    <row r="676" spans="1:10" s="29" customFormat="1" x14ac:dyDescent="0.2">
      <c r="A676" s="83" t="s">
        <v>1120</v>
      </c>
      <c r="B676" s="39">
        <v>-120</v>
      </c>
      <c r="C676" s="43" t="s">
        <v>1534</v>
      </c>
      <c r="D676" s="37" t="s">
        <v>1202</v>
      </c>
      <c r="E676" s="37" t="s">
        <v>1157</v>
      </c>
      <c r="F676" s="39">
        <v>12</v>
      </c>
      <c r="G676" s="49" t="s">
        <v>3568</v>
      </c>
      <c r="H676" s="49" t="s">
        <v>3568</v>
      </c>
      <c r="I676" s="49"/>
      <c r="J676" s="40">
        <f>COUNTIF(System_configuration!B:B,A676)</f>
        <v>0</v>
      </c>
    </row>
    <row r="677" spans="1:10" s="29" customFormat="1" x14ac:dyDescent="0.2">
      <c r="A677" s="83" t="s">
        <v>65</v>
      </c>
      <c r="B677" s="39">
        <v>-110</v>
      </c>
      <c r="C677" s="43" t="s">
        <v>1534</v>
      </c>
      <c r="D677" s="37" t="s">
        <v>354</v>
      </c>
      <c r="E677" s="37" t="s">
        <v>802</v>
      </c>
      <c r="F677" s="39">
        <v>12</v>
      </c>
      <c r="G677" s="49" t="s">
        <v>3568</v>
      </c>
      <c r="H677" s="49" t="s">
        <v>3568</v>
      </c>
      <c r="I677" s="49"/>
      <c r="J677" s="40">
        <f>COUNTIF(System_configuration!B:B,A677)</f>
        <v>0</v>
      </c>
    </row>
    <row r="678" spans="1:10" s="29" customFormat="1" x14ac:dyDescent="0.2">
      <c r="A678" s="83" t="s">
        <v>677</v>
      </c>
      <c r="B678" s="39">
        <v>-110</v>
      </c>
      <c r="C678" s="43" t="s">
        <v>1534</v>
      </c>
      <c r="D678" s="37" t="s">
        <v>692</v>
      </c>
      <c r="E678" s="37" t="s">
        <v>803</v>
      </c>
      <c r="F678" s="39">
        <v>12</v>
      </c>
      <c r="G678" s="49" t="s">
        <v>3568</v>
      </c>
      <c r="H678" s="49" t="s">
        <v>3568</v>
      </c>
      <c r="I678" s="49"/>
      <c r="J678" s="40">
        <f>COUNTIF(System_configuration!B:B,A678)</f>
        <v>0</v>
      </c>
    </row>
    <row r="679" spans="1:10" s="29" customFormat="1" x14ac:dyDescent="0.2">
      <c r="A679" s="83" t="s">
        <v>678</v>
      </c>
      <c r="B679" s="39">
        <v>-110</v>
      </c>
      <c r="C679" s="43" t="s">
        <v>1534</v>
      </c>
      <c r="D679" s="37" t="s">
        <v>693</v>
      </c>
      <c r="E679" s="37" t="s">
        <v>804</v>
      </c>
      <c r="F679" s="39">
        <v>12</v>
      </c>
      <c r="G679" s="49" t="s">
        <v>3568</v>
      </c>
      <c r="H679" s="49" t="s">
        <v>3568</v>
      </c>
      <c r="I679" s="49"/>
      <c r="J679" s="40">
        <f>COUNTIF(System_configuration!B:B,A679)</f>
        <v>0</v>
      </c>
    </row>
    <row r="680" spans="1:10" s="29" customFormat="1" x14ac:dyDescent="0.2">
      <c r="A680" s="83" t="s">
        <v>66</v>
      </c>
      <c r="B680" s="39">
        <v>-180</v>
      </c>
      <c r="C680" s="43" t="s">
        <v>1534</v>
      </c>
      <c r="D680" s="37" t="s">
        <v>356</v>
      </c>
      <c r="E680" s="37" t="s">
        <v>805</v>
      </c>
      <c r="F680" s="39">
        <v>24</v>
      </c>
      <c r="G680" s="49" t="s">
        <v>3568</v>
      </c>
      <c r="H680" s="49" t="s">
        <v>3568</v>
      </c>
      <c r="I680" s="49"/>
      <c r="J680" s="40">
        <f>COUNTIF(System_configuration!B:B,A680)</f>
        <v>0</v>
      </c>
    </row>
    <row r="681" spans="1:10" s="29" customFormat="1" x14ac:dyDescent="0.2">
      <c r="A681" s="83" t="s">
        <v>753</v>
      </c>
      <c r="B681" s="39">
        <v>-130</v>
      </c>
      <c r="C681" s="43" t="s">
        <v>1534</v>
      </c>
      <c r="D681" s="37" t="s">
        <v>760</v>
      </c>
      <c r="E681" s="37" t="s">
        <v>806</v>
      </c>
      <c r="F681" s="39">
        <v>12</v>
      </c>
      <c r="G681" s="49" t="s">
        <v>3568</v>
      </c>
      <c r="H681" s="49" t="s">
        <v>3568</v>
      </c>
      <c r="I681" s="49"/>
      <c r="J681" s="40">
        <f>COUNTIF(System_configuration!B:B,A681)</f>
        <v>0</v>
      </c>
    </row>
    <row r="682" spans="1:10" s="29" customFormat="1" x14ac:dyDescent="0.2">
      <c r="A682" s="83" t="s">
        <v>59</v>
      </c>
      <c r="B682" s="39">
        <v>-170</v>
      </c>
      <c r="C682" s="43" t="s">
        <v>1534</v>
      </c>
      <c r="D682" s="37" t="s">
        <v>1203</v>
      </c>
      <c r="E682" s="37" t="s">
        <v>807</v>
      </c>
      <c r="F682" s="39">
        <v>12</v>
      </c>
      <c r="G682" s="49" t="s">
        <v>3568</v>
      </c>
      <c r="H682" s="49" t="s">
        <v>3568</v>
      </c>
      <c r="I682" s="49" t="s">
        <v>3568</v>
      </c>
      <c r="J682" s="40">
        <f>COUNTIF(System_configuration!B:B,A682)</f>
        <v>0</v>
      </c>
    </row>
    <row r="683" spans="1:10" s="29" customFormat="1" ht="25.5" x14ac:dyDescent="0.2">
      <c r="A683" s="83" t="s">
        <v>11</v>
      </c>
      <c r="B683" s="39">
        <v>-150</v>
      </c>
      <c r="C683" s="43" t="s">
        <v>1534</v>
      </c>
      <c r="D683" s="37" t="s">
        <v>1204</v>
      </c>
      <c r="E683" s="37" t="s">
        <v>808</v>
      </c>
      <c r="F683" s="39">
        <v>12</v>
      </c>
      <c r="G683" s="49"/>
      <c r="H683" s="49"/>
      <c r="I683" s="49" t="s">
        <v>3568</v>
      </c>
      <c r="J683" s="40">
        <f>COUNTIF(System_configuration!B:B,A683)</f>
        <v>0</v>
      </c>
    </row>
    <row r="684" spans="1:10" s="29" customFormat="1" ht="25.5" x14ac:dyDescent="0.2">
      <c r="A684" s="83" t="s">
        <v>60</v>
      </c>
      <c r="B684" s="39">
        <v>-170</v>
      </c>
      <c r="C684" s="43" t="s">
        <v>1534</v>
      </c>
      <c r="D684" s="37" t="s">
        <v>742</v>
      </c>
      <c r="E684" s="37" t="s">
        <v>809</v>
      </c>
      <c r="F684" s="39">
        <v>12</v>
      </c>
      <c r="G684" s="49"/>
      <c r="H684" s="49"/>
      <c r="I684" s="49" t="s">
        <v>3568</v>
      </c>
      <c r="J684" s="40">
        <f>COUNTIF(System_configuration!B:B,A684)</f>
        <v>0</v>
      </c>
    </row>
    <row r="685" spans="1:10" s="29" customFormat="1" x14ac:dyDescent="0.2">
      <c r="A685" s="83" t="s">
        <v>361</v>
      </c>
      <c r="B685" s="39">
        <v>-200</v>
      </c>
      <c r="C685" s="43" t="s">
        <v>1534</v>
      </c>
      <c r="D685" s="37" t="s">
        <v>362</v>
      </c>
      <c r="E685" s="37" t="s">
        <v>810</v>
      </c>
      <c r="F685" s="39">
        <v>12</v>
      </c>
      <c r="G685" s="49" t="s">
        <v>3568</v>
      </c>
      <c r="H685" s="49" t="s">
        <v>3568</v>
      </c>
      <c r="I685" s="49"/>
      <c r="J685" s="40">
        <f>COUNTIF(System_configuration!B:B,A685)</f>
        <v>0</v>
      </c>
    </row>
    <row r="686" spans="1:10" s="29" customFormat="1" x14ac:dyDescent="0.2">
      <c r="A686" s="83" t="s">
        <v>765</v>
      </c>
      <c r="B686" s="39">
        <v>-180</v>
      </c>
      <c r="C686" s="43" t="s">
        <v>1534</v>
      </c>
      <c r="D686" s="37" t="s">
        <v>766</v>
      </c>
      <c r="E686" s="37" t="s">
        <v>811</v>
      </c>
      <c r="F686" s="39">
        <v>12</v>
      </c>
      <c r="G686" s="49"/>
      <c r="H686" s="49"/>
      <c r="I686" s="49"/>
      <c r="J686" s="40">
        <f>COUNTIF(System_configuration!B:B,A686)</f>
        <v>0</v>
      </c>
    </row>
    <row r="687" spans="1:10" s="29" customFormat="1" x14ac:dyDescent="0.2">
      <c r="A687" s="83" t="s">
        <v>61</v>
      </c>
      <c r="B687" s="39">
        <v>-120</v>
      </c>
      <c r="C687" s="43" t="s">
        <v>1534</v>
      </c>
      <c r="D687" s="37" t="s">
        <v>364</v>
      </c>
      <c r="E687" s="37" t="s">
        <v>812</v>
      </c>
      <c r="F687" s="39">
        <v>12</v>
      </c>
      <c r="G687" s="49" t="s">
        <v>3568</v>
      </c>
      <c r="H687" s="49" t="s">
        <v>3568</v>
      </c>
      <c r="I687" s="49" t="s">
        <v>3568</v>
      </c>
      <c r="J687" s="40">
        <f>COUNTIF(System_configuration!B:B,A687)</f>
        <v>0</v>
      </c>
    </row>
    <row r="688" spans="1:10" s="29" customFormat="1" x14ac:dyDescent="0.2">
      <c r="A688" s="83" t="s">
        <v>62</v>
      </c>
      <c r="B688" s="81">
        <v>-120</v>
      </c>
      <c r="C688" s="82" t="s">
        <v>1534</v>
      </c>
      <c r="D688" s="61" t="s">
        <v>366</v>
      </c>
      <c r="E688" s="61" t="s">
        <v>813</v>
      </c>
      <c r="F688" s="81">
        <v>12</v>
      </c>
      <c r="G688" s="84" t="s">
        <v>3568</v>
      </c>
      <c r="H688" s="84" t="s">
        <v>3568</v>
      </c>
      <c r="I688" s="84" t="s">
        <v>3568</v>
      </c>
      <c r="J688" s="40">
        <f>COUNTIF(System_configuration!B:B,A688)</f>
        <v>0</v>
      </c>
    </row>
    <row r="689" spans="1:10" s="29" customFormat="1" x14ac:dyDescent="0.2">
      <c r="A689" s="83" t="s">
        <v>63</v>
      </c>
      <c r="B689" s="81">
        <v>-120</v>
      </c>
      <c r="C689" s="82" t="s">
        <v>1534</v>
      </c>
      <c r="D689" s="61" t="s">
        <v>368</v>
      </c>
      <c r="E689" s="61" t="s">
        <v>814</v>
      </c>
      <c r="F689" s="81">
        <v>12</v>
      </c>
      <c r="G689" s="84"/>
      <c r="H689" s="84"/>
      <c r="I689" s="84"/>
      <c r="J689" s="40">
        <f>COUNTIF(System_configuration!B:B,A689)</f>
        <v>0</v>
      </c>
    </row>
    <row r="690" spans="1:10" s="29" customFormat="1" x14ac:dyDescent="0.2">
      <c r="A690" s="83" t="s">
        <v>1121</v>
      </c>
      <c r="B690" s="39">
        <v>-140</v>
      </c>
      <c r="C690" s="43" t="s">
        <v>1534</v>
      </c>
      <c r="D690" s="37" t="s">
        <v>1205</v>
      </c>
      <c r="E690" s="37" t="s">
        <v>1158</v>
      </c>
      <c r="F690" s="39">
        <v>12</v>
      </c>
      <c r="G690" s="49" t="s">
        <v>3568</v>
      </c>
      <c r="H690" s="49" t="s">
        <v>3568</v>
      </c>
      <c r="I690" s="49"/>
      <c r="J690" s="40">
        <f>COUNTIF(System_configuration!B:B,A690)</f>
        <v>0</v>
      </c>
    </row>
    <row r="691" spans="1:10" s="29" customFormat="1" x14ac:dyDescent="0.2">
      <c r="A691" s="83" t="s">
        <v>1122</v>
      </c>
      <c r="B691" s="39">
        <v>-140</v>
      </c>
      <c r="C691" s="43" t="s">
        <v>1534</v>
      </c>
      <c r="D691" s="37" t="s">
        <v>1206</v>
      </c>
      <c r="E691" s="37" t="s">
        <v>1159</v>
      </c>
      <c r="F691" s="39">
        <v>12</v>
      </c>
      <c r="G691" s="49" t="s">
        <v>3568</v>
      </c>
      <c r="H691" s="49" t="s">
        <v>3568</v>
      </c>
      <c r="I691" s="49"/>
      <c r="J691" s="40">
        <f>COUNTIF(System_configuration!B:B,A691)</f>
        <v>0</v>
      </c>
    </row>
    <row r="692" spans="1:10" s="29" customFormat="1" ht="25.5" x14ac:dyDescent="0.2">
      <c r="A692" s="83" t="s">
        <v>1123</v>
      </c>
      <c r="B692" s="39">
        <v>-140</v>
      </c>
      <c r="C692" s="43" t="s">
        <v>1534</v>
      </c>
      <c r="D692" s="37" t="s">
        <v>1207</v>
      </c>
      <c r="E692" s="37" t="s">
        <v>1160</v>
      </c>
      <c r="F692" s="39">
        <v>12</v>
      </c>
      <c r="G692" s="49" t="s">
        <v>3568</v>
      </c>
      <c r="H692" s="49" t="s">
        <v>3568</v>
      </c>
      <c r="I692" s="49"/>
      <c r="J692" s="40">
        <f>COUNTIF(System_configuration!B:B,A692)</f>
        <v>0</v>
      </c>
    </row>
    <row r="693" spans="1:10" s="29" customFormat="1" ht="25.5" x14ac:dyDescent="0.2">
      <c r="A693" s="83" t="s">
        <v>679</v>
      </c>
      <c r="B693" s="39">
        <v>-140</v>
      </c>
      <c r="C693" s="43" t="s">
        <v>1534</v>
      </c>
      <c r="D693" s="37" t="s">
        <v>1208</v>
      </c>
      <c r="E693" s="37" t="s">
        <v>1543</v>
      </c>
      <c r="F693" s="39">
        <v>12</v>
      </c>
      <c r="G693" s="49" t="s">
        <v>3568</v>
      </c>
      <c r="H693" s="49" t="s">
        <v>3568</v>
      </c>
      <c r="I693" s="49"/>
      <c r="J693" s="40">
        <f>COUNTIF(System_configuration!B:B,A693)</f>
        <v>0</v>
      </c>
    </row>
    <row r="694" spans="1:10" s="29" customFormat="1" x14ac:dyDescent="0.2">
      <c r="A694" s="83" t="s">
        <v>370</v>
      </c>
      <c r="B694" s="39">
        <v>-110</v>
      </c>
      <c r="C694" s="43" t="s">
        <v>1534</v>
      </c>
      <c r="D694" s="37" t="s">
        <v>371</v>
      </c>
      <c r="E694" s="37" t="s">
        <v>815</v>
      </c>
      <c r="F694" s="39">
        <v>12</v>
      </c>
      <c r="G694" s="49" t="s">
        <v>3568</v>
      </c>
      <c r="H694" s="49" t="s">
        <v>3568</v>
      </c>
      <c r="I694" s="49"/>
      <c r="J694" s="40">
        <f>COUNTIF(System_configuration!B:B,A694)</f>
        <v>0</v>
      </c>
    </row>
    <row r="695" spans="1:10" s="29" customFormat="1" x14ac:dyDescent="0.2">
      <c r="A695" s="83" t="s">
        <v>372</v>
      </c>
      <c r="B695" s="39">
        <v>-140</v>
      </c>
      <c r="C695" s="43" t="s">
        <v>1534</v>
      </c>
      <c r="D695" s="37" t="s">
        <v>373</v>
      </c>
      <c r="E695" s="37" t="s">
        <v>816</v>
      </c>
      <c r="F695" s="39">
        <v>12</v>
      </c>
      <c r="G695" s="49" t="s">
        <v>3568</v>
      </c>
      <c r="H695" s="49" t="s">
        <v>3568</v>
      </c>
      <c r="I695" s="49"/>
      <c r="J695" s="40">
        <f>COUNTIF(System_configuration!B:B,A695)</f>
        <v>0</v>
      </c>
    </row>
    <row r="696" spans="1:10" s="29" customFormat="1" x14ac:dyDescent="0.2">
      <c r="A696" s="83" t="s">
        <v>768</v>
      </c>
      <c r="B696" s="39">
        <v>-90</v>
      </c>
      <c r="C696" s="43" t="s">
        <v>1534</v>
      </c>
      <c r="D696" s="37" t="s">
        <v>769</v>
      </c>
      <c r="E696" s="37" t="s">
        <v>817</v>
      </c>
      <c r="F696" s="39">
        <v>12</v>
      </c>
      <c r="G696" s="49" t="s">
        <v>3568</v>
      </c>
      <c r="H696" s="49" t="s">
        <v>3568</v>
      </c>
      <c r="I696" s="49"/>
      <c r="J696" s="40">
        <f>COUNTIF(System_configuration!B:B,A696)</f>
        <v>0</v>
      </c>
    </row>
    <row r="697" spans="1:10" s="29" customFormat="1" x14ac:dyDescent="0.2">
      <c r="A697" s="83" t="s">
        <v>754</v>
      </c>
      <c r="B697" s="39">
        <v>-110</v>
      </c>
      <c r="C697" s="43" t="s">
        <v>1534</v>
      </c>
      <c r="D697" s="37" t="s">
        <v>761</v>
      </c>
      <c r="E697" s="37" t="s">
        <v>818</v>
      </c>
      <c r="F697" s="39">
        <v>12</v>
      </c>
      <c r="G697" s="49" t="s">
        <v>3568</v>
      </c>
      <c r="H697" s="49" t="s">
        <v>3568</v>
      </c>
      <c r="I697" s="49"/>
      <c r="J697" s="40">
        <f>COUNTIF(System_configuration!B:B,A697)</f>
        <v>0</v>
      </c>
    </row>
    <row r="698" spans="1:10" s="29" customFormat="1" x14ac:dyDescent="0.2">
      <c r="A698" s="83" t="s">
        <v>374</v>
      </c>
      <c r="B698" s="39">
        <v>-130</v>
      </c>
      <c r="C698" s="43" t="s">
        <v>1534</v>
      </c>
      <c r="D698" s="37" t="s">
        <v>375</v>
      </c>
      <c r="E698" s="37" t="s">
        <v>819</v>
      </c>
      <c r="F698" s="39">
        <v>12</v>
      </c>
      <c r="G698" s="49"/>
      <c r="H698" s="49"/>
      <c r="I698" s="49"/>
      <c r="J698" s="40">
        <f>COUNTIF(System_configuration!B:B,A698)</f>
        <v>0</v>
      </c>
    </row>
    <row r="699" spans="1:10" s="29" customFormat="1" x14ac:dyDescent="0.2">
      <c r="A699" s="83" t="s">
        <v>376</v>
      </c>
      <c r="B699" s="39">
        <v>-130</v>
      </c>
      <c r="C699" s="43" t="s">
        <v>1534</v>
      </c>
      <c r="D699" s="37" t="s">
        <v>377</v>
      </c>
      <c r="E699" s="37" t="s">
        <v>820</v>
      </c>
      <c r="F699" s="39">
        <v>12</v>
      </c>
      <c r="G699" s="49"/>
      <c r="H699" s="49"/>
      <c r="I699" s="49"/>
      <c r="J699" s="40">
        <f>COUNTIF(System_configuration!B:B,A699)</f>
        <v>0</v>
      </c>
    </row>
    <row r="700" spans="1:10" s="29" customFormat="1" x14ac:dyDescent="0.2">
      <c r="A700" s="83" t="s">
        <v>378</v>
      </c>
      <c r="B700" s="39">
        <v>-140</v>
      </c>
      <c r="C700" s="43" t="s">
        <v>1534</v>
      </c>
      <c r="D700" s="37" t="s">
        <v>379</v>
      </c>
      <c r="E700" s="37" t="s">
        <v>821</v>
      </c>
      <c r="F700" s="39">
        <v>12</v>
      </c>
      <c r="G700" s="49" t="s">
        <v>3568</v>
      </c>
      <c r="H700" s="49" t="s">
        <v>3568</v>
      </c>
      <c r="I700" s="49"/>
      <c r="J700" s="40">
        <f>COUNTIF(System_configuration!B:B,A700)</f>
        <v>0</v>
      </c>
    </row>
    <row r="701" spans="1:10" s="29" customFormat="1" x14ac:dyDescent="0.2">
      <c r="A701" s="83" t="s">
        <v>755</v>
      </c>
      <c r="B701" s="39">
        <v>-221</v>
      </c>
      <c r="C701" s="43" t="s">
        <v>1534</v>
      </c>
      <c r="D701" s="37" t="s">
        <v>762</v>
      </c>
      <c r="E701" s="37" t="s">
        <v>822</v>
      </c>
      <c r="F701" s="39">
        <v>24</v>
      </c>
      <c r="G701" s="49" t="s">
        <v>3567</v>
      </c>
      <c r="H701" s="49" t="s">
        <v>3567</v>
      </c>
      <c r="I701" s="49"/>
      <c r="J701" s="40">
        <f>COUNTIF(System_configuration!B:B,A701)</f>
        <v>0</v>
      </c>
    </row>
    <row r="702" spans="1:10" s="29" customFormat="1" x14ac:dyDescent="0.2">
      <c r="A702" s="83" t="s">
        <v>380</v>
      </c>
      <c r="B702" s="39">
        <v>-221</v>
      </c>
      <c r="C702" s="43" t="s">
        <v>1534</v>
      </c>
      <c r="D702" s="37" t="s">
        <v>381</v>
      </c>
      <c r="E702" s="37" t="s">
        <v>823</v>
      </c>
      <c r="F702" s="39">
        <v>24</v>
      </c>
      <c r="G702" s="49" t="s">
        <v>3568</v>
      </c>
      <c r="H702" s="49" t="s">
        <v>3568</v>
      </c>
      <c r="I702" s="49"/>
      <c r="J702" s="40">
        <f>COUNTIF(System_configuration!B:B,A702)</f>
        <v>0</v>
      </c>
    </row>
    <row r="703" spans="1:10" s="29" customFormat="1" x14ac:dyDescent="0.2">
      <c r="A703" s="83" t="s">
        <v>58</v>
      </c>
      <c r="B703" s="39">
        <v>-221</v>
      </c>
      <c r="C703" s="43" t="s">
        <v>1534</v>
      </c>
      <c r="D703" s="37" t="s">
        <v>382</v>
      </c>
      <c r="E703" s="37" t="s">
        <v>824</v>
      </c>
      <c r="F703" s="39">
        <v>24</v>
      </c>
      <c r="G703" s="49" t="s">
        <v>3568</v>
      </c>
      <c r="H703" s="49" t="s">
        <v>3568</v>
      </c>
      <c r="I703" s="49"/>
      <c r="J703" s="40">
        <f>COUNTIF(System_configuration!B:B,A703)</f>
        <v>0</v>
      </c>
    </row>
    <row r="704" spans="1:10" s="29" customFormat="1" x14ac:dyDescent="0.2">
      <c r="A704" s="83" t="s">
        <v>76</v>
      </c>
      <c r="B704" s="39">
        <v>-130</v>
      </c>
      <c r="C704" s="43" t="s">
        <v>1534</v>
      </c>
      <c r="D704" s="37" t="s">
        <v>383</v>
      </c>
      <c r="E704" s="37" t="s">
        <v>825</v>
      </c>
      <c r="F704" s="39">
        <v>12</v>
      </c>
      <c r="G704" s="49" t="s">
        <v>3568</v>
      </c>
      <c r="H704" s="49" t="s">
        <v>3568</v>
      </c>
      <c r="I704" s="49"/>
      <c r="J704" s="40">
        <f>COUNTIF(System_configuration!B:B,A704)</f>
        <v>0</v>
      </c>
    </row>
    <row r="705" spans="1:10" s="29" customFormat="1" x14ac:dyDescent="0.2">
      <c r="A705" s="83" t="s">
        <v>77</v>
      </c>
      <c r="B705" s="39">
        <v>-130</v>
      </c>
      <c r="C705" s="43" t="s">
        <v>1534</v>
      </c>
      <c r="D705" s="37" t="s">
        <v>385</v>
      </c>
      <c r="E705" s="37" t="s">
        <v>826</v>
      </c>
      <c r="F705" s="39">
        <v>12</v>
      </c>
      <c r="G705" s="49" t="s">
        <v>3568</v>
      </c>
      <c r="H705" s="49" t="s">
        <v>3568</v>
      </c>
      <c r="I705" s="49"/>
      <c r="J705" s="40">
        <f>COUNTIF(System_configuration!B:B,A705)</f>
        <v>0</v>
      </c>
    </row>
    <row r="706" spans="1:10" s="29" customFormat="1" x14ac:dyDescent="0.2">
      <c r="A706" s="83" t="s">
        <v>78</v>
      </c>
      <c r="B706" s="39">
        <v>-130</v>
      </c>
      <c r="C706" s="43" t="s">
        <v>1534</v>
      </c>
      <c r="D706" s="37" t="s">
        <v>387</v>
      </c>
      <c r="E706" s="37" t="s">
        <v>827</v>
      </c>
      <c r="F706" s="39">
        <v>12</v>
      </c>
      <c r="G706" s="49" t="s">
        <v>3568</v>
      </c>
      <c r="H706" s="49" t="s">
        <v>3568</v>
      </c>
      <c r="I706" s="49"/>
      <c r="J706" s="40">
        <f>COUNTIF(System_configuration!B:B,A706)</f>
        <v>0</v>
      </c>
    </row>
    <row r="707" spans="1:10" s="29" customFormat="1" x14ac:dyDescent="0.2">
      <c r="A707" s="83" t="s">
        <v>79</v>
      </c>
      <c r="B707" s="39">
        <v>-130</v>
      </c>
      <c r="C707" s="43" t="s">
        <v>1534</v>
      </c>
      <c r="D707" s="37" t="s">
        <v>389</v>
      </c>
      <c r="E707" s="37" t="s">
        <v>828</v>
      </c>
      <c r="F707" s="39">
        <v>12</v>
      </c>
      <c r="G707" s="49" t="s">
        <v>3568</v>
      </c>
      <c r="H707" s="49" t="s">
        <v>3568</v>
      </c>
      <c r="I707" s="49"/>
      <c r="J707" s="40">
        <f>COUNTIF(System_configuration!B:B,A707)</f>
        <v>0</v>
      </c>
    </row>
    <row r="708" spans="1:10" s="29" customFormat="1" x14ac:dyDescent="0.2">
      <c r="A708" s="83" t="s">
        <v>84</v>
      </c>
      <c r="B708" s="39">
        <v>-130</v>
      </c>
      <c r="C708" s="43" t="s">
        <v>1534</v>
      </c>
      <c r="D708" s="37" t="s">
        <v>391</v>
      </c>
      <c r="E708" s="37" t="s">
        <v>829</v>
      </c>
      <c r="F708" s="39">
        <v>12</v>
      </c>
      <c r="G708" s="49" t="s">
        <v>3568</v>
      </c>
      <c r="H708" s="49" t="s">
        <v>3568</v>
      </c>
      <c r="I708" s="49"/>
      <c r="J708" s="40">
        <f>COUNTIF(System_configuration!B:B,A708)</f>
        <v>0</v>
      </c>
    </row>
    <row r="709" spans="1:10" s="29" customFormat="1" x14ac:dyDescent="0.2">
      <c r="A709" s="83" t="s">
        <v>85</v>
      </c>
      <c r="B709" s="39">
        <v>-130</v>
      </c>
      <c r="C709" s="43" t="s">
        <v>1534</v>
      </c>
      <c r="D709" s="37" t="s">
        <v>393</v>
      </c>
      <c r="E709" s="37" t="s">
        <v>830</v>
      </c>
      <c r="F709" s="39">
        <v>12</v>
      </c>
      <c r="G709" s="49" t="s">
        <v>3568</v>
      </c>
      <c r="H709" s="49" t="s">
        <v>3568</v>
      </c>
      <c r="I709" s="49"/>
      <c r="J709" s="40">
        <f>COUNTIF(System_configuration!B:B,A709)</f>
        <v>0</v>
      </c>
    </row>
    <row r="710" spans="1:10" s="29" customFormat="1" x14ac:dyDescent="0.2">
      <c r="A710" s="83" t="s">
        <v>91</v>
      </c>
      <c r="B710" s="39">
        <v>-130</v>
      </c>
      <c r="C710" s="43" t="s">
        <v>1534</v>
      </c>
      <c r="D710" s="37" t="s">
        <v>395</v>
      </c>
      <c r="E710" s="37" t="s">
        <v>831</v>
      </c>
      <c r="F710" s="39">
        <v>12</v>
      </c>
      <c r="G710" s="49" t="s">
        <v>3568</v>
      </c>
      <c r="H710" s="49" t="s">
        <v>3568</v>
      </c>
      <c r="I710" s="49"/>
      <c r="J710" s="40">
        <f>COUNTIF(System_configuration!B:B,A710)</f>
        <v>0</v>
      </c>
    </row>
    <row r="711" spans="1:10" s="29" customFormat="1" x14ac:dyDescent="0.2">
      <c r="A711" s="83" t="s">
        <v>98</v>
      </c>
      <c r="B711" s="39">
        <v>-130</v>
      </c>
      <c r="C711" s="43" t="s">
        <v>1534</v>
      </c>
      <c r="D711" s="37" t="s">
        <v>397</v>
      </c>
      <c r="E711" s="37" t="s">
        <v>832</v>
      </c>
      <c r="F711" s="39">
        <v>12</v>
      </c>
      <c r="G711" s="49" t="s">
        <v>3568</v>
      </c>
      <c r="H711" s="49" t="s">
        <v>3568</v>
      </c>
      <c r="I711" s="49"/>
      <c r="J711" s="40">
        <f>COUNTIF(System_configuration!B:B,A711)</f>
        <v>0</v>
      </c>
    </row>
    <row r="712" spans="1:10" s="29" customFormat="1" x14ac:dyDescent="0.2">
      <c r="A712" s="83" t="s">
        <v>99</v>
      </c>
      <c r="B712" s="39">
        <v>-130</v>
      </c>
      <c r="C712" s="43" t="s">
        <v>1534</v>
      </c>
      <c r="D712" s="37" t="s">
        <v>399</v>
      </c>
      <c r="E712" s="37" t="s">
        <v>833</v>
      </c>
      <c r="F712" s="39">
        <v>12</v>
      </c>
      <c r="G712" s="49" t="s">
        <v>3568</v>
      </c>
      <c r="H712" s="49" t="s">
        <v>3568</v>
      </c>
      <c r="I712" s="49"/>
      <c r="J712" s="40">
        <f>COUNTIF(System_configuration!B:B,A712)</f>
        <v>0</v>
      </c>
    </row>
    <row r="713" spans="1:10" s="29" customFormat="1" x14ac:dyDescent="0.2">
      <c r="A713" s="83" t="s">
        <v>106</v>
      </c>
      <c r="B713" s="39">
        <v>-130</v>
      </c>
      <c r="C713" s="43" t="s">
        <v>1534</v>
      </c>
      <c r="D713" s="37" t="s">
        <v>401</v>
      </c>
      <c r="E713" s="37" t="s">
        <v>834</v>
      </c>
      <c r="F713" s="39">
        <v>12</v>
      </c>
      <c r="G713" s="49" t="s">
        <v>3568</v>
      </c>
      <c r="H713" s="49" t="s">
        <v>3568</v>
      </c>
      <c r="I713" s="49"/>
      <c r="J713" s="40">
        <f>COUNTIF(System_configuration!B:B,A713)</f>
        <v>0</v>
      </c>
    </row>
    <row r="714" spans="1:10" s="29" customFormat="1" x14ac:dyDescent="0.2">
      <c r="A714" s="83" t="s">
        <v>87</v>
      </c>
      <c r="B714" s="39">
        <v>-130</v>
      </c>
      <c r="C714" s="43" t="s">
        <v>1534</v>
      </c>
      <c r="D714" s="37" t="s">
        <v>403</v>
      </c>
      <c r="E714" s="37" t="s">
        <v>835</v>
      </c>
      <c r="F714" s="39">
        <v>12</v>
      </c>
      <c r="G714" s="49" t="s">
        <v>3568</v>
      </c>
      <c r="H714" s="49" t="s">
        <v>3568</v>
      </c>
      <c r="I714" s="49"/>
      <c r="J714" s="40">
        <f>COUNTIF(System_configuration!B:B,A714)</f>
        <v>0</v>
      </c>
    </row>
    <row r="715" spans="1:10" s="29" customFormat="1" x14ac:dyDescent="0.2">
      <c r="A715" s="83" t="s">
        <v>88</v>
      </c>
      <c r="B715" s="39">
        <v>-130</v>
      </c>
      <c r="C715" s="43" t="s">
        <v>1534</v>
      </c>
      <c r="D715" s="37" t="s">
        <v>405</v>
      </c>
      <c r="E715" s="37" t="s">
        <v>836</v>
      </c>
      <c r="F715" s="39">
        <v>12</v>
      </c>
      <c r="G715" s="49" t="s">
        <v>3568</v>
      </c>
      <c r="H715" s="49" t="s">
        <v>3568</v>
      </c>
      <c r="I715" s="49"/>
      <c r="J715" s="40">
        <f>COUNTIF(System_configuration!B:B,A715)</f>
        <v>0</v>
      </c>
    </row>
    <row r="716" spans="1:10" s="29" customFormat="1" x14ac:dyDescent="0.2">
      <c r="A716" s="83" t="s">
        <v>94</v>
      </c>
      <c r="B716" s="39">
        <v>-130</v>
      </c>
      <c r="C716" s="43" t="s">
        <v>1534</v>
      </c>
      <c r="D716" s="37" t="s">
        <v>407</v>
      </c>
      <c r="E716" s="37" t="s">
        <v>837</v>
      </c>
      <c r="F716" s="39">
        <v>12</v>
      </c>
      <c r="G716" s="49" t="s">
        <v>3568</v>
      </c>
      <c r="H716" s="49" t="s">
        <v>3568</v>
      </c>
      <c r="I716" s="49"/>
      <c r="J716" s="40">
        <f>COUNTIF(System_configuration!B:B,A716)</f>
        <v>0</v>
      </c>
    </row>
    <row r="717" spans="1:10" s="29" customFormat="1" x14ac:dyDescent="0.2">
      <c r="A717" s="83" t="s">
        <v>95</v>
      </c>
      <c r="B717" s="39">
        <v>-130</v>
      </c>
      <c r="C717" s="43" t="s">
        <v>1534</v>
      </c>
      <c r="D717" s="37" t="s">
        <v>409</v>
      </c>
      <c r="E717" s="37" t="s">
        <v>838</v>
      </c>
      <c r="F717" s="39">
        <v>12</v>
      </c>
      <c r="G717" s="49" t="s">
        <v>3568</v>
      </c>
      <c r="H717" s="49" t="s">
        <v>3568</v>
      </c>
      <c r="I717" s="49"/>
      <c r="J717" s="40">
        <f>COUNTIF(System_configuration!B:B,A717)</f>
        <v>0</v>
      </c>
    </row>
    <row r="718" spans="1:10" s="29" customFormat="1" x14ac:dyDescent="0.2">
      <c r="A718" s="83" t="s">
        <v>102</v>
      </c>
      <c r="B718" s="39">
        <v>-130</v>
      </c>
      <c r="C718" s="43" t="s">
        <v>1534</v>
      </c>
      <c r="D718" s="37" t="s">
        <v>411</v>
      </c>
      <c r="E718" s="37" t="s">
        <v>839</v>
      </c>
      <c r="F718" s="39">
        <v>12</v>
      </c>
      <c r="G718" s="49" t="s">
        <v>3568</v>
      </c>
      <c r="H718" s="49" t="s">
        <v>3568</v>
      </c>
      <c r="I718" s="49"/>
      <c r="J718" s="40">
        <f>COUNTIF(System_configuration!B:B,A718)</f>
        <v>0</v>
      </c>
    </row>
    <row r="719" spans="1:10" s="29" customFormat="1" x14ac:dyDescent="0.2">
      <c r="A719" s="83" t="s">
        <v>103</v>
      </c>
      <c r="B719" s="39">
        <v>-130</v>
      </c>
      <c r="C719" s="43" t="s">
        <v>1534</v>
      </c>
      <c r="D719" s="37" t="s">
        <v>413</v>
      </c>
      <c r="E719" s="37" t="s">
        <v>840</v>
      </c>
      <c r="F719" s="39">
        <v>12</v>
      </c>
      <c r="G719" s="49" t="s">
        <v>3568</v>
      </c>
      <c r="H719" s="49" t="s">
        <v>3568</v>
      </c>
      <c r="I719" s="49"/>
      <c r="J719" s="40">
        <f>COUNTIF(System_configuration!B:B,A719)</f>
        <v>0</v>
      </c>
    </row>
    <row r="720" spans="1:10" s="29" customFormat="1" x14ac:dyDescent="0.2">
      <c r="A720" s="83" t="s">
        <v>108</v>
      </c>
      <c r="B720" s="39">
        <v>-130</v>
      </c>
      <c r="C720" s="43" t="s">
        <v>1534</v>
      </c>
      <c r="D720" s="37" t="s">
        <v>415</v>
      </c>
      <c r="E720" s="37" t="s">
        <v>841</v>
      </c>
      <c r="F720" s="39">
        <v>12</v>
      </c>
      <c r="G720" s="49" t="s">
        <v>3568</v>
      </c>
      <c r="H720" s="49" t="s">
        <v>3568</v>
      </c>
      <c r="I720" s="49"/>
      <c r="J720" s="40">
        <f>COUNTIF(System_configuration!B:B,A720)</f>
        <v>0</v>
      </c>
    </row>
    <row r="721" spans="1:10" s="29" customFormat="1" x14ac:dyDescent="0.2">
      <c r="A721" s="83" t="s">
        <v>109</v>
      </c>
      <c r="B721" s="39">
        <v>-130</v>
      </c>
      <c r="C721" s="43" t="s">
        <v>1534</v>
      </c>
      <c r="D721" s="37" t="s">
        <v>417</v>
      </c>
      <c r="E721" s="37" t="s">
        <v>842</v>
      </c>
      <c r="F721" s="39">
        <v>12</v>
      </c>
      <c r="G721" s="49" t="s">
        <v>3568</v>
      </c>
      <c r="H721" s="49" t="s">
        <v>3568</v>
      </c>
      <c r="I721" s="49"/>
      <c r="J721" s="40">
        <f>COUNTIF(System_configuration!B:B,A721)</f>
        <v>0</v>
      </c>
    </row>
    <row r="722" spans="1:10" s="29" customFormat="1" x14ac:dyDescent="0.2">
      <c r="A722" s="83" t="s">
        <v>68</v>
      </c>
      <c r="B722" s="39">
        <v>-130</v>
      </c>
      <c r="C722" s="43" t="s">
        <v>1534</v>
      </c>
      <c r="D722" s="37" t="s">
        <v>419</v>
      </c>
      <c r="E722" s="37" t="s">
        <v>843</v>
      </c>
      <c r="F722" s="39">
        <v>12</v>
      </c>
      <c r="G722" s="49" t="s">
        <v>3568</v>
      </c>
      <c r="H722" s="49" t="s">
        <v>3568</v>
      </c>
      <c r="I722" s="49"/>
      <c r="J722" s="40">
        <f>COUNTIF(System_configuration!B:B,A722)</f>
        <v>0</v>
      </c>
    </row>
    <row r="723" spans="1:10" s="29" customFormat="1" x14ac:dyDescent="0.2">
      <c r="A723" s="83" t="s">
        <v>69</v>
      </c>
      <c r="B723" s="39">
        <v>-130</v>
      </c>
      <c r="C723" s="43" t="s">
        <v>1534</v>
      </c>
      <c r="D723" s="37" t="s">
        <v>421</v>
      </c>
      <c r="E723" s="37" t="s">
        <v>844</v>
      </c>
      <c r="F723" s="39">
        <v>12</v>
      </c>
      <c r="G723" s="49" t="s">
        <v>3568</v>
      </c>
      <c r="H723" s="49" t="s">
        <v>3568</v>
      </c>
      <c r="I723" s="49"/>
      <c r="J723" s="40">
        <f>COUNTIF(System_configuration!B:B,A723)</f>
        <v>0</v>
      </c>
    </row>
    <row r="724" spans="1:10" s="29" customFormat="1" x14ac:dyDescent="0.2">
      <c r="A724" s="83" t="s">
        <v>423</v>
      </c>
      <c r="B724" s="39">
        <v>-130</v>
      </c>
      <c r="C724" s="43" t="s">
        <v>1534</v>
      </c>
      <c r="D724" s="37" t="s">
        <v>424</v>
      </c>
      <c r="E724" s="37" t="s">
        <v>845</v>
      </c>
      <c r="F724" s="39">
        <v>12</v>
      </c>
      <c r="G724" s="49" t="s">
        <v>3568</v>
      </c>
      <c r="H724" s="49" t="s">
        <v>3568</v>
      </c>
      <c r="I724" s="49"/>
      <c r="J724" s="40">
        <f>COUNTIF(System_configuration!B:B,A724)</f>
        <v>0</v>
      </c>
    </row>
    <row r="725" spans="1:10" s="29" customFormat="1" x14ac:dyDescent="0.2">
      <c r="A725" s="83" t="s">
        <v>73</v>
      </c>
      <c r="B725" s="39">
        <v>-130</v>
      </c>
      <c r="C725" s="43" t="s">
        <v>1534</v>
      </c>
      <c r="D725" s="37" t="s">
        <v>425</v>
      </c>
      <c r="E725" s="37" t="s">
        <v>846</v>
      </c>
      <c r="F725" s="39">
        <v>12</v>
      </c>
      <c r="G725" s="49" t="s">
        <v>3568</v>
      </c>
      <c r="H725" s="49" t="s">
        <v>3568</v>
      </c>
      <c r="I725" s="49"/>
      <c r="J725" s="40">
        <f>COUNTIF(System_configuration!B:B,A725)</f>
        <v>0</v>
      </c>
    </row>
    <row r="726" spans="1:10" s="29" customFormat="1" x14ac:dyDescent="0.2">
      <c r="A726" s="83" t="s">
        <v>74</v>
      </c>
      <c r="B726" s="39">
        <v>-130</v>
      </c>
      <c r="C726" s="43" t="s">
        <v>1534</v>
      </c>
      <c r="D726" s="37" t="s">
        <v>427</v>
      </c>
      <c r="E726" s="37" t="s">
        <v>847</v>
      </c>
      <c r="F726" s="39">
        <v>12</v>
      </c>
      <c r="G726" s="49" t="s">
        <v>3568</v>
      </c>
      <c r="H726" s="49" t="s">
        <v>3568</v>
      </c>
      <c r="I726" s="49"/>
      <c r="J726" s="40">
        <f>COUNTIF(System_configuration!B:B,A726)</f>
        <v>0</v>
      </c>
    </row>
    <row r="727" spans="1:10" s="29" customFormat="1" x14ac:dyDescent="0.2">
      <c r="A727" s="83" t="s">
        <v>80</v>
      </c>
      <c r="B727" s="39">
        <v>-130</v>
      </c>
      <c r="C727" s="43" t="s">
        <v>1534</v>
      </c>
      <c r="D727" s="37" t="s">
        <v>429</v>
      </c>
      <c r="E727" s="37" t="s">
        <v>848</v>
      </c>
      <c r="F727" s="39">
        <v>12</v>
      </c>
      <c r="G727" s="49" t="s">
        <v>3568</v>
      </c>
      <c r="H727" s="49" t="s">
        <v>3568</v>
      </c>
      <c r="I727" s="49"/>
      <c r="J727" s="40">
        <f>COUNTIF(System_configuration!B:B,A727)</f>
        <v>0</v>
      </c>
    </row>
    <row r="728" spans="1:10" s="29" customFormat="1" x14ac:dyDescent="0.2">
      <c r="A728" s="83" t="s">
        <v>81</v>
      </c>
      <c r="B728" s="39">
        <v>-170</v>
      </c>
      <c r="C728" s="43" t="s">
        <v>1534</v>
      </c>
      <c r="D728" s="37" t="s">
        <v>431</v>
      </c>
      <c r="E728" s="37" t="s">
        <v>849</v>
      </c>
      <c r="F728" s="39">
        <v>12</v>
      </c>
      <c r="G728" s="49" t="s">
        <v>3568</v>
      </c>
      <c r="H728" s="49" t="s">
        <v>3568</v>
      </c>
      <c r="I728" s="49"/>
      <c r="J728" s="40">
        <f>COUNTIF(System_configuration!B:B,A728)</f>
        <v>0</v>
      </c>
    </row>
    <row r="729" spans="1:10" s="29" customFormat="1" x14ac:dyDescent="0.2">
      <c r="A729" s="83" t="s">
        <v>82</v>
      </c>
      <c r="B729" s="39">
        <v>-130</v>
      </c>
      <c r="C729" s="43" t="s">
        <v>1534</v>
      </c>
      <c r="D729" s="37" t="s">
        <v>433</v>
      </c>
      <c r="E729" s="37" t="s">
        <v>850</v>
      </c>
      <c r="F729" s="39">
        <v>12</v>
      </c>
      <c r="G729" s="49" t="s">
        <v>3568</v>
      </c>
      <c r="H729" s="49" t="s">
        <v>3568</v>
      </c>
      <c r="I729" s="49"/>
      <c r="J729" s="40">
        <f>COUNTIF(System_configuration!B:B,A729)</f>
        <v>0</v>
      </c>
    </row>
    <row r="730" spans="1:10" s="29" customFormat="1" x14ac:dyDescent="0.2">
      <c r="A730" s="83" t="s">
        <v>92</v>
      </c>
      <c r="B730" s="39">
        <v>-130</v>
      </c>
      <c r="C730" s="43" t="s">
        <v>1534</v>
      </c>
      <c r="D730" s="37" t="s">
        <v>86</v>
      </c>
      <c r="E730" s="37" t="s">
        <v>851</v>
      </c>
      <c r="F730" s="39">
        <v>12</v>
      </c>
      <c r="G730" s="49" t="s">
        <v>3568</v>
      </c>
      <c r="H730" s="49" t="s">
        <v>3568</v>
      </c>
      <c r="I730" s="49"/>
      <c r="J730" s="40">
        <f>COUNTIF(System_configuration!B:B,A730)</f>
        <v>0</v>
      </c>
    </row>
    <row r="731" spans="1:10" s="29" customFormat="1" x14ac:dyDescent="0.2">
      <c r="A731" s="83" t="s">
        <v>5</v>
      </c>
      <c r="B731" s="39">
        <v>-170</v>
      </c>
      <c r="C731" s="43" t="s">
        <v>1534</v>
      </c>
      <c r="D731" s="37" t="s">
        <v>72</v>
      </c>
      <c r="E731" s="37" t="s">
        <v>852</v>
      </c>
      <c r="F731" s="39">
        <v>12</v>
      </c>
      <c r="G731" s="49" t="s">
        <v>3568</v>
      </c>
      <c r="H731" s="49" t="s">
        <v>3568</v>
      </c>
      <c r="I731" s="49"/>
      <c r="J731" s="40">
        <f>COUNTIF(System_configuration!B:B,A731)</f>
        <v>0</v>
      </c>
    </row>
    <row r="732" spans="1:10" s="29" customFormat="1" x14ac:dyDescent="0.2">
      <c r="A732" s="83" t="s">
        <v>93</v>
      </c>
      <c r="B732" s="39">
        <v>-130</v>
      </c>
      <c r="C732" s="43" t="s">
        <v>1534</v>
      </c>
      <c r="D732" s="37" t="s">
        <v>437</v>
      </c>
      <c r="E732" s="37" t="s">
        <v>853</v>
      </c>
      <c r="F732" s="39">
        <v>12</v>
      </c>
      <c r="G732" s="49" t="s">
        <v>3568</v>
      </c>
      <c r="H732" s="49" t="s">
        <v>3568</v>
      </c>
      <c r="I732" s="49"/>
      <c r="J732" s="40">
        <f>COUNTIF(System_configuration!B:B,A732)</f>
        <v>0</v>
      </c>
    </row>
    <row r="733" spans="1:10" s="29" customFormat="1" x14ac:dyDescent="0.2">
      <c r="A733" s="83" t="s">
        <v>100</v>
      </c>
      <c r="B733" s="39">
        <v>-130</v>
      </c>
      <c r="C733" s="43" t="s">
        <v>1534</v>
      </c>
      <c r="D733" s="37" t="s">
        <v>439</v>
      </c>
      <c r="E733" s="37" t="s">
        <v>854</v>
      </c>
      <c r="F733" s="39">
        <v>12</v>
      </c>
      <c r="G733" s="49" t="s">
        <v>3568</v>
      </c>
      <c r="H733" s="49" t="s">
        <v>3568</v>
      </c>
      <c r="I733" s="49"/>
      <c r="J733" s="40">
        <f>COUNTIF(System_configuration!B:B,A733)</f>
        <v>0</v>
      </c>
    </row>
    <row r="734" spans="1:10" s="29" customFormat="1" x14ac:dyDescent="0.2">
      <c r="A734" s="83" t="s">
        <v>101</v>
      </c>
      <c r="B734" s="39">
        <v>-170</v>
      </c>
      <c r="C734" s="43" t="s">
        <v>1534</v>
      </c>
      <c r="D734" s="37" t="s">
        <v>441</v>
      </c>
      <c r="E734" s="37" t="s">
        <v>855</v>
      </c>
      <c r="F734" s="39">
        <v>12</v>
      </c>
      <c r="G734" s="49" t="s">
        <v>3568</v>
      </c>
      <c r="H734" s="49" t="s">
        <v>3568</v>
      </c>
      <c r="I734" s="49"/>
      <c r="J734" s="40">
        <f>COUNTIF(System_configuration!B:B,A734)</f>
        <v>0</v>
      </c>
    </row>
    <row r="735" spans="1:10" s="29" customFormat="1" x14ac:dyDescent="0.2">
      <c r="A735" s="83" t="s">
        <v>107</v>
      </c>
      <c r="B735" s="39">
        <v>-130</v>
      </c>
      <c r="C735" s="43" t="s">
        <v>1534</v>
      </c>
      <c r="D735" s="37" t="s">
        <v>443</v>
      </c>
      <c r="E735" s="37" t="s">
        <v>856</v>
      </c>
      <c r="F735" s="39">
        <v>12</v>
      </c>
      <c r="G735" s="49" t="s">
        <v>3568</v>
      </c>
      <c r="H735" s="49" t="s">
        <v>3568</v>
      </c>
      <c r="I735" s="49"/>
      <c r="J735" s="40">
        <f>COUNTIF(System_configuration!B:B,A735)</f>
        <v>0</v>
      </c>
    </row>
    <row r="736" spans="1:10" s="29" customFormat="1" x14ac:dyDescent="0.2">
      <c r="A736" s="83" t="s">
        <v>89</v>
      </c>
      <c r="B736" s="39">
        <v>-130</v>
      </c>
      <c r="C736" s="43" t="s">
        <v>1534</v>
      </c>
      <c r="D736" s="37" t="s">
        <v>445</v>
      </c>
      <c r="E736" s="37" t="s">
        <v>857</v>
      </c>
      <c r="F736" s="39">
        <v>12</v>
      </c>
      <c r="G736" s="49" t="s">
        <v>3568</v>
      </c>
      <c r="H736" s="49" t="s">
        <v>3568</v>
      </c>
      <c r="I736" s="49"/>
      <c r="J736" s="40">
        <f>COUNTIF(System_configuration!B:B,A736)</f>
        <v>0</v>
      </c>
    </row>
    <row r="737" spans="1:10" s="29" customFormat="1" x14ac:dyDescent="0.2">
      <c r="A737" s="83" t="s">
        <v>90</v>
      </c>
      <c r="B737" s="39">
        <v>-170</v>
      </c>
      <c r="C737" s="43" t="s">
        <v>1534</v>
      </c>
      <c r="D737" s="37" t="s">
        <v>447</v>
      </c>
      <c r="E737" s="37" t="s">
        <v>858</v>
      </c>
      <c r="F737" s="39">
        <v>12</v>
      </c>
      <c r="G737" s="49" t="s">
        <v>3568</v>
      </c>
      <c r="H737" s="49" t="s">
        <v>3568</v>
      </c>
      <c r="I737" s="49"/>
      <c r="J737" s="40">
        <f>COUNTIF(System_configuration!B:B,A737)</f>
        <v>0</v>
      </c>
    </row>
    <row r="738" spans="1:10" s="29" customFormat="1" x14ac:dyDescent="0.2">
      <c r="A738" s="83" t="s">
        <v>449</v>
      </c>
      <c r="B738" s="39">
        <v>-170</v>
      </c>
      <c r="C738" s="43" t="s">
        <v>1534</v>
      </c>
      <c r="D738" s="37" t="s">
        <v>450</v>
      </c>
      <c r="E738" s="37" t="s">
        <v>859</v>
      </c>
      <c r="F738" s="39">
        <v>12</v>
      </c>
      <c r="G738" s="49" t="s">
        <v>3568</v>
      </c>
      <c r="H738" s="49" t="s">
        <v>3568</v>
      </c>
      <c r="I738" s="49"/>
      <c r="J738" s="40">
        <f>COUNTIF(System_configuration!B:B,A738)</f>
        <v>0</v>
      </c>
    </row>
    <row r="739" spans="1:10" s="29" customFormat="1" x14ac:dyDescent="0.2">
      <c r="A739" s="83" t="s">
        <v>96</v>
      </c>
      <c r="B739" s="39">
        <v>-130</v>
      </c>
      <c r="C739" s="43" t="s">
        <v>1534</v>
      </c>
      <c r="D739" s="37" t="s">
        <v>451</v>
      </c>
      <c r="E739" s="37" t="s">
        <v>860</v>
      </c>
      <c r="F739" s="39">
        <v>12</v>
      </c>
      <c r="G739" s="49" t="s">
        <v>3568</v>
      </c>
      <c r="H739" s="49" t="s">
        <v>3568</v>
      </c>
      <c r="I739" s="49"/>
      <c r="J739" s="40">
        <f>COUNTIF(System_configuration!B:B,A739)</f>
        <v>0</v>
      </c>
    </row>
    <row r="740" spans="1:10" s="29" customFormat="1" x14ac:dyDescent="0.2">
      <c r="A740" s="83" t="s">
        <v>104</v>
      </c>
      <c r="B740" s="39">
        <v>-130</v>
      </c>
      <c r="C740" s="43" t="s">
        <v>1534</v>
      </c>
      <c r="D740" s="37" t="s">
        <v>453</v>
      </c>
      <c r="E740" s="37" t="s">
        <v>861</v>
      </c>
      <c r="F740" s="39">
        <v>12</v>
      </c>
      <c r="G740" s="49" t="s">
        <v>3568</v>
      </c>
      <c r="H740" s="49" t="s">
        <v>3568</v>
      </c>
      <c r="I740" s="49"/>
      <c r="J740" s="40">
        <f>COUNTIF(System_configuration!B:B,A740)</f>
        <v>0</v>
      </c>
    </row>
    <row r="741" spans="1:10" s="29" customFormat="1" x14ac:dyDescent="0.2">
      <c r="A741" s="83" t="s">
        <v>105</v>
      </c>
      <c r="B741" s="39">
        <v>-170</v>
      </c>
      <c r="C741" s="43" t="s">
        <v>1534</v>
      </c>
      <c r="D741" s="37" t="s">
        <v>455</v>
      </c>
      <c r="E741" s="37" t="s">
        <v>862</v>
      </c>
      <c r="F741" s="39">
        <v>12</v>
      </c>
      <c r="G741" s="49" t="s">
        <v>3568</v>
      </c>
      <c r="H741" s="49" t="s">
        <v>3568</v>
      </c>
      <c r="I741" s="49"/>
      <c r="J741" s="40">
        <f>COUNTIF(System_configuration!B:B,A741)</f>
        <v>0</v>
      </c>
    </row>
    <row r="742" spans="1:10" s="29" customFormat="1" x14ac:dyDescent="0.2">
      <c r="A742" s="83" t="s">
        <v>110</v>
      </c>
      <c r="B742" s="39">
        <v>-130</v>
      </c>
      <c r="C742" s="43" t="s">
        <v>1534</v>
      </c>
      <c r="D742" s="37" t="s">
        <v>457</v>
      </c>
      <c r="E742" s="37" t="s">
        <v>863</v>
      </c>
      <c r="F742" s="39">
        <v>12</v>
      </c>
      <c r="G742" s="49" t="s">
        <v>3568</v>
      </c>
      <c r="H742" s="49" t="s">
        <v>3568</v>
      </c>
      <c r="I742" s="49"/>
      <c r="J742" s="40">
        <f>COUNTIF(System_configuration!B:B,A742)</f>
        <v>0</v>
      </c>
    </row>
    <row r="743" spans="1:10" s="29" customFormat="1" x14ac:dyDescent="0.2">
      <c r="A743" s="83" t="s">
        <v>70</v>
      </c>
      <c r="B743" s="39">
        <v>-130</v>
      </c>
      <c r="C743" s="43" t="s">
        <v>1534</v>
      </c>
      <c r="D743" s="37" t="s">
        <v>71</v>
      </c>
      <c r="E743" s="37" t="s">
        <v>864</v>
      </c>
      <c r="F743" s="39">
        <v>12</v>
      </c>
      <c r="G743" s="49" t="s">
        <v>3568</v>
      </c>
      <c r="H743" s="49" t="s">
        <v>3568</v>
      </c>
      <c r="I743" s="49"/>
      <c r="J743" s="40">
        <f>COUNTIF(System_configuration!B:B,A743)</f>
        <v>0</v>
      </c>
    </row>
    <row r="744" spans="1:10" s="29" customFormat="1" x14ac:dyDescent="0.2">
      <c r="A744" s="83" t="s">
        <v>6</v>
      </c>
      <c r="B744" s="39">
        <v>-170</v>
      </c>
      <c r="C744" s="43" t="s">
        <v>1534</v>
      </c>
      <c r="D744" s="37" t="s">
        <v>44</v>
      </c>
      <c r="E744" s="37" t="s">
        <v>865</v>
      </c>
      <c r="F744" s="39">
        <v>12</v>
      </c>
      <c r="G744" s="49" t="s">
        <v>3568</v>
      </c>
      <c r="H744" s="49" t="s">
        <v>3568</v>
      </c>
      <c r="I744" s="49"/>
      <c r="J744" s="40">
        <f>COUNTIF(System_configuration!B:B,A744)</f>
        <v>0</v>
      </c>
    </row>
    <row r="745" spans="1:10" s="29" customFormat="1" x14ac:dyDescent="0.2">
      <c r="A745" s="83" t="s">
        <v>75</v>
      </c>
      <c r="B745" s="39">
        <v>-130</v>
      </c>
      <c r="C745" s="43" t="s">
        <v>1534</v>
      </c>
      <c r="D745" s="37" t="s">
        <v>461</v>
      </c>
      <c r="E745" s="37" t="s">
        <v>866</v>
      </c>
      <c r="F745" s="39">
        <v>12</v>
      </c>
      <c r="G745" s="49" t="s">
        <v>3568</v>
      </c>
      <c r="H745" s="49" t="s">
        <v>3568</v>
      </c>
      <c r="I745" s="49"/>
      <c r="J745" s="40">
        <f>COUNTIF(System_configuration!B:B,A745)</f>
        <v>0</v>
      </c>
    </row>
    <row r="746" spans="1:10" s="29" customFormat="1" x14ac:dyDescent="0.2">
      <c r="A746" s="83" t="s">
        <v>1124</v>
      </c>
      <c r="B746" s="39">
        <v>-200</v>
      </c>
      <c r="C746" s="43" t="s">
        <v>1534</v>
      </c>
      <c r="D746" s="37" t="s">
        <v>1209</v>
      </c>
      <c r="E746" s="37" t="s">
        <v>1161</v>
      </c>
      <c r="F746" s="39">
        <v>12</v>
      </c>
      <c r="G746" s="49" t="s">
        <v>3568</v>
      </c>
      <c r="H746" s="49" t="s">
        <v>3568</v>
      </c>
      <c r="I746" s="49"/>
      <c r="J746" s="40">
        <f>COUNTIF(System_configuration!B:B,A746)</f>
        <v>0</v>
      </c>
    </row>
    <row r="747" spans="1:10" s="29" customFormat="1" ht="25.5" x14ac:dyDescent="0.2">
      <c r="A747" s="83" t="s">
        <v>1125</v>
      </c>
      <c r="B747" s="39">
        <v>-210</v>
      </c>
      <c r="C747" s="43" t="s">
        <v>1534</v>
      </c>
      <c r="D747" s="37" t="s">
        <v>1210</v>
      </c>
      <c r="E747" s="37" t="s">
        <v>1162</v>
      </c>
      <c r="F747" s="39">
        <v>12</v>
      </c>
      <c r="G747" s="49"/>
      <c r="H747" s="49"/>
      <c r="I747" s="49"/>
      <c r="J747" s="40">
        <f>COUNTIF(System_configuration!B:B,A747)</f>
        <v>0</v>
      </c>
    </row>
    <row r="748" spans="1:10" s="29" customFormat="1" x14ac:dyDescent="0.2">
      <c r="A748" s="83" t="s">
        <v>113</v>
      </c>
      <c r="B748" s="39">
        <v>-190</v>
      </c>
      <c r="C748" s="43" t="s">
        <v>1534</v>
      </c>
      <c r="D748" s="37" t="s">
        <v>463</v>
      </c>
      <c r="E748" s="37" t="s">
        <v>867</v>
      </c>
      <c r="F748" s="39">
        <v>12</v>
      </c>
      <c r="G748" s="49" t="s">
        <v>3568</v>
      </c>
      <c r="H748" s="49" t="s">
        <v>3568</v>
      </c>
      <c r="I748" s="49"/>
      <c r="J748" s="40">
        <f>COUNTIF(System_configuration!B:B,A748)</f>
        <v>0</v>
      </c>
    </row>
    <row r="749" spans="1:10" s="29" customFormat="1" x14ac:dyDescent="0.2">
      <c r="A749" s="83" t="s">
        <v>220</v>
      </c>
      <c r="B749" s="39">
        <v>-190</v>
      </c>
      <c r="C749" s="43" t="s">
        <v>1534</v>
      </c>
      <c r="D749" s="37" t="s">
        <v>1544</v>
      </c>
      <c r="E749" s="37" t="s">
        <v>868</v>
      </c>
      <c r="F749" s="39">
        <v>12</v>
      </c>
      <c r="G749" s="49" t="s">
        <v>3568</v>
      </c>
      <c r="H749" s="49" t="s">
        <v>3568</v>
      </c>
      <c r="I749" s="49"/>
      <c r="J749" s="40">
        <f>COUNTIF(System_configuration!B:B,A749)</f>
        <v>0</v>
      </c>
    </row>
    <row r="750" spans="1:10" s="29" customFormat="1" ht="25.5" x14ac:dyDescent="0.2">
      <c r="A750" s="83" t="s">
        <v>221</v>
      </c>
      <c r="B750" s="39">
        <v>-190</v>
      </c>
      <c r="C750" s="43" t="s">
        <v>1534</v>
      </c>
      <c r="D750" s="37" t="s">
        <v>1545</v>
      </c>
      <c r="E750" s="37" t="s">
        <v>1546</v>
      </c>
      <c r="F750" s="39">
        <v>12</v>
      </c>
      <c r="G750" s="49" t="s">
        <v>3568</v>
      </c>
      <c r="H750" s="49" t="s">
        <v>3568</v>
      </c>
      <c r="I750" s="49"/>
      <c r="J750" s="40">
        <f>COUNTIF(System_configuration!B:B,A750)</f>
        <v>0</v>
      </c>
    </row>
    <row r="751" spans="1:10" s="29" customFormat="1" x14ac:dyDescent="0.2">
      <c r="A751" s="83" t="s">
        <v>114</v>
      </c>
      <c r="B751" s="39">
        <v>-190</v>
      </c>
      <c r="C751" s="43" t="s">
        <v>1534</v>
      </c>
      <c r="D751" s="37" t="s">
        <v>465</v>
      </c>
      <c r="E751" s="37" t="s">
        <v>869</v>
      </c>
      <c r="F751" s="39">
        <v>12</v>
      </c>
      <c r="G751" s="49" t="s">
        <v>3568</v>
      </c>
      <c r="H751" s="49" t="s">
        <v>3568</v>
      </c>
      <c r="I751" s="49"/>
      <c r="J751" s="40">
        <f>COUNTIF(System_configuration!B:B,A751)</f>
        <v>0</v>
      </c>
    </row>
    <row r="752" spans="1:10" s="29" customFormat="1" x14ac:dyDescent="0.2">
      <c r="A752" s="83" t="s">
        <v>467</v>
      </c>
      <c r="B752" s="39">
        <v>-190</v>
      </c>
      <c r="C752" s="43" t="s">
        <v>1534</v>
      </c>
      <c r="D752" s="37" t="s">
        <v>468</v>
      </c>
      <c r="E752" s="37" t="s">
        <v>870</v>
      </c>
      <c r="F752" s="39">
        <v>12</v>
      </c>
      <c r="G752" s="49" t="s">
        <v>3568</v>
      </c>
      <c r="H752" s="49" t="s">
        <v>3568</v>
      </c>
      <c r="I752" s="49"/>
      <c r="J752" s="40">
        <f>COUNTIF(System_configuration!B:B,A752)</f>
        <v>0</v>
      </c>
    </row>
    <row r="753" spans="1:10" s="29" customFormat="1" x14ac:dyDescent="0.2">
      <c r="A753" s="83" t="s">
        <v>680</v>
      </c>
      <c r="B753" s="39">
        <v>-190</v>
      </c>
      <c r="C753" s="43" t="s">
        <v>1534</v>
      </c>
      <c r="D753" s="37" t="s">
        <v>1211</v>
      </c>
      <c r="E753" s="37" t="s">
        <v>871</v>
      </c>
      <c r="F753" s="39">
        <v>12</v>
      </c>
      <c r="G753" s="49" t="s">
        <v>3568</v>
      </c>
      <c r="H753" s="49" t="s">
        <v>3568</v>
      </c>
      <c r="I753" s="49"/>
      <c r="J753" s="40">
        <f>COUNTIF(System_configuration!B:B,A753)</f>
        <v>0</v>
      </c>
    </row>
    <row r="754" spans="1:10" s="29" customFormat="1" x14ac:dyDescent="0.2">
      <c r="A754" s="83" t="s">
        <v>115</v>
      </c>
      <c r="B754" s="39">
        <v>-190</v>
      </c>
      <c r="C754" s="43" t="s">
        <v>1534</v>
      </c>
      <c r="D754" s="37" t="s">
        <v>469</v>
      </c>
      <c r="E754" s="37" t="s">
        <v>872</v>
      </c>
      <c r="F754" s="39">
        <v>12</v>
      </c>
      <c r="G754" s="49" t="s">
        <v>3568</v>
      </c>
      <c r="H754" s="49" t="s">
        <v>3568</v>
      </c>
      <c r="I754" s="49"/>
      <c r="J754" s="40">
        <f>COUNTIF(System_configuration!B:B,A754)</f>
        <v>0</v>
      </c>
    </row>
    <row r="755" spans="1:10" s="29" customFormat="1" x14ac:dyDescent="0.2">
      <c r="A755" s="83" t="s">
        <v>720</v>
      </c>
      <c r="B755" s="39">
        <v>-150</v>
      </c>
      <c r="C755" s="43" t="s">
        <v>1534</v>
      </c>
      <c r="D755" s="37" t="s">
        <v>1212</v>
      </c>
      <c r="E755" s="37" t="s">
        <v>1547</v>
      </c>
      <c r="F755" s="39">
        <v>12</v>
      </c>
      <c r="G755" s="49" t="s">
        <v>3568</v>
      </c>
      <c r="H755" s="49" t="s">
        <v>3568</v>
      </c>
      <c r="I755" s="49"/>
      <c r="J755" s="40">
        <f>COUNTIF(System_configuration!B:B,A755)</f>
        <v>0</v>
      </c>
    </row>
    <row r="756" spans="1:10" s="29" customFormat="1" x14ac:dyDescent="0.2">
      <c r="A756" s="83" t="s">
        <v>1126</v>
      </c>
      <c r="B756" s="39">
        <v>-140</v>
      </c>
      <c r="C756" s="43" t="s">
        <v>1534</v>
      </c>
      <c r="D756" s="37" t="s">
        <v>1213</v>
      </c>
      <c r="E756" s="37" t="s">
        <v>1163</v>
      </c>
      <c r="F756" s="39">
        <v>12</v>
      </c>
      <c r="G756" s="49" t="s">
        <v>3568</v>
      </c>
      <c r="H756" s="49" t="s">
        <v>3568</v>
      </c>
      <c r="I756" s="49"/>
      <c r="J756" s="40">
        <f>COUNTIF(System_configuration!B:B,A756)</f>
        <v>0</v>
      </c>
    </row>
    <row r="757" spans="1:10" s="29" customFormat="1" x14ac:dyDescent="0.2">
      <c r="A757" s="83" t="s">
        <v>1127</v>
      </c>
      <c r="B757" s="39">
        <v>-140</v>
      </c>
      <c r="C757" s="43" t="s">
        <v>1534</v>
      </c>
      <c r="D757" s="37" t="s">
        <v>1214</v>
      </c>
      <c r="E757" s="37" t="s">
        <v>1164</v>
      </c>
      <c r="F757" s="39">
        <v>12</v>
      </c>
      <c r="G757" s="49" t="s">
        <v>3568</v>
      </c>
      <c r="H757" s="49" t="s">
        <v>3568</v>
      </c>
      <c r="I757" s="49"/>
      <c r="J757" s="40">
        <f>COUNTIF(System_configuration!B:B,A757)</f>
        <v>0</v>
      </c>
    </row>
    <row r="758" spans="1:10" s="29" customFormat="1" x14ac:dyDescent="0.2">
      <c r="A758" s="83" t="s">
        <v>3579</v>
      </c>
      <c r="B758" s="39">
        <v>-140</v>
      </c>
      <c r="C758" s="43" t="s">
        <v>1534</v>
      </c>
      <c r="D758" s="37" t="s">
        <v>3580</v>
      </c>
      <c r="E758" s="37" t="s">
        <v>3581</v>
      </c>
      <c r="F758" s="39">
        <v>12</v>
      </c>
      <c r="G758" s="49" t="s">
        <v>3568</v>
      </c>
      <c r="H758" s="49" t="s">
        <v>3568</v>
      </c>
      <c r="I758" s="49"/>
      <c r="J758" s="40">
        <f>COUNTIF(System_configuration!B:B,A758)</f>
        <v>0</v>
      </c>
    </row>
    <row r="759" spans="1:10" s="29" customFormat="1" ht="25.5" x14ac:dyDescent="0.2">
      <c r="A759" s="83" t="s">
        <v>471</v>
      </c>
      <c r="B759" s="39">
        <v>-80</v>
      </c>
      <c r="C759" s="43" t="s">
        <v>1534</v>
      </c>
      <c r="D759" s="37" t="s">
        <v>743</v>
      </c>
      <c r="E759" s="37" t="s">
        <v>873</v>
      </c>
      <c r="F759" s="39">
        <v>12</v>
      </c>
      <c r="G759" s="49" t="s">
        <v>3568</v>
      </c>
      <c r="H759" s="49" t="s">
        <v>3568</v>
      </c>
      <c r="I759" s="49"/>
      <c r="J759" s="40">
        <f>COUNTIF(System_configuration!B:B,A759)</f>
        <v>1</v>
      </c>
    </row>
    <row r="760" spans="1:10" s="29" customFormat="1" x14ac:dyDescent="0.2">
      <c r="A760" s="83" t="s">
        <v>112</v>
      </c>
      <c r="B760" s="39">
        <v>-200</v>
      </c>
      <c r="C760" s="43" t="s">
        <v>1534</v>
      </c>
      <c r="D760" s="37" t="s">
        <v>472</v>
      </c>
      <c r="E760" s="37" t="s">
        <v>874</v>
      </c>
      <c r="F760" s="39">
        <v>12</v>
      </c>
      <c r="G760" s="49" t="s">
        <v>3568</v>
      </c>
      <c r="H760" s="49" t="s">
        <v>3568</v>
      </c>
      <c r="I760" s="49"/>
      <c r="J760" s="40">
        <f>COUNTIF(System_configuration!B:B,A760)</f>
        <v>0</v>
      </c>
    </row>
    <row r="761" spans="1:10" s="29" customFormat="1" x14ac:dyDescent="0.2">
      <c r="A761" s="83" t="s">
        <v>111</v>
      </c>
      <c r="B761" s="39">
        <v>-200</v>
      </c>
      <c r="C761" s="43" t="s">
        <v>1534</v>
      </c>
      <c r="D761" s="37" t="s">
        <v>473</v>
      </c>
      <c r="E761" s="37" t="s">
        <v>875</v>
      </c>
      <c r="F761" s="39">
        <v>12</v>
      </c>
      <c r="G761" s="49" t="s">
        <v>3568</v>
      </c>
      <c r="H761" s="49" t="s">
        <v>3568</v>
      </c>
      <c r="I761" s="49"/>
      <c r="J761" s="40">
        <f>COUNTIF(System_configuration!B:B,A761)</f>
        <v>0</v>
      </c>
    </row>
    <row r="762" spans="1:10" s="29" customFormat="1" x14ac:dyDescent="0.2">
      <c r="A762" s="83" t="s">
        <v>7</v>
      </c>
      <c r="B762" s="39">
        <v>-200</v>
      </c>
      <c r="C762" s="43" t="s">
        <v>1534</v>
      </c>
      <c r="D762" s="37" t="s">
        <v>474</v>
      </c>
      <c r="E762" s="37" t="s">
        <v>876</v>
      </c>
      <c r="F762" s="39">
        <v>12</v>
      </c>
      <c r="G762" s="49" t="s">
        <v>3568</v>
      </c>
      <c r="H762" s="49" t="s">
        <v>3568</v>
      </c>
      <c r="I762" s="49"/>
      <c r="J762" s="40">
        <f>COUNTIF(System_configuration!B:B,A762)</f>
        <v>0</v>
      </c>
    </row>
    <row r="763" spans="1:10" s="29" customFormat="1" ht="25.5" x14ac:dyDescent="0.2">
      <c r="A763" s="83" t="s">
        <v>681</v>
      </c>
      <c r="B763" s="39">
        <v>-200</v>
      </c>
      <c r="C763" s="43" t="s">
        <v>1534</v>
      </c>
      <c r="D763" s="37" t="s">
        <v>694</v>
      </c>
      <c r="E763" s="37" t="s">
        <v>877</v>
      </c>
      <c r="F763" s="39">
        <v>12</v>
      </c>
      <c r="G763" s="49"/>
      <c r="H763" s="49"/>
      <c r="I763" s="49"/>
      <c r="J763" s="40">
        <f>COUNTIF(System_configuration!B:B,A763)</f>
        <v>0</v>
      </c>
    </row>
    <row r="764" spans="1:10" s="29" customFormat="1" ht="25.5" x14ac:dyDescent="0.2">
      <c r="A764" s="83" t="s">
        <v>1128</v>
      </c>
      <c r="B764" s="39">
        <v>-200</v>
      </c>
      <c r="C764" s="43" t="s">
        <v>1534</v>
      </c>
      <c r="D764" s="37" t="s">
        <v>1215</v>
      </c>
      <c r="E764" s="37" t="s">
        <v>1165</v>
      </c>
      <c r="F764" s="39">
        <v>12</v>
      </c>
      <c r="G764" s="49"/>
      <c r="H764" s="49"/>
      <c r="I764" s="49"/>
      <c r="J764" s="40">
        <f>COUNTIF(System_configuration!B:B,A764)</f>
        <v>0</v>
      </c>
    </row>
    <row r="765" spans="1:10" s="29" customFormat="1" x14ac:dyDescent="0.2">
      <c r="A765" s="83" t="s">
        <v>475</v>
      </c>
      <c r="B765" s="39">
        <v>-210</v>
      </c>
      <c r="C765" s="43" t="s">
        <v>1534</v>
      </c>
      <c r="D765" s="37" t="s">
        <v>476</v>
      </c>
      <c r="E765" s="37" t="s">
        <v>878</v>
      </c>
      <c r="F765" s="39">
        <v>12</v>
      </c>
      <c r="G765" s="49" t="s">
        <v>3568</v>
      </c>
      <c r="H765" s="49" t="s">
        <v>3568</v>
      </c>
      <c r="I765" s="49"/>
      <c r="J765" s="40">
        <f>COUNTIF(System_configuration!B:B,A765)</f>
        <v>1</v>
      </c>
    </row>
    <row r="766" spans="1:10" s="29" customFormat="1" x14ac:dyDescent="0.2">
      <c r="A766" s="83" t="s">
        <v>477</v>
      </c>
      <c r="B766" s="39">
        <v>-170</v>
      </c>
      <c r="C766" s="43" t="s">
        <v>1534</v>
      </c>
      <c r="D766" s="37" t="s">
        <v>478</v>
      </c>
      <c r="E766" s="37" t="s">
        <v>879</v>
      </c>
      <c r="F766" s="39">
        <v>12</v>
      </c>
      <c r="G766" s="49"/>
      <c r="H766" s="49"/>
      <c r="I766" s="49"/>
      <c r="J766" s="40">
        <f>COUNTIF(System_configuration!B:B,A766)</f>
        <v>0</v>
      </c>
    </row>
    <row r="767" spans="1:10" s="29" customFormat="1" x14ac:dyDescent="0.2">
      <c r="A767" s="83" t="s">
        <v>116</v>
      </c>
      <c r="B767" s="39">
        <v>-210</v>
      </c>
      <c r="C767" s="43" t="s">
        <v>1534</v>
      </c>
      <c r="D767" s="37" t="s">
        <v>480</v>
      </c>
      <c r="E767" s="37" t="s">
        <v>880</v>
      </c>
      <c r="F767" s="39">
        <v>12</v>
      </c>
      <c r="G767" s="49" t="s">
        <v>3568</v>
      </c>
      <c r="H767" s="49" t="s">
        <v>3568</v>
      </c>
      <c r="I767" s="49"/>
      <c r="J767" s="40">
        <f>COUNTIF(System_configuration!B:B,A767)</f>
        <v>0</v>
      </c>
    </row>
    <row r="768" spans="1:10" s="29" customFormat="1" x14ac:dyDescent="0.2">
      <c r="A768" s="83" t="s">
        <v>682</v>
      </c>
      <c r="B768" s="39">
        <v>-210</v>
      </c>
      <c r="C768" s="43" t="s">
        <v>1534</v>
      </c>
      <c r="D768" s="37" t="s">
        <v>695</v>
      </c>
      <c r="E768" s="37" t="s">
        <v>881</v>
      </c>
      <c r="F768" s="39">
        <v>12</v>
      </c>
      <c r="G768" s="49" t="s">
        <v>3568</v>
      </c>
      <c r="H768" s="49" t="s">
        <v>3568</v>
      </c>
      <c r="I768" s="49"/>
      <c r="J768" s="40">
        <f>COUNTIF(System_configuration!B:B,A768)</f>
        <v>0</v>
      </c>
    </row>
    <row r="769" spans="1:10" s="29" customFormat="1" ht="25.5" x14ac:dyDescent="0.2">
      <c r="A769" s="83" t="s">
        <v>1129</v>
      </c>
      <c r="B769" s="39">
        <v>-210</v>
      </c>
      <c r="C769" s="43" t="s">
        <v>1534</v>
      </c>
      <c r="D769" s="37" t="s">
        <v>1216</v>
      </c>
      <c r="E769" s="37" t="s">
        <v>1166</v>
      </c>
      <c r="F769" s="39">
        <v>12</v>
      </c>
      <c r="G769" s="49" t="s">
        <v>3568</v>
      </c>
      <c r="H769" s="49" t="s">
        <v>3568</v>
      </c>
      <c r="I769" s="49"/>
      <c r="J769" s="40">
        <f>COUNTIF(System_configuration!B:B,A769)</f>
        <v>0</v>
      </c>
    </row>
    <row r="770" spans="1:10" s="29" customFormat="1" ht="25.5" x14ac:dyDescent="0.2">
      <c r="A770" s="83" t="s">
        <v>2</v>
      </c>
      <c r="B770" s="39">
        <v>-120</v>
      </c>
      <c r="C770" s="43" t="s">
        <v>1534</v>
      </c>
      <c r="D770" s="37" t="s">
        <v>482</v>
      </c>
      <c r="E770" s="37" t="s">
        <v>882</v>
      </c>
      <c r="F770" s="39">
        <v>12</v>
      </c>
      <c r="G770" s="49"/>
      <c r="H770" s="49"/>
      <c r="I770" s="49"/>
      <c r="J770" s="40">
        <f>COUNTIF(System_configuration!B:B,A770)</f>
        <v>0</v>
      </c>
    </row>
    <row r="771" spans="1:10" s="29" customFormat="1" ht="25.5" x14ac:dyDescent="0.2">
      <c r="A771" s="83" t="s">
        <v>236</v>
      </c>
      <c r="B771" s="39">
        <v>-120</v>
      </c>
      <c r="C771" s="43" t="s">
        <v>1534</v>
      </c>
      <c r="D771" s="37" t="s">
        <v>484</v>
      </c>
      <c r="E771" s="37" t="s">
        <v>883</v>
      </c>
      <c r="F771" s="39">
        <v>12</v>
      </c>
      <c r="G771" s="49"/>
      <c r="H771" s="49"/>
      <c r="I771" s="49"/>
      <c r="J771" s="40">
        <f>COUNTIF(System_configuration!B:B,A771)</f>
        <v>0</v>
      </c>
    </row>
    <row r="772" spans="1:10" s="29" customFormat="1" x14ac:dyDescent="0.2">
      <c r="A772" s="83" t="s">
        <v>485</v>
      </c>
      <c r="B772" s="39">
        <v>-120</v>
      </c>
      <c r="C772" s="43" t="s">
        <v>1534</v>
      </c>
      <c r="D772" s="37" t="s">
        <v>486</v>
      </c>
      <c r="E772" s="37" t="s">
        <v>884</v>
      </c>
      <c r="F772" s="39">
        <v>12</v>
      </c>
      <c r="G772" s="49"/>
      <c r="H772" s="49"/>
      <c r="I772" s="49"/>
      <c r="J772" s="40">
        <f>COUNTIF(System_configuration!B:B,A772)</f>
        <v>0</v>
      </c>
    </row>
    <row r="773" spans="1:10" s="29" customFormat="1" ht="25.5" x14ac:dyDescent="0.2">
      <c r="A773" s="83" t="s">
        <v>487</v>
      </c>
      <c r="B773" s="39">
        <v>-120</v>
      </c>
      <c r="C773" s="43" t="s">
        <v>1534</v>
      </c>
      <c r="D773" s="37" t="s">
        <v>744</v>
      </c>
      <c r="E773" s="37" t="s">
        <v>885</v>
      </c>
      <c r="F773" s="39">
        <v>12</v>
      </c>
      <c r="G773" s="49"/>
      <c r="H773" s="49"/>
      <c r="I773" s="49"/>
      <c r="J773" s="40">
        <f>COUNTIF(System_configuration!B:B,A773)</f>
        <v>0</v>
      </c>
    </row>
    <row r="774" spans="1:10" s="29" customFormat="1" ht="25.5" x14ac:dyDescent="0.2">
      <c r="A774" s="83" t="s">
        <v>683</v>
      </c>
      <c r="B774" s="39">
        <v>-160</v>
      </c>
      <c r="C774" s="43" t="s">
        <v>1534</v>
      </c>
      <c r="D774" s="37" t="s">
        <v>1217</v>
      </c>
      <c r="E774" s="37" t="s">
        <v>886</v>
      </c>
      <c r="F774" s="39">
        <v>24</v>
      </c>
      <c r="G774" s="49"/>
      <c r="H774" s="49"/>
      <c r="I774" s="49"/>
      <c r="J774" s="40">
        <f>COUNTIF(System_configuration!B:B,A774)</f>
        <v>0</v>
      </c>
    </row>
    <row r="775" spans="1:10" s="29" customFormat="1" ht="25.5" x14ac:dyDescent="0.2">
      <c r="A775" s="83" t="s">
        <v>1130</v>
      </c>
      <c r="B775" s="39">
        <v>-160</v>
      </c>
      <c r="C775" s="43" t="s">
        <v>1534</v>
      </c>
      <c r="D775" s="37" t="s">
        <v>1218</v>
      </c>
      <c r="E775" s="37" t="s">
        <v>1167</v>
      </c>
      <c r="F775" s="39">
        <v>24</v>
      </c>
      <c r="G775" s="49"/>
      <c r="H775" s="49"/>
      <c r="I775" s="49"/>
      <c r="J775" s="40">
        <f>COUNTIF(System_configuration!B:B,A775)</f>
        <v>0</v>
      </c>
    </row>
    <row r="776" spans="1:10" s="29" customFormat="1" ht="38.25" x14ac:dyDescent="0.2">
      <c r="A776" s="83" t="s">
        <v>1131</v>
      </c>
      <c r="B776" s="39">
        <v>-160</v>
      </c>
      <c r="C776" s="43" t="s">
        <v>1534</v>
      </c>
      <c r="D776" s="37" t="s">
        <v>1219</v>
      </c>
      <c r="E776" s="37" t="s">
        <v>1168</v>
      </c>
      <c r="F776" s="39">
        <v>24</v>
      </c>
      <c r="G776" s="49"/>
      <c r="H776" s="49"/>
      <c r="I776" s="49"/>
      <c r="J776" s="40">
        <f>COUNTIF(System_configuration!B:B,A776)</f>
        <v>0</v>
      </c>
    </row>
    <row r="777" spans="1:10" s="29" customFormat="1" x14ac:dyDescent="0.2">
      <c r="A777" s="83" t="s">
        <v>684</v>
      </c>
      <c r="B777" s="39">
        <v>-120</v>
      </c>
      <c r="C777" s="43" t="s">
        <v>1534</v>
      </c>
      <c r="D777" s="37" t="s">
        <v>696</v>
      </c>
      <c r="E777" s="37" t="s">
        <v>887</v>
      </c>
      <c r="F777" s="39">
        <v>24</v>
      </c>
      <c r="G777" s="49"/>
      <c r="H777" s="49"/>
      <c r="I777" s="49"/>
      <c r="J777" s="40">
        <f>COUNTIF(System_configuration!B:B,A777)</f>
        <v>0</v>
      </c>
    </row>
    <row r="778" spans="1:10" s="29" customFormat="1" ht="25.5" x14ac:dyDescent="0.2">
      <c r="A778" s="83" t="s">
        <v>3592</v>
      </c>
      <c r="B778" s="39">
        <v>-120</v>
      </c>
      <c r="C778" s="43" t="s">
        <v>1534</v>
      </c>
      <c r="D778" s="37" t="s">
        <v>482</v>
      </c>
      <c r="E778" s="37" t="s">
        <v>882</v>
      </c>
      <c r="F778" s="39">
        <v>12</v>
      </c>
      <c r="G778" s="49"/>
      <c r="H778" s="49"/>
      <c r="I778" s="49"/>
      <c r="J778" s="40">
        <f>COUNTIF(System_configuration!B:B,A778)</f>
        <v>1</v>
      </c>
    </row>
    <row r="779" spans="1:10" s="29" customFormat="1" x14ac:dyDescent="0.2">
      <c r="A779" s="83" t="s">
        <v>488</v>
      </c>
      <c r="B779" s="39">
        <v>-190</v>
      </c>
      <c r="C779" s="43" t="s">
        <v>1534</v>
      </c>
      <c r="D779" s="37" t="s">
        <v>1220</v>
      </c>
      <c r="E779" s="37" t="s">
        <v>888</v>
      </c>
      <c r="F779" s="39">
        <v>12</v>
      </c>
      <c r="G779" s="49" t="s">
        <v>3568</v>
      </c>
      <c r="H779" s="49" t="s">
        <v>3568</v>
      </c>
      <c r="I779" s="49"/>
      <c r="J779" s="40">
        <f>COUNTIF(System_configuration!B:B,A779)</f>
        <v>0</v>
      </c>
    </row>
    <row r="780" spans="1:10" s="29" customFormat="1" x14ac:dyDescent="0.2">
      <c r="A780" s="83" t="s">
        <v>756</v>
      </c>
      <c r="B780" s="39">
        <v>-190</v>
      </c>
      <c r="C780" s="43" t="s">
        <v>1534</v>
      </c>
      <c r="D780" s="37" t="s">
        <v>1221</v>
      </c>
      <c r="E780" s="37" t="s">
        <v>889</v>
      </c>
      <c r="F780" s="39">
        <v>12</v>
      </c>
      <c r="G780" s="49" t="s">
        <v>3568</v>
      </c>
      <c r="H780" s="49" t="s">
        <v>3568</v>
      </c>
      <c r="I780" s="49"/>
      <c r="J780" s="40">
        <f>COUNTIF(System_configuration!B:B,A780)</f>
        <v>0</v>
      </c>
    </row>
    <row r="781" spans="1:10" s="29" customFormat="1" x14ac:dyDescent="0.2">
      <c r="A781" s="83" t="s">
        <v>490</v>
      </c>
      <c r="B781" s="39">
        <v>-190</v>
      </c>
      <c r="C781" s="43" t="s">
        <v>1534</v>
      </c>
      <c r="D781" s="37" t="s">
        <v>491</v>
      </c>
      <c r="E781" s="37" t="s">
        <v>890</v>
      </c>
      <c r="F781" s="39">
        <v>12</v>
      </c>
      <c r="G781" s="49" t="s">
        <v>3568</v>
      </c>
      <c r="H781" s="49" t="s">
        <v>3568</v>
      </c>
      <c r="I781" s="49"/>
      <c r="J781" s="40">
        <f>COUNTIF(System_configuration!B:B,A781)</f>
        <v>0</v>
      </c>
    </row>
    <row r="782" spans="1:10" s="29" customFormat="1" x14ac:dyDescent="0.2">
      <c r="A782" s="83" t="s">
        <v>1132</v>
      </c>
      <c r="B782" s="39">
        <v>-190</v>
      </c>
      <c r="C782" s="43" t="s">
        <v>1534</v>
      </c>
      <c r="D782" s="37" t="s">
        <v>1222</v>
      </c>
      <c r="E782" s="37" t="s">
        <v>1169</v>
      </c>
      <c r="F782" s="39">
        <v>12</v>
      </c>
      <c r="G782" s="49" t="s">
        <v>3568</v>
      </c>
      <c r="H782" s="49" t="s">
        <v>3568</v>
      </c>
      <c r="I782" s="49"/>
      <c r="J782" s="40">
        <f>COUNTIF(System_configuration!B:B,A782)</f>
        <v>0</v>
      </c>
    </row>
    <row r="783" spans="1:10" s="29" customFormat="1" x14ac:dyDescent="0.2">
      <c r="A783" s="83" t="s">
        <v>492</v>
      </c>
      <c r="B783" s="39">
        <v>-190</v>
      </c>
      <c r="C783" s="43" t="s">
        <v>1534</v>
      </c>
      <c r="D783" s="37" t="s">
        <v>493</v>
      </c>
      <c r="E783" s="37" t="s">
        <v>891</v>
      </c>
      <c r="F783" s="39">
        <v>12</v>
      </c>
      <c r="G783" s="49" t="s">
        <v>3568</v>
      </c>
      <c r="H783" s="49" t="s">
        <v>3568</v>
      </c>
      <c r="I783" s="49"/>
      <c r="J783" s="40">
        <f>COUNTIF(System_configuration!B:B,A783)</f>
        <v>0</v>
      </c>
    </row>
    <row r="784" spans="1:10" s="29" customFormat="1" x14ac:dyDescent="0.2">
      <c r="A784" s="83" t="s">
        <v>1133</v>
      </c>
      <c r="B784" s="39">
        <v>-190</v>
      </c>
      <c r="C784" s="43" t="s">
        <v>1534</v>
      </c>
      <c r="D784" s="37" t="s">
        <v>1223</v>
      </c>
      <c r="E784" s="37" t="s">
        <v>1170</v>
      </c>
      <c r="F784" s="39">
        <v>12</v>
      </c>
      <c r="G784" s="49" t="s">
        <v>3568</v>
      </c>
      <c r="H784" s="49" t="s">
        <v>3568</v>
      </c>
      <c r="I784" s="49"/>
      <c r="J784" s="40">
        <f>COUNTIF(System_configuration!B:B,A784)</f>
        <v>0</v>
      </c>
    </row>
    <row r="785" spans="1:10" s="29" customFormat="1" x14ac:dyDescent="0.2">
      <c r="A785" s="83" t="s">
        <v>1548</v>
      </c>
      <c r="B785" s="39">
        <v>-190</v>
      </c>
      <c r="C785" s="43" t="s">
        <v>1534</v>
      </c>
      <c r="D785" s="37" t="s">
        <v>1549</v>
      </c>
      <c r="E785" s="37" t="s">
        <v>1550</v>
      </c>
      <c r="F785" s="39">
        <v>12</v>
      </c>
      <c r="G785" s="49" t="s">
        <v>3568</v>
      </c>
      <c r="H785" s="49" t="s">
        <v>3568</v>
      </c>
      <c r="I785" s="49"/>
      <c r="J785" s="40">
        <f>COUNTIF(System_configuration!B:B,A785)</f>
        <v>0</v>
      </c>
    </row>
    <row r="786" spans="1:10" s="29" customFormat="1" x14ac:dyDescent="0.2">
      <c r="A786" s="83" t="s">
        <v>495</v>
      </c>
      <c r="B786" s="39">
        <v>-220</v>
      </c>
      <c r="C786" s="43" t="s">
        <v>1534</v>
      </c>
      <c r="D786" s="37" t="s">
        <v>496</v>
      </c>
      <c r="E786" s="37" t="s">
        <v>892</v>
      </c>
      <c r="F786" s="39">
        <v>12</v>
      </c>
      <c r="G786" s="49" t="s">
        <v>3568</v>
      </c>
      <c r="H786" s="49" t="s">
        <v>3568</v>
      </c>
      <c r="I786" s="49"/>
      <c r="J786" s="40">
        <f>COUNTIF(System_configuration!B:B,A786)</f>
        <v>0</v>
      </c>
    </row>
    <row r="787" spans="1:10" s="29" customFormat="1" x14ac:dyDescent="0.2">
      <c r="A787" s="83" t="s">
        <v>1134</v>
      </c>
      <c r="B787" s="39">
        <v>-220</v>
      </c>
      <c r="C787" s="43" t="s">
        <v>1534</v>
      </c>
      <c r="D787" s="37" t="s">
        <v>1224</v>
      </c>
      <c r="E787" s="37" t="s">
        <v>1171</v>
      </c>
      <c r="F787" s="39">
        <v>12</v>
      </c>
      <c r="G787" s="49" t="s">
        <v>3568</v>
      </c>
      <c r="H787" s="49" t="s">
        <v>3568</v>
      </c>
      <c r="I787" s="49"/>
      <c r="J787" s="40">
        <f>COUNTIF(System_configuration!B:B,A787)</f>
        <v>0</v>
      </c>
    </row>
    <row r="788" spans="1:10" s="29" customFormat="1" x14ac:dyDescent="0.2">
      <c r="A788" s="83" t="s">
        <v>497</v>
      </c>
      <c r="B788" s="39">
        <v>-150</v>
      </c>
      <c r="C788" s="43" t="s">
        <v>1534</v>
      </c>
      <c r="D788" s="37" t="s">
        <v>498</v>
      </c>
      <c r="E788" s="37" t="s">
        <v>893</v>
      </c>
      <c r="F788" s="39">
        <v>12</v>
      </c>
      <c r="G788" s="49"/>
      <c r="H788" s="49"/>
      <c r="I788" s="49"/>
      <c r="J788" s="40">
        <f>COUNTIF(System_configuration!B:B,A788)</f>
        <v>0</v>
      </c>
    </row>
    <row r="789" spans="1:10" s="29" customFormat="1" x14ac:dyDescent="0.2">
      <c r="A789" s="83" t="s">
        <v>1135</v>
      </c>
      <c r="B789" s="39">
        <v>-150</v>
      </c>
      <c r="C789" s="43" t="s">
        <v>1534</v>
      </c>
      <c r="D789" s="37" t="s">
        <v>1225</v>
      </c>
      <c r="E789" s="37" t="s">
        <v>1172</v>
      </c>
      <c r="F789" s="39">
        <v>12</v>
      </c>
      <c r="G789" s="49"/>
      <c r="H789" s="49"/>
      <c r="I789" s="49"/>
      <c r="J789" s="40">
        <f>COUNTIF(System_configuration!B:B,A789)</f>
        <v>0</v>
      </c>
    </row>
    <row r="790" spans="1:10" s="29" customFormat="1" x14ac:dyDescent="0.2">
      <c r="A790" s="83" t="s">
        <v>500</v>
      </c>
      <c r="B790" s="39">
        <v>-220</v>
      </c>
      <c r="C790" s="43" t="s">
        <v>1534</v>
      </c>
      <c r="D790" s="37" t="s">
        <v>501</v>
      </c>
      <c r="E790" s="37" t="s">
        <v>894</v>
      </c>
      <c r="F790" s="39">
        <v>12</v>
      </c>
      <c r="G790" s="49"/>
      <c r="H790" s="49"/>
      <c r="I790" s="49"/>
      <c r="J790" s="40">
        <f>COUNTIF(System_configuration!B:B,A790)</f>
        <v>0</v>
      </c>
    </row>
    <row r="791" spans="1:10" s="29" customFormat="1" x14ac:dyDescent="0.2">
      <c r="A791" s="83" t="s">
        <v>1136</v>
      </c>
      <c r="B791" s="39">
        <v>-220</v>
      </c>
      <c r="C791" s="43" t="s">
        <v>1534</v>
      </c>
      <c r="D791" s="37" t="s">
        <v>1226</v>
      </c>
      <c r="E791" s="37" t="s">
        <v>1173</v>
      </c>
      <c r="F791" s="39">
        <v>12</v>
      </c>
      <c r="G791" s="49"/>
      <c r="H791" s="49"/>
      <c r="I791" s="49"/>
      <c r="J791" s="40">
        <f>COUNTIF(System_configuration!B:B,A791)</f>
        <v>0</v>
      </c>
    </row>
    <row r="792" spans="1:10" s="29" customFormat="1" x14ac:dyDescent="0.2">
      <c r="A792" s="83" t="s">
        <v>83</v>
      </c>
      <c r="B792" s="39">
        <v>-200</v>
      </c>
      <c r="C792" s="43" t="s">
        <v>1534</v>
      </c>
      <c r="D792" s="37" t="s">
        <v>502</v>
      </c>
      <c r="E792" s="37" t="s">
        <v>895</v>
      </c>
      <c r="F792" s="39">
        <v>12</v>
      </c>
      <c r="G792" s="49" t="s">
        <v>3568</v>
      </c>
      <c r="H792" s="49" t="s">
        <v>3568</v>
      </c>
      <c r="I792" s="49"/>
      <c r="J792" s="40">
        <f>COUNTIF(System_configuration!B:B,A792)</f>
        <v>0</v>
      </c>
    </row>
    <row r="793" spans="1:10" s="29" customFormat="1" x14ac:dyDescent="0.2">
      <c r="A793" s="83" t="s">
        <v>97</v>
      </c>
      <c r="B793" s="39">
        <v>-200</v>
      </c>
      <c r="C793" s="43" t="s">
        <v>1534</v>
      </c>
      <c r="D793" s="37" t="s">
        <v>504</v>
      </c>
      <c r="E793" s="37" t="s">
        <v>896</v>
      </c>
      <c r="F793" s="39">
        <v>12</v>
      </c>
      <c r="G793" s="49" t="s">
        <v>3568</v>
      </c>
      <c r="H793" s="49" t="s">
        <v>3568</v>
      </c>
      <c r="I793" s="49"/>
      <c r="J793" s="40">
        <f>COUNTIF(System_configuration!B:B,A793)</f>
        <v>0</v>
      </c>
    </row>
    <row r="794" spans="1:10" s="29" customFormat="1" x14ac:dyDescent="0.2">
      <c r="A794" s="83" t="s">
        <v>1137</v>
      </c>
      <c r="B794" s="39">
        <v>-260</v>
      </c>
      <c r="C794" s="43" t="s">
        <v>1534</v>
      </c>
      <c r="D794" s="37" t="s">
        <v>1227</v>
      </c>
      <c r="E794" s="37" t="s">
        <v>1174</v>
      </c>
      <c r="F794" s="39">
        <v>12</v>
      </c>
      <c r="G794" s="49"/>
      <c r="H794" s="49"/>
      <c r="I794" s="49"/>
      <c r="J794" s="40">
        <f>COUNTIF(System_configuration!B:B,A794)</f>
        <v>0</v>
      </c>
    </row>
    <row r="795" spans="1:10" s="29" customFormat="1" x14ac:dyDescent="0.2">
      <c r="A795" s="83" t="s">
        <v>685</v>
      </c>
      <c r="B795" s="39">
        <v>-215</v>
      </c>
      <c r="C795" s="43" t="s">
        <v>1534</v>
      </c>
      <c r="D795" s="37" t="s">
        <v>697</v>
      </c>
      <c r="E795" s="37" t="s">
        <v>897</v>
      </c>
      <c r="F795" s="39">
        <v>12</v>
      </c>
      <c r="G795" s="49"/>
      <c r="H795" s="49"/>
      <c r="I795" s="49"/>
      <c r="J795" s="40">
        <f>COUNTIF(System_configuration!B:B,A795)</f>
        <v>0</v>
      </c>
    </row>
    <row r="796" spans="1:10" s="29" customFormat="1" x14ac:dyDescent="0.2">
      <c r="A796" s="83" t="s">
        <v>117</v>
      </c>
      <c r="B796" s="39">
        <v>-140</v>
      </c>
      <c r="C796" s="43" t="s">
        <v>1534</v>
      </c>
      <c r="D796" s="37" t="s">
        <v>506</v>
      </c>
      <c r="E796" s="37" t="s">
        <v>898</v>
      </c>
      <c r="F796" s="39">
        <v>12</v>
      </c>
      <c r="G796" s="49" t="s">
        <v>3568</v>
      </c>
      <c r="H796" s="49" t="s">
        <v>3568</v>
      </c>
      <c r="I796" s="49"/>
      <c r="J796" s="40">
        <f>COUNTIF(System_configuration!B:B,A796)</f>
        <v>0</v>
      </c>
    </row>
    <row r="797" spans="1:10" s="29" customFormat="1" x14ac:dyDescent="0.2">
      <c r="A797" s="83" t="s">
        <v>118</v>
      </c>
      <c r="B797" s="39">
        <v>-140</v>
      </c>
      <c r="C797" s="43" t="s">
        <v>1534</v>
      </c>
      <c r="D797" s="37" t="s">
        <v>508</v>
      </c>
      <c r="E797" s="37" t="s">
        <v>899</v>
      </c>
      <c r="F797" s="39">
        <v>12</v>
      </c>
      <c r="G797" s="49" t="s">
        <v>3568</v>
      </c>
      <c r="H797" s="49" t="s">
        <v>3568</v>
      </c>
      <c r="I797" s="49"/>
      <c r="J797" s="40">
        <f>COUNTIF(System_configuration!B:B,A797)</f>
        <v>0</v>
      </c>
    </row>
    <row r="798" spans="1:10" s="29" customFormat="1" x14ac:dyDescent="0.2">
      <c r="A798" s="83" t="s">
        <v>120</v>
      </c>
      <c r="B798" s="39">
        <v>-140</v>
      </c>
      <c r="C798" s="43" t="s">
        <v>1534</v>
      </c>
      <c r="D798" s="37" t="s">
        <v>510</v>
      </c>
      <c r="E798" s="37" t="s">
        <v>900</v>
      </c>
      <c r="F798" s="39">
        <v>12</v>
      </c>
      <c r="G798" s="49" t="s">
        <v>3568</v>
      </c>
      <c r="H798" s="49" t="s">
        <v>3568</v>
      </c>
      <c r="I798" s="49"/>
      <c r="J798" s="40">
        <f>COUNTIF(System_configuration!B:B,A798)</f>
        <v>0</v>
      </c>
    </row>
    <row r="799" spans="1:10" s="29" customFormat="1" x14ac:dyDescent="0.2">
      <c r="A799" s="83" t="s">
        <v>121</v>
      </c>
      <c r="B799" s="39">
        <v>-100</v>
      </c>
      <c r="C799" s="43" t="s">
        <v>1534</v>
      </c>
      <c r="D799" s="37" t="s">
        <v>512</v>
      </c>
      <c r="E799" s="37" t="s">
        <v>901</v>
      </c>
      <c r="F799" s="39">
        <v>12</v>
      </c>
      <c r="G799" s="49" t="s">
        <v>3568</v>
      </c>
      <c r="H799" s="49" t="s">
        <v>3568</v>
      </c>
      <c r="I799" s="49"/>
      <c r="J799" s="40">
        <f>COUNTIF(System_configuration!B:B,A799)</f>
        <v>0</v>
      </c>
    </row>
    <row r="800" spans="1:10" s="29" customFormat="1" x14ac:dyDescent="0.2">
      <c r="A800" s="83" t="s">
        <v>130</v>
      </c>
      <c r="B800" s="39">
        <v>-140</v>
      </c>
      <c r="C800" s="43" t="s">
        <v>1534</v>
      </c>
      <c r="D800" s="37" t="s">
        <v>514</v>
      </c>
      <c r="E800" s="37" t="s">
        <v>902</v>
      </c>
      <c r="F800" s="39">
        <v>12</v>
      </c>
      <c r="G800" s="49" t="s">
        <v>3568</v>
      </c>
      <c r="H800" s="49" t="s">
        <v>3568</v>
      </c>
      <c r="I800" s="49"/>
      <c r="J800" s="40">
        <f>COUNTIF(System_configuration!B:B,A800)</f>
        <v>0</v>
      </c>
    </row>
    <row r="801" spans="1:10" s="29" customFormat="1" x14ac:dyDescent="0.2">
      <c r="A801" s="83" t="s">
        <v>131</v>
      </c>
      <c r="B801" s="39">
        <v>-140</v>
      </c>
      <c r="C801" s="43" t="s">
        <v>1534</v>
      </c>
      <c r="D801" s="37" t="s">
        <v>516</v>
      </c>
      <c r="E801" s="37" t="s">
        <v>903</v>
      </c>
      <c r="F801" s="39">
        <v>12</v>
      </c>
      <c r="G801" s="49" t="s">
        <v>3568</v>
      </c>
      <c r="H801" s="49" t="s">
        <v>3568</v>
      </c>
      <c r="I801" s="49"/>
      <c r="J801" s="40">
        <f>COUNTIF(System_configuration!B:B,A801)</f>
        <v>0</v>
      </c>
    </row>
    <row r="802" spans="1:10" s="29" customFormat="1" x14ac:dyDescent="0.2">
      <c r="A802" s="83" t="s">
        <v>133</v>
      </c>
      <c r="B802" s="39">
        <v>-140</v>
      </c>
      <c r="C802" s="43" t="s">
        <v>1534</v>
      </c>
      <c r="D802" s="37" t="s">
        <v>518</v>
      </c>
      <c r="E802" s="37" t="s">
        <v>904</v>
      </c>
      <c r="F802" s="39">
        <v>12</v>
      </c>
      <c r="G802" s="49" t="s">
        <v>3568</v>
      </c>
      <c r="H802" s="49" t="s">
        <v>3568</v>
      </c>
      <c r="I802" s="49"/>
      <c r="J802" s="40">
        <f>COUNTIF(System_configuration!B:B,A802)</f>
        <v>0</v>
      </c>
    </row>
    <row r="803" spans="1:10" s="29" customFormat="1" x14ac:dyDescent="0.2">
      <c r="A803" s="83" t="s">
        <v>134</v>
      </c>
      <c r="B803" s="39">
        <v>-100</v>
      </c>
      <c r="C803" s="43" t="s">
        <v>1534</v>
      </c>
      <c r="D803" s="37" t="s">
        <v>520</v>
      </c>
      <c r="E803" s="37" t="s">
        <v>905</v>
      </c>
      <c r="F803" s="39">
        <v>12</v>
      </c>
      <c r="G803" s="49" t="s">
        <v>3568</v>
      </c>
      <c r="H803" s="49" t="s">
        <v>3568</v>
      </c>
      <c r="I803" s="49"/>
      <c r="J803" s="40">
        <f>COUNTIF(System_configuration!B:B,A803)</f>
        <v>0</v>
      </c>
    </row>
    <row r="804" spans="1:10" s="29" customFormat="1" x14ac:dyDescent="0.2">
      <c r="A804" s="83" t="s">
        <v>136</v>
      </c>
      <c r="B804" s="39">
        <v>-140</v>
      </c>
      <c r="C804" s="43" t="s">
        <v>1534</v>
      </c>
      <c r="D804" s="37" t="s">
        <v>522</v>
      </c>
      <c r="E804" s="37" t="s">
        <v>906</v>
      </c>
      <c r="F804" s="39">
        <v>12</v>
      </c>
      <c r="G804" s="49" t="s">
        <v>3568</v>
      </c>
      <c r="H804" s="49" t="s">
        <v>3568</v>
      </c>
      <c r="I804" s="49"/>
      <c r="J804" s="40">
        <f>COUNTIF(System_configuration!B:B,A804)</f>
        <v>0</v>
      </c>
    </row>
    <row r="805" spans="1:10" s="29" customFormat="1" x14ac:dyDescent="0.2">
      <c r="A805" s="83" t="s">
        <v>137</v>
      </c>
      <c r="B805" s="39">
        <v>-140</v>
      </c>
      <c r="C805" s="43" t="s">
        <v>1534</v>
      </c>
      <c r="D805" s="37" t="s">
        <v>524</v>
      </c>
      <c r="E805" s="37" t="s">
        <v>907</v>
      </c>
      <c r="F805" s="39">
        <v>12</v>
      </c>
      <c r="G805" s="49" t="s">
        <v>3568</v>
      </c>
      <c r="H805" s="49" t="s">
        <v>3568</v>
      </c>
      <c r="I805" s="49"/>
      <c r="J805" s="40">
        <f>COUNTIF(System_configuration!B:B,A805)</f>
        <v>0</v>
      </c>
    </row>
    <row r="806" spans="1:10" s="29" customFormat="1" x14ac:dyDescent="0.2">
      <c r="A806" s="83" t="s">
        <v>139</v>
      </c>
      <c r="B806" s="39">
        <v>-140</v>
      </c>
      <c r="C806" s="43" t="s">
        <v>1534</v>
      </c>
      <c r="D806" s="37" t="s">
        <v>526</v>
      </c>
      <c r="E806" s="37" t="s">
        <v>908</v>
      </c>
      <c r="F806" s="39">
        <v>12</v>
      </c>
      <c r="G806" s="49" t="s">
        <v>3568</v>
      </c>
      <c r="H806" s="49" t="s">
        <v>3568</v>
      </c>
      <c r="I806" s="49"/>
      <c r="J806" s="40">
        <f>COUNTIF(System_configuration!B:B,A806)</f>
        <v>0</v>
      </c>
    </row>
    <row r="807" spans="1:10" s="29" customFormat="1" x14ac:dyDescent="0.2">
      <c r="A807" s="83" t="s">
        <v>140</v>
      </c>
      <c r="B807" s="39">
        <v>-100</v>
      </c>
      <c r="C807" s="43" t="s">
        <v>1534</v>
      </c>
      <c r="D807" s="37" t="s">
        <v>528</v>
      </c>
      <c r="E807" s="37" t="s">
        <v>909</v>
      </c>
      <c r="F807" s="39">
        <v>12</v>
      </c>
      <c r="G807" s="49" t="s">
        <v>3568</v>
      </c>
      <c r="H807" s="49" t="s">
        <v>3568</v>
      </c>
      <c r="I807" s="49"/>
      <c r="J807" s="40">
        <f>COUNTIF(System_configuration!B:B,A807)</f>
        <v>0</v>
      </c>
    </row>
    <row r="808" spans="1:10" s="29" customFormat="1" x14ac:dyDescent="0.2">
      <c r="A808" s="87" t="s">
        <v>123</v>
      </c>
      <c r="B808" s="39">
        <v>-140</v>
      </c>
      <c r="C808" s="43" t="s">
        <v>1534</v>
      </c>
      <c r="D808" s="37" t="s">
        <v>530</v>
      </c>
      <c r="E808" s="37" t="s">
        <v>910</v>
      </c>
      <c r="F808" s="39">
        <v>12</v>
      </c>
      <c r="G808" s="49" t="s">
        <v>3568</v>
      </c>
      <c r="H808" s="49" t="s">
        <v>3568</v>
      </c>
      <c r="I808" s="49"/>
      <c r="J808" s="40">
        <f>COUNTIF(System_configuration!B:B,A808)</f>
        <v>0</v>
      </c>
    </row>
    <row r="809" spans="1:10" s="29" customFormat="1" x14ac:dyDescent="0.2">
      <c r="A809" s="83" t="s">
        <v>124</v>
      </c>
      <c r="B809" s="39">
        <v>-140</v>
      </c>
      <c r="C809" s="43" t="s">
        <v>1534</v>
      </c>
      <c r="D809" s="37" t="s">
        <v>532</v>
      </c>
      <c r="E809" s="37" t="s">
        <v>911</v>
      </c>
      <c r="F809" s="39">
        <v>12</v>
      </c>
      <c r="G809" s="49" t="s">
        <v>3568</v>
      </c>
      <c r="H809" s="49" t="s">
        <v>3568</v>
      </c>
      <c r="I809" s="49"/>
      <c r="J809" s="40">
        <f>COUNTIF(System_configuration!B:B,A809)</f>
        <v>0</v>
      </c>
    </row>
    <row r="810" spans="1:10" s="29" customFormat="1" x14ac:dyDescent="0.2">
      <c r="A810" s="83" t="s">
        <v>126</v>
      </c>
      <c r="B810" s="39">
        <v>-140</v>
      </c>
      <c r="C810" s="43" t="s">
        <v>1534</v>
      </c>
      <c r="D810" s="37" t="s">
        <v>534</v>
      </c>
      <c r="E810" s="37" t="s">
        <v>912</v>
      </c>
      <c r="F810" s="39">
        <v>12</v>
      </c>
      <c r="G810" s="49" t="s">
        <v>3568</v>
      </c>
      <c r="H810" s="49" t="s">
        <v>3568</v>
      </c>
      <c r="I810" s="49"/>
      <c r="J810" s="40">
        <f>COUNTIF(System_configuration!B:B,A810)</f>
        <v>0</v>
      </c>
    </row>
    <row r="811" spans="1:10" s="29" customFormat="1" x14ac:dyDescent="0.2">
      <c r="A811" s="83" t="s">
        <v>127</v>
      </c>
      <c r="B811" s="39">
        <v>-100</v>
      </c>
      <c r="C811" s="43" t="s">
        <v>1534</v>
      </c>
      <c r="D811" s="37" t="s">
        <v>536</v>
      </c>
      <c r="E811" s="37" t="s">
        <v>913</v>
      </c>
      <c r="F811" s="39">
        <v>12</v>
      </c>
      <c r="G811" s="49" t="s">
        <v>3568</v>
      </c>
      <c r="H811" s="49" t="s">
        <v>3568</v>
      </c>
      <c r="I811" s="49"/>
      <c r="J811" s="40">
        <f>COUNTIF(System_configuration!B:B,A811)</f>
        <v>0</v>
      </c>
    </row>
    <row r="812" spans="1:10" s="29" customFormat="1" x14ac:dyDescent="0.2">
      <c r="A812" s="83" t="s">
        <v>119</v>
      </c>
      <c r="B812" s="39">
        <v>-210</v>
      </c>
      <c r="C812" s="43" t="s">
        <v>1534</v>
      </c>
      <c r="D812" s="37" t="s">
        <v>538</v>
      </c>
      <c r="E812" s="37" t="s">
        <v>914</v>
      </c>
      <c r="F812" s="39">
        <v>12</v>
      </c>
      <c r="G812" s="49" t="s">
        <v>3568</v>
      </c>
      <c r="H812" s="49" t="s">
        <v>3568</v>
      </c>
      <c r="I812" s="49"/>
      <c r="J812" s="40">
        <f>COUNTIF(System_configuration!B:B,A812)</f>
        <v>0</v>
      </c>
    </row>
    <row r="813" spans="1:10" s="29" customFormat="1" x14ac:dyDescent="0.2">
      <c r="A813" s="83" t="s">
        <v>122</v>
      </c>
      <c r="B813" s="39">
        <v>-190</v>
      </c>
      <c r="C813" s="43" t="s">
        <v>1534</v>
      </c>
      <c r="D813" s="37" t="s">
        <v>540</v>
      </c>
      <c r="E813" s="37" t="s">
        <v>915</v>
      </c>
      <c r="F813" s="39">
        <v>12</v>
      </c>
      <c r="G813" s="49" t="s">
        <v>3568</v>
      </c>
      <c r="H813" s="49" t="s">
        <v>3568</v>
      </c>
      <c r="I813" s="49"/>
      <c r="J813" s="40">
        <f>COUNTIF(System_configuration!B:B,A813)</f>
        <v>0</v>
      </c>
    </row>
    <row r="814" spans="1:10" s="29" customFormat="1" x14ac:dyDescent="0.2">
      <c r="A814" s="83" t="s">
        <v>132</v>
      </c>
      <c r="B814" s="39">
        <v>-160</v>
      </c>
      <c r="C814" s="43" t="s">
        <v>1534</v>
      </c>
      <c r="D814" s="37" t="s">
        <v>542</v>
      </c>
      <c r="E814" s="37" t="s">
        <v>916</v>
      </c>
      <c r="F814" s="39">
        <v>12</v>
      </c>
      <c r="G814" s="49" t="s">
        <v>3568</v>
      </c>
      <c r="H814" s="49" t="s">
        <v>3568</v>
      </c>
      <c r="I814" s="49"/>
      <c r="J814" s="40">
        <f>COUNTIF(System_configuration!B:B,A814)</f>
        <v>0</v>
      </c>
    </row>
    <row r="815" spans="1:10" s="29" customFormat="1" x14ac:dyDescent="0.2">
      <c r="A815" s="83" t="s">
        <v>143</v>
      </c>
      <c r="B815" s="39">
        <v>-160</v>
      </c>
      <c r="C815" s="43" t="s">
        <v>1534</v>
      </c>
      <c r="D815" s="37" t="s">
        <v>544</v>
      </c>
      <c r="E815" s="37" t="s">
        <v>917</v>
      </c>
      <c r="F815" s="39">
        <v>12</v>
      </c>
      <c r="G815" s="49" t="s">
        <v>3568</v>
      </c>
      <c r="H815" s="49" t="s">
        <v>3568</v>
      </c>
      <c r="I815" s="49"/>
      <c r="J815" s="40">
        <f>COUNTIF(System_configuration!B:B,A815)</f>
        <v>0</v>
      </c>
    </row>
    <row r="816" spans="1:10" s="29" customFormat="1" x14ac:dyDescent="0.2">
      <c r="A816" s="83" t="s">
        <v>142</v>
      </c>
      <c r="B816" s="39">
        <v>-160</v>
      </c>
      <c r="C816" s="43" t="s">
        <v>1534</v>
      </c>
      <c r="D816" s="37" t="s">
        <v>545</v>
      </c>
      <c r="E816" s="37" t="s">
        <v>918</v>
      </c>
      <c r="F816" s="39">
        <v>12</v>
      </c>
      <c r="G816" s="49" t="s">
        <v>3568</v>
      </c>
      <c r="H816" s="49" t="s">
        <v>3568</v>
      </c>
      <c r="I816" s="49"/>
      <c r="J816" s="40">
        <f>COUNTIF(System_configuration!B:B,A816)</f>
        <v>0</v>
      </c>
    </row>
    <row r="817" spans="1:10" s="29" customFormat="1" x14ac:dyDescent="0.2">
      <c r="A817" s="83" t="s">
        <v>1138</v>
      </c>
      <c r="B817" s="39">
        <v>-160</v>
      </c>
      <c r="C817" s="43" t="s">
        <v>1534</v>
      </c>
      <c r="D817" s="37" t="s">
        <v>1228</v>
      </c>
      <c r="E817" s="37" t="s">
        <v>1175</v>
      </c>
      <c r="F817" s="39">
        <v>12</v>
      </c>
      <c r="G817" s="49" t="s">
        <v>3568</v>
      </c>
      <c r="H817" s="49" t="s">
        <v>3568</v>
      </c>
      <c r="I817" s="49"/>
      <c r="J817" s="40">
        <f>COUNTIF(System_configuration!B:B,A817)</f>
        <v>0</v>
      </c>
    </row>
    <row r="818" spans="1:10" s="29" customFormat="1" x14ac:dyDescent="0.2">
      <c r="A818" s="83" t="s">
        <v>138</v>
      </c>
      <c r="B818" s="39">
        <v>-160</v>
      </c>
      <c r="C818" s="43" t="s">
        <v>1534</v>
      </c>
      <c r="D818" s="37" t="s">
        <v>547</v>
      </c>
      <c r="E818" s="37" t="s">
        <v>919</v>
      </c>
      <c r="F818" s="39">
        <v>12</v>
      </c>
      <c r="G818" s="49" t="s">
        <v>3568</v>
      </c>
      <c r="H818" s="49" t="s">
        <v>3568</v>
      </c>
      <c r="I818" s="49"/>
      <c r="J818" s="40">
        <f>COUNTIF(System_configuration!B:B,A818)</f>
        <v>0</v>
      </c>
    </row>
    <row r="819" spans="1:10" s="29" customFormat="1" x14ac:dyDescent="0.2">
      <c r="A819" s="83" t="s">
        <v>141</v>
      </c>
      <c r="B819" s="39">
        <v>-190</v>
      </c>
      <c r="C819" s="43" t="s">
        <v>1534</v>
      </c>
      <c r="D819" s="37" t="s">
        <v>549</v>
      </c>
      <c r="E819" s="37" t="s">
        <v>920</v>
      </c>
      <c r="F819" s="39">
        <v>12</v>
      </c>
      <c r="G819" s="49" t="s">
        <v>3568</v>
      </c>
      <c r="H819" s="49" t="s">
        <v>3568</v>
      </c>
      <c r="I819" s="49"/>
      <c r="J819" s="40">
        <f>COUNTIF(System_configuration!B:B,A819)</f>
        <v>0</v>
      </c>
    </row>
    <row r="820" spans="1:10" s="29" customFormat="1" x14ac:dyDescent="0.2">
      <c r="A820" s="83" t="s">
        <v>125</v>
      </c>
      <c r="B820" s="39">
        <v>-210</v>
      </c>
      <c r="C820" s="43" t="s">
        <v>1534</v>
      </c>
      <c r="D820" s="37" t="s">
        <v>551</v>
      </c>
      <c r="E820" s="37" t="s">
        <v>921</v>
      </c>
      <c r="F820" s="39">
        <v>12</v>
      </c>
      <c r="G820" s="49" t="s">
        <v>3568</v>
      </c>
      <c r="H820" s="49" t="s">
        <v>3568</v>
      </c>
      <c r="I820" s="49"/>
      <c r="J820" s="40">
        <f>COUNTIF(System_configuration!B:B,A820)</f>
        <v>0</v>
      </c>
    </row>
    <row r="821" spans="1:10" s="29" customFormat="1" x14ac:dyDescent="0.2">
      <c r="A821" s="83" t="s">
        <v>128</v>
      </c>
      <c r="B821" s="39">
        <v>-265</v>
      </c>
      <c r="C821" s="43" t="s">
        <v>1534</v>
      </c>
      <c r="D821" s="37" t="s">
        <v>553</v>
      </c>
      <c r="E821" s="37" t="s">
        <v>922</v>
      </c>
      <c r="F821" s="39">
        <v>12</v>
      </c>
      <c r="G821" s="49" t="s">
        <v>3568</v>
      </c>
      <c r="H821" s="49" t="s">
        <v>3568</v>
      </c>
      <c r="I821" s="49"/>
      <c r="J821" s="40">
        <f>COUNTIF(System_configuration!B:B,A821)</f>
        <v>0</v>
      </c>
    </row>
    <row r="822" spans="1:10" s="29" customFormat="1" x14ac:dyDescent="0.2">
      <c r="A822" s="83" t="s">
        <v>1139</v>
      </c>
      <c r="B822" s="39">
        <v>-265</v>
      </c>
      <c r="C822" s="43" t="s">
        <v>1534</v>
      </c>
      <c r="D822" s="37" t="s">
        <v>1229</v>
      </c>
      <c r="E822" s="37" t="s">
        <v>1176</v>
      </c>
      <c r="F822" s="39">
        <v>12</v>
      </c>
      <c r="G822" s="49" t="s">
        <v>3568</v>
      </c>
      <c r="H822" s="49" t="s">
        <v>3568</v>
      </c>
      <c r="I822" s="49"/>
      <c r="J822" s="40">
        <f>COUNTIF(System_configuration!B:B,A822)</f>
        <v>0</v>
      </c>
    </row>
    <row r="823" spans="1:10" s="29" customFormat="1" x14ac:dyDescent="0.2">
      <c r="A823" s="83" t="s">
        <v>135</v>
      </c>
      <c r="B823" s="39">
        <v>-100</v>
      </c>
      <c r="C823" s="43" t="s">
        <v>1534</v>
      </c>
      <c r="D823" s="37" t="s">
        <v>555</v>
      </c>
      <c r="E823" s="37" t="s">
        <v>923</v>
      </c>
      <c r="F823" s="39">
        <v>12</v>
      </c>
      <c r="G823" s="49" t="s">
        <v>3568</v>
      </c>
      <c r="H823" s="49" t="s">
        <v>3568</v>
      </c>
      <c r="I823" s="49"/>
      <c r="J823" s="40">
        <f>COUNTIF(System_configuration!B:B,A823)</f>
        <v>0</v>
      </c>
    </row>
    <row r="824" spans="1:10" s="29" customFormat="1" x14ac:dyDescent="0.2">
      <c r="A824" s="83" t="s">
        <v>129</v>
      </c>
      <c r="B824" s="39">
        <v>-180</v>
      </c>
      <c r="C824" s="43" t="s">
        <v>1534</v>
      </c>
      <c r="D824" s="37" t="s">
        <v>557</v>
      </c>
      <c r="E824" s="37" t="s">
        <v>924</v>
      </c>
      <c r="F824" s="39">
        <v>12</v>
      </c>
      <c r="G824" s="49" t="s">
        <v>3568</v>
      </c>
      <c r="H824" s="49" t="s">
        <v>3568</v>
      </c>
      <c r="I824" s="49"/>
      <c r="J824" s="40">
        <f>COUNTIF(System_configuration!B:B,A824)</f>
        <v>0</v>
      </c>
    </row>
    <row r="825" spans="1:10" s="29" customFormat="1" x14ac:dyDescent="0.2">
      <c r="A825" s="83" t="s">
        <v>144</v>
      </c>
      <c r="B825" s="39">
        <v>-120</v>
      </c>
      <c r="C825" s="43" t="s">
        <v>1534</v>
      </c>
      <c r="D825" s="37" t="s">
        <v>559</v>
      </c>
      <c r="E825" s="37" t="s">
        <v>925</v>
      </c>
      <c r="F825" s="39">
        <v>12</v>
      </c>
      <c r="G825" s="49" t="s">
        <v>3568</v>
      </c>
      <c r="H825" s="49" t="s">
        <v>3568</v>
      </c>
      <c r="I825" s="49"/>
      <c r="J825" s="40">
        <f>COUNTIF(System_configuration!B:B,A825)</f>
        <v>0</v>
      </c>
    </row>
    <row r="826" spans="1:10" s="29" customFormat="1" x14ac:dyDescent="0.2">
      <c r="A826" s="83" t="s">
        <v>561</v>
      </c>
      <c r="B826" s="39">
        <v>-120</v>
      </c>
      <c r="C826" s="43" t="s">
        <v>1534</v>
      </c>
      <c r="D826" s="37" t="s">
        <v>562</v>
      </c>
      <c r="E826" s="37" t="s">
        <v>926</v>
      </c>
      <c r="F826" s="39">
        <v>12</v>
      </c>
      <c r="G826" s="49" t="s">
        <v>3568</v>
      </c>
      <c r="H826" s="49" t="s">
        <v>3568</v>
      </c>
      <c r="I826" s="49"/>
      <c r="J826" s="40">
        <f>COUNTIF(System_configuration!B:B,A826)</f>
        <v>0</v>
      </c>
    </row>
    <row r="827" spans="1:10" s="29" customFormat="1" x14ac:dyDescent="0.2">
      <c r="A827" s="83" t="s">
        <v>563</v>
      </c>
      <c r="B827" s="39">
        <v>-130</v>
      </c>
      <c r="C827" s="43" t="s">
        <v>1534</v>
      </c>
      <c r="D827" s="37" t="s">
        <v>564</v>
      </c>
      <c r="E827" s="37" t="s">
        <v>927</v>
      </c>
      <c r="F827" s="39">
        <v>12</v>
      </c>
      <c r="G827" s="49" t="s">
        <v>3568</v>
      </c>
      <c r="H827" s="49" t="s">
        <v>3568</v>
      </c>
      <c r="I827" s="49"/>
      <c r="J827" s="40">
        <f>COUNTIF(System_configuration!B:B,A827)</f>
        <v>0</v>
      </c>
    </row>
    <row r="828" spans="1:10" s="29" customFormat="1" x14ac:dyDescent="0.2">
      <c r="A828" s="83" t="s">
        <v>566</v>
      </c>
      <c r="B828" s="39">
        <v>-120</v>
      </c>
      <c r="C828" s="43" t="s">
        <v>1534</v>
      </c>
      <c r="D828" s="37" t="s">
        <v>567</v>
      </c>
      <c r="E828" s="37" t="s">
        <v>928</v>
      </c>
      <c r="F828" s="39">
        <v>12</v>
      </c>
      <c r="G828" s="49" t="s">
        <v>3568</v>
      </c>
      <c r="H828" s="49" t="s">
        <v>3568</v>
      </c>
      <c r="I828" s="49"/>
      <c r="J828" s="40">
        <f>COUNTIF(System_configuration!B:B,A828)</f>
        <v>0</v>
      </c>
    </row>
    <row r="829" spans="1:10" s="29" customFormat="1" x14ac:dyDescent="0.2">
      <c r="A829" s="83" t="s">
        <v>3576</v>
      </c>
      <c r="B829" s="39">
        <v>-120</v>
      </c>
      <c r="C829" s="43" t="s">
        <v>1534</v>
      </c>
      <c r="D829" s="37" t="s">
        <v>3577</v>
      </c>
      <c r="E829" s="37" t="s">
        <v>3578</v>
      </c>
      <c r="F829" s="39">
        <v>12</v>
      </c>
      <c r="G829" s="49" t="s">
        <v>3568</v>
      </c>
      <c r="H829" s="49" t="s">
        <v>3568</v>
      </c>
      <c r="I829" s="49"/>
      <c r="J829" s="40" t="e">
        <f>COUNTIF([1]System_configuration!B:B,A829)</f>
        <v>#VALUE!</v>
      </c>
    </row>
    <row r="830" spans="1:10" s="29" customFormat="1" x14ac:dyDescent="0.2">
      <c r="A830" s="83" t="s">
        <v>757</v>
      </c>
      <c r="B830" s="39">
        <v>-120</v>
      </c>
      <c r="C830" s="43" t="s">
        <v>1534</v>
      </c>
      <c r="D830" s="37" t="s">
        <v>763</v>
      </c>
      <c r="E830" s="37" t="s">
        <v>929</v>
      </c>
      <c r="F830" s="39">
        <v>12</v>
      </c>
      <c r="G830" s="49" t="s">
        <v>3568</v>
      </c>
      <c r="H830" s="49" t="s">
        <v>3568</v>
      </c>
      <c r="I830" s="49"/>
      <c r="J830" s="40">
        <f>COUNTIF(System_configuration!B:B,A830)</f>
        <v>0</v>
      </c>
    </row>
    <row r="831" spans="1:10" s="29" customFormat="1" x14ac:dyDescent="0.2">
      <c r="A831" s="83" t="s">
        <v>145</v>
      </c>
      <c r="B831" s="39">
        <v>-130</v>
      </c>
      <c r="C831" s="43" t="s">
        <v>1534</v>
      </c>
      <c r="D831" s="37" t="s">
        <v>569</v>
      </c>
      <c r="E831" s="37" t="s">
        <v>930</v>
      </c>
      <c r="F831" s="39">
        <v>24</v>
      </c>
      <c r="G831" s="49" t="s">
        <v>3568</v>
      </c>
      <c r="H831" s="49" t="s">
        <v>3568</v>
      </c>
      <c r="I831" s="49"/>
      <c r="J831" s="40">
        <f>COUNTIF(System_configuration!B:B,A831)</f>
        <v>0</v>
      </c>
    </row>
    <row r="832" spans="1:10" s="29" customFormat="1" x14ac:dyDescent="0.2">
      <c r="A832" s="83" t="s">
        <v>571</v>
      </c>
      <c r="B832" s="39">
        <v>-130</v>
      </c>
      <c r="C832" s="43" t="s">
        <v>1534</v>
      </c>
      <c r="D832" s="37" t="s">
        <v>745</v>
      </c>
      <c r="E832" s="37" t="s">
        <v>931</v>
      </c>
      <c r="F832" s="39">
        <v>24</v>
      </c>
      <c r="G832" s="49" t="s">
        <v>3568</v>
      </c>
      <c r="H832" s="49" t="s">
        <v>3568</v>
      </c>
      <c r="I832" s="49"/>
      <c r="J832" s="40">
        <f>COUNTIF(System_configuration!B:B,A832)</f>
        <v>0</v>
      </c>
    </row>
    <row r="833" spans="1:10" s="29" customFormat="1" x14ac:dyDescent="0.2">
      <c r="A833" s="83" t="s">
        <v>1551</v>
      </c>
      <c r="B833" s="39">
        <v>-130</v>
      </c>
      <c r="C833" s="43" t="s">
        <v>1534</v>
      </c>
      <c r="D833" s="37" t="s">
        <v>1552</v>
      </c>
      <c r="E833" s="37" t="s">
        <v>1553</v>
      </c>
      <c r="F833" s="39">
        <v>24</v>
      </c>
      <c r="G833" s="49" t="s">
        <v>3568</v>
      </c>
      <c r="H833" s="49" t="s">
        <v>3568</v>
      </c>
      <c r="I833" s="49"/>
      <c r="J833" s="40">
        <f>COUNTIF(System_configuration!B:B,A833)</f>
        <v>0</v>
      </c>
    </row>
    <row r="834" spans="1:10" s="29" customFormat="1" x14ac:dyDescent="0.2">
      <c r="A834" s="83" t="s">
        <v>146</v>
      </c>
      <c r="B834" s="39">
        <v>-130</v>
      </c>
      <c r="C834" s="43" t="s">
        <v>1534</v>
      </c>
      <c r="D834" s="37" t="s">
        <v>572</v>
      </c>
      <c r="E834" s="37" t="s">
        <v>932</v>
      </c>
      <c r="F834" s="39">
        <v>12</v>
      </c>
      <c r="G834" s="49" t="s">
        <v>3568</v>
      </c>
      <c r="H834" s="49" t="s">
        <v>3568</v>
      </c>
      <c r="I834" s="49"/>
      <c r="J834" s="40">
        <f>COUNTIF(System_configuration!B:B,A834)</f>
        <v>1</v>
      </c>
    </row>
    <row r="835" spans="1:10" s="29" customFormat="1" x14ac:dyDescent="0.2">
      <c r="A835" s="83" t="s">
        <v>1140</v>
      </c>
      <c r="B835" s="39">
        <v>-130</v>
      </c>
      <c r="C835" s="43" t="s">
        <v>1534</v>
      </c>
      <c r="D835" s="37" t="s">
        <v>1230</v>
      </c>
      <c r="E835" s="37" t="s">
        <v>1177</v>
      </c>
      <c r="F835" s="39">
        <v>12</v>
      </c>
      <c r="G835" s="49" t="s">
        <v>3568</v>
      </c>
      <c r="H835" s="49" t="s">
        <v>3568</v>
      </c>
      <c r="I835" s="49"/>
      <c r="J835" s="40">
        <f>COUNTIF(System_configuration!B:B,A835)</f>
        <v>0</v>
      </c>
    </row>
    <row r="836" spans="1:10" s="29" customFormat="1" x14ac:dyDescent="0.2">
      <c r="A836" s="83" t="s">
        <v>574</v>
      </c>
      <c r="B836" s="39">
        <v>-130</v>
      </c>
      <c r="C836" s="43" t="s">
        <v>1534</v>
      </c>
      <c r="D836" s="37" t="s">
        <v>575</v>
      </c>
      <c r="E836" s="37" t="s">
        <v>933</v>
      </c>
      <c r="F836" s="39">
        <v>12</v>
      </c>
      <c r="G836" s="49" t="s">
        <v>3568</v>
      </c>
      <c r="H836" s="49" t="s">
        <v>3568</v>
      </c>
      <c r="I836" s="49"/>
      <c r="J836" s="40">
        <f>COUNTIF(System_configuration!B:B,A836)</f>
        <v>0</v>
      </c>
    </row>
    <row r="837" spans="1:10" s="29" customFormat="1" x14ac:dyDescent="0.2">
      <c r="A837" s="83" t="s">
        <v>147</v>
      </c>
      <c r="B837" s="39">
        <v>-120</v>
      </c>
      <c r="C837" s="43" t="s">
        <v>1534</v>
      </c>
      <c r="D837" s="37" t="s">
        <v>148</v>
      </c>
      <c r="E837" s="37" t="s">
        <v>934</v>
      </c>
      <c r="F837" s="39">
        <v>12</v>
      </c>
      <c r="G837" s="49" t="s">
        <v>3568</v>
      </c>
      <c r="H837" s="49" t="s">
        <v>3568</v>
      </c>
      <c r="I837" s="49"/>
      <c r="J837" s="40">
        <f>COUNTIF(System_configuration!B:B,A837)</f>
        <v>0</v>
      </c>
    </row>
    <row r="838" spans="1:10" s="29" customFormat="1" x14ac:dyDescent="0.2">
      <c r="A838" s="83" t="s">
        <v>578</v>
      </c>
      <c r="B838" s="39">
        <v>-170</v>
      </c>
      <c r="C838" s="43" t="s">
        <v>1534</v>
      </c>
      <c r="D838" s="37" t="s">
        <v>579</v>
      </c>
      <c r="E838" s="37" t="s">
        <v>935</v>
      </c>
      <c r="F838" s="39">
        <v>24</v>
      </c>
      <c r="G838" s="49" t="s">
        <v>3570</v>
      </c>
      <c r="H838" s="49" t="s">
        <v>3570</v>
      </c>
      <c r="I838" s="49" t="s">
        <v>3570</v>
      </c>
      <c r="J838" s="40">
        <f>COUNTIF(System_configuration!B:B,A838)</f>
        <v>0</v>
      </c>
    </row>
    <row r="839" spans="1:10" s="29" customFormat="1" x14ac:dyDescent="0.2">
      <c r="A839" s="83" t="s">
        <v>149</v>
      </c>
      <c r="B839" s="39">
        <v>-170</v>
      </c>
      <c r="C839" s="43" t="s">
        <v>1534</v>
      </c>
      <c r="D839" s="37" t="s">
        <v>150</v>
      </c>
      <c r="E839" s="37" t="s">
        <v>936</v>
      </c>
      <c r="F839" s="39">
        <v>12</v>
      </c>
      <c r="G839" s="49" t="s">
        <v>3568</v>
      </c>
      <c r="H839" s="49" t="s">
        <v>3568</v>
      </c>
      <c r="I839" s="49"/>
      <c r="J839" s="40">
        <f>COUNTIF(System_configuration!B:B,A839)</f>
        <v>0</v>
      </c>
    </row>
    <row r="840" spans="1:10" s="29" customFormat="1" x14ac:dyDescent="0.2">
      <c r="A840" s="83" t="s">
        <v>581</v>
      </c>
      <c r="B840" s="39">
        <v>-270</v>
      </c>
      <c r="C840" s="43" t="s">
        <v>1534</v>
      </c>
      <c r="D840" s="37" t="s">
        <v>582</v>
      </c>
      <c r="E840" s="37" t="s">
        <v>937</v>
      </c>
      <c r="F840" s="39">
        <v>24</v>
      </c>
      <c r="G840" s="49" t="s">
        <v>3570</v>
      </c>
      <c r="H840" s="49" t="s">
        <v>3570</v>
      </c>
      <c r="I840" s="49" t="s">
        <v>3570</v>
      </c>
      <c r="J840" s="40">
        <f>COUNTIF(System_configuration!B:B,A840)</f>
        <v>0</v>
      </c>
    </row>
    <row r="841" spans="1:10" s="29" customFormat="1" x14ac:dyDescent="0.2">
      <c r="A841" s="83" t="s">
        <v>770</v>
      </c>
      <c r="B841" s="39">
        <v>-130</v>
      </c>
      <c r="C841" s="43" t="s">
        <v>1534</v>
      </c>
      <c r="D841" s="37" t="s">
        <v>1231</v>
      </c>
      <c r="E841" s="37" t="s">
        <v>1554</v>
      </c>
      <c r="F841" s="39">
        <v>12</v>
      </c>
      <c r="G841" s="49" t="s">
        <v>3568</v>
      </c>
      <c r="H841" s="49" t="s">
        <v>3568</v>
      </c>
      <c r="I841" s="49"/>
      <c r="J841" s="40">
        <f>COUNTIF(System_configuration!B:B,A841)</f>
        <v>0</v>
      </c>
    </row>
    <row r="842" spans="1:10" s="29" customFormat="1" x14ac:dyDescent="0.2">
      <c r="A842" s="83" t="s">
        <v>583</v>
      </c>
      <c r="B842" s="39">
        <v>-130</v>
      </c>
      <c r="C842" s="43" t="s">
        <v>1534</v>
      </c>
      <c r="D842" s="37" t="s">
        <v>584</v>
      </c>
      <c r="E842" s="37" t="s">
        <v>938</v>
      </c>
      <c r="F842" s="39">
        <v>12</v>
      </c>
      <c r="G842" s="49" t="s">
        <v>3568</v>
      </c>
      <c r="H842" s="49" t="s">
        <v>3568</v>
      </c>
      <c r="I842" s="49"/>
      <c r="J842" s="40">
        <f>COUNTIF(System_configuration!B:B,A842)</f>
        <v>0</v>
      </c>
    </row>
    <row r="843" spans="1:10" s="29" customFormat="1" x14ac:dyDescent="0.2">
      <c r="A843" s="83" t="s">
        <v>771</v>
      </c>
      <c r="B843" s="39">
        <v>-80</v>
      </c>
      <c r="C843" s="43" t="s">
        <v>1534</v>
      </c>
      <c r="D843" s="37" t="s">
        <v>772</v>
      </c>
      <c r="E843" s="37" t="s">
        <v>939</v>
      </c>
      <c r="F843" s="39">
        <v>24</v>
      </c>
      <c r="G843" s="49" t="s">
        <v>3570</v>
      </c>
      <c r="H843" s="49" t="s">
        <v>3570</v>
      </c>
      <c r="I843" s="49" t="s">
        <v>3570</v>
      </c>
      <c r="J843" s="40">
        <f>COUNTIF(System_configuration!B:B,A843)</f>
        <v>0</v>
      </c>
    </row>
    <row r="844" spans="1:10" s="29" customFormat="1" x14ac:dyDescent="0.2">
      <c r="A844" s="83" t="s">
        <v>151</v>
      </c>
      <c r="B844" s="39">
        <v>-120</v>
      </c>
      <c r="C844" s="43" t="s">
        <v>1534</v>
      </c>
      <c r="D844" s="37" t="s">
        <v>152</v>
      </c>
      <c r="E844" s="37" t="s">
        <v>940</v>
      </c>
      <c r="F844" s="39">
        <v>12</v>
      </c>
      <c r="G844" s="49"/>
      <c r="H844" s="49"/>
      <c r="I844" s="49"/>
      <c r="J844" s="40">
        <f>COUNTIF(System_configuration!B:B,A844)</f>
        <v>0</v>
      </c>
    </row>
    <row r="845" spans="1:10" s="29" customFormat="1" x14ac:dyDescent="0.2">
      <c r="A845" s="83" t="s">
        <v>153</v>
      </c>
      <c r="B845" s="39">
        <v>-120</v>
      </c>
      <c r="C845" s="43" t="s">
        <v>1534</v>
      </c>
      <c r="D845" s="37" t="s">
        <v>154</v>
      </c>
      <c r="E845" s="37" t="s">
        <v>941</v>
      </c>
      <c r="F845" s="39">
        <v>12</v>
      </c>
      <c r="G845" s="49" t="s">
        <v>3568</v>
      </c>
      <c r="H845" s="49" t="s">
        <v>3568</v>
      </c>
      <c r="I845" s="49"/>
      <c r="J845" s="40">
        <f>COUNTIF(System_configuration!B:B,A845)</f>
        <v>0</v>
      </c>
    </row>
    <row r="846" spans="1:10" s="29" customFormat="1" x14ac:dyDescent="0.2">
      <c r="A846" s="83" t="s">
        <v>155</v>
      </c>
      <c r="B846" s="39">
        <v>-310</v>
      </c>
      <c r="C846" s="43" t="s">
        <v>1534</v>
      </c>
      <c r="D846" s="37" t="s">
        <v>586</v>
      </c>
      <c r="E846" s="37" t="s">
        <v>942</v>
      </c>
      <c r="F846" s="39">
        <v>24</v>
      </c>
      <c r="G846" s="49" t="s">
        <v>3570</v>
      </c>
      <c r="H846" s="49" t="s">
        <v>3570</v>
      </c>
      <c r="I846" s="49" t="s">
        <v>3570</v>
      </c>
      <c r="J846" s="40">
        <f>COUNTIF(System_configuration!B:B,A846)</f>
        <v>0</v>
      </c>
    </row>
    <row r="847" spans="1:10" s="29" customFormat="1" x14ac:dyDescent="0.2">
      <c r="A847" s="83" t="s">
        <v>156</v>
      </c>
      <c r="B847" s="39">
        <v>-450</v>
      </c>
      <c r="C847" s="43" t="s">
        <v>1534</v>
      </c>
      <c r="D847" s="37" t="s">
        <v>587</v>
      </c>
      <c r="E847" s="37" t="s">
        <v>943</v>
      </c>
      <c r="F847" s="39">
        <v>24</v>
      </c>
      <c r="G847" s="49" t="s">
        <v>3570</v>
      </c>
      <c r="H847" s="49" t="s">
        <v>3570</v>
      </c>
      <c r="I847" s="49" t="s">
        <v>3570</v>
      </c>
      <c r="J847" s="40">
        <f>COUNTIF(System_configuration!B:B,A847)</f>
        <v>0</v>
      </c>
    </row>
    <row r="848" spans="1:10" s="29" customFormat="1" x14ac:dyDescent="0.2">
      <c r="A848" s="83" t="s">
        <v>588</v>
      </c>
      <c r="B848" s="39">
        <v>-400</v>
      </c>
      <c r="C848" s="43" t="s">
        <v>1534</v>
      </c>
      <c r="D848" s="37" t="s">
        <v>1232</v>
      </c>
      <c r="E848" s="37" t="s">
        <v>1555</v>
      </c>
      <c r="F848" s="39">
        <v>24</v>
      </c>
      <c r="G848" s="49" t="s">
        <v>3570</v>
      </c>
      <c r="H848" s="49" t="s">
        <v>3570</v>
      </c>
      <c r="I848" s="49" t="s">
        <v>3570</v>
      </c>
      <c r="J848" s="40">
        <f>COUNTIF(System_configuration!B:B,A848)</f>
        <v>0</v>
      </c>
    </row>
    <row r="849" spans="1:10" s="29" customFormat="1" x14ac:dyDescent="0.2">
      <c r="A849" s="83" t="s">
        <v>589</v>
      </c>
      <c r="B849" s="39">
        <v>-400</v>
      </c>
      <c r="C849" s="43" t="s">
        <v>1534</v>
      </c>
      <c r="D849" s="37" t="s">
        <v>1233</v>
      </c>
      <c r="E849" s="37" t="s">
        <v>1556</v>
      </c>
      <c r="F849" s="39">
        <v>24</v>
      </c>
      <c r="G849" s="49" t="s">
        <v>3570</v>
      </c>
      <c r="H849" s="49" t="s">
        <v>3570</v>
      </c>
      <c r="I849" s="49" t="s">
        <v>3570</v>
      </c>
      <c r="J849" s="40">
        <f>COUNTIF(System_configuration!B:B,A849)</f>
        <v>0</v>
      </c>
    </row>
    <row r="850" spans="1:10" s="29" customFormat="1" x14ac:dyDescent="0.2">
      <c r="A850" s="83" t="s">
        <v>590</v>
      </c>
      <c r="B850" s="39">
        <v>-400</v>
      </c>
      <c r="C850" s="43" t="s">
        <v>1534</v>
      </c>
      <c r="D850" s="37" t="s">
        <v>591</v>
      </c>
      <c r="E850" s="37" t="s">
        <v>944</v>
      </c>
      <c r="F850" s="39">
        <v>24</v>
      </c>
      <c r="G850" s="49" t="s">
        <v>3570</v>
      </c>
      <c r="H850" s="49" t="s">
        <v>3570</v>
      </c>
      <c r="I850" s="49" t="s">
        <v>3570</v>
      </c>
      <c r="J850" s="40">
        <f>COUNTIF(System_configuration!B:B,A850)</f>
        <v>0</v>
      </c>
    </row>
    <row r="851" spans="1:10" s="29" customFormat="1" x14ac:dyDescent="0.2">
      <c r="A851" s="83" t="s">
        <v>1141</v>
      </c>
      <c r="B851" s="39">
        <v>-400</v>
      </c>
      <c r="C851" s="43" t="s">
        <v>1534</v>
      </c>
      <c r="D851" s="37" t="s">
        <v>1234</v>
      </c>
      <c r="E851" s="37" t="s">
        <v>1557</v>
      </c>
      <c r="F851" s="39">
        <v>24</v>
      </c>
      <c r="G851" s="49" t="s">
        <v>3570</v>
      </c>
      <c r="H851" s="49" t="s">
        <v>3570</v>
      </c>
      <c r="I851" s="49" t="s">
        <v>3570</v>
      </c>
      <c r="J851" s="40">
        <f>COUNTIF(System_configuration!B:B,A851)</f>
        <v>0</v>
      </c>
    </row>
    <row r="852" spans="1:10" s="29" customFormat="1" x14ac:dyDescent="0.2">
      <c r="A852" s="83" t="s">
        <v>758</v>
      </c>
      <c r="B852" s="39">
        <v>-400</v>
      </c>
      <c r="C852" s="43" t="s">
        <v>1534</v>
      </c>
      <c r="D852" s="37" t="s">
        <v>764</v>
      </c>
      <c r="E852" s="37" t="s">
        <v>945</v>
      </c>
      <c r="F852" s="39">
        <v>24</v>
      </c>
      <c r="G852" s="49" t="s">
        <v>3570</v>
      </c>
      <c r="H852" s="49" t="s">
        <v>3570</v>
      </c>
      <c r="I852" s="49" t="s">
        <v>3570</v>
      </c>
      <c r="J852" s="40">
        <f>COUNTIF(System_configuration!B:B,A852)</f>
        <v>0</v>
      </c>
    </row>
    <row r="853" spans="1:10" s="29" customFormat="1" x14ac:dyDescent="0.2">
      <c r="A853" s="83" t="s">
        <v>592</v>
      </c>
      <c r="B853" s="39">
        <v>-310</v>
      </c>
      <c r="C853" s="43" t="s">
        <v>1534</v>
      </c>
      <c r="D853" s="37" t="s">
        <v>593</v>
      </c>
      <c r="E853" s="37" t="s">
        <v>946</v>
      </c>
      <c r="F853" s="39">
        <v>24</v>
      </c>
      <c r="G853" s="49" t="s">
        <v>3570</v>
      </c>
      <c r="H853" s="49" t="s">
        <v>3570</v>
      </c>
      <c r="I853" s="49" t="s">
        <v>3570</v>
      </c>
      <c r="J853" s="40">
        <f>COUNTIF(System_configuration!B:B,A853)</f>
        <v>0</v>
      </c>
    </row>
    <row r="854" spans="1:10" s="29" customFormat="1" x14ac:dyDescent="0.2">
      <c r="A854" s="83" t="s">
        <v>157</v>
      </c>
      <c r="B854" s="39">
        <v>-120</v>
      </c>
      <c r="C854" s="43" t="s">
        <v>1534</v>
      </c>
      <c r="D854" s="37" t="s">
        <v>158</v>
      </c>
      <c r="E854" s="37" t="s">
        <v>947</v>
      </c>
      <c r="F854" s="39">
        <v>24</v>
      </c>
      <c r="G854" s="49" t="s">
        <v>3570</v>
      </c>
      <c r="H854" s="49" t="s">
        <v>3570</v>
      </c>
      <c r="I854" s="49" t="s">
        <v>3570</v>
      </c>
      <c r="J854" s="40">
        <f>COUNTIF(System_configuration!B:B,A854)</f>
        <v>0</v>
      </c>
    </row>
    <row r="855" spans="1:10" s="29" customFormat="1" x14ac:dyDescent="0.2">
      <c r="A855" s="83" t="s">
        <v>1142</v>
      </c>
      <c r="B855" s="39">
        <v>-400</v>
      </c>
      <c r="C855" s="43" t="s">
        <v>1534</v>
      </c>
      <c r="D855" s="37" t="s">
        <v>1235</v>
      </c>
      <c r="E855" s="37" t="s">
        <v>1178</v>
      </c>
      <c r="F855" s="39">
        <v>24</v>
      </c>
      <c r="G855" s="49" t="s">
        <v>3570</v>
      </c>
      <c r="H855" s="49" t="s">
        <v>3570</v>
      </c>
      <c r="I855" s="49" t="s">
        <v>3570</v>
      </c>
      <c r="J855" s="40">
        <f>COUNTIF(System_configuration!B:B,A855)</f>
        <v>0</v>
      </c>
    </row>
    <row r="856" spans="1:10" s="29" customFormat="1" x14ac:dyDescent="0.2">
      <c r="A856" s="83" t="s">
        <v>240</v>
      </c>
      <c r="B856" s="39">
        <v>-240</v>
      </c>
      <c r="C856" s="43" t="s">
        <v>1534</v>
      </c>
      <c r="D856" s="37" t="s">
        <v>241</v>
      </c>
      <c r="E856" s="37" t="s">
        <v>948</v>
      </c>
      <c r="F856" s="39">
        <v>24</v>
      </c>
      <c r="G856" s="49" t="s">
        <v>3570</v>
      </c>
      <c r="H856" s="49" t="s">
        <v>3570</v>
      </c>
      <c r="I856" s="49" t="s">
        <v>3570</v>
      </c>
      <c r="J856" s="40">
        <f>COUNTIF(System_configuration!B:B,A856)</f>
        <v>0</v>
      </c>
    </row>
    <row r="857" spans="1:10" s="29" customFormat="1" x14ac:dyDescent="0.2">
      <c r="A857" s="83" t="s">
        <v>159</v>
      </c>
      <c r="B857" s="39">
        <v>-350</v>
      </c>
      <c r="C857" s="43" t="s">
        <v>1534</v>
      </c>
      <c r="D857" s="37" t="s">
        <v>161</v>
      </c>
      <c r="E857" s="37" t="s">
        <v>949</v>
      </c>
      <c r="F857" s="39">
        <v>24</v>
      </c>
      <c r="G857" s="49" t="s">
        <v>3570</v>
      </c>
      <c r="H857" s="49" t="s">
        <v>3570</v>
      </c>
      <c r="I857" s="49" t="s">
        <v>3570</v>
      </c>
      <c r="J857" s="40">
        <f>COUNTIF(System_configuration!B:B,A857)</f>
        <v>0</v>
      </c>
    </row>
    <row r="858" spans="1:10" s="29" customFormat="1" x14ac:dyDescent="0.2">
      <c r="A858" s="83" t="s">
        <v>160</v>
      </c>
      <c r="B858" s="39">
        <v>-350</v>
      </c>
      <c r="C858" s="43" t="s">
        <v>1534</v>
      </c>
      <c r="D858" s="37" t="s">
        <v>162</v>
      </c>
      <c r="E858" s="37" t="s">
        <v>950</v>
      </c>
      <c r="F858" s="39">
        <v>24</v>
      </c>
      <c r="G858" s="49" t="s">
        <v>3570</v>
      </c>
      <c r="H858" s="49" t="s">
        <v>3570</v>
      </c>
      <c r="I858" s="49" t="s">
        <v>3570</v>
      </c>
      <c r="J858" s="40">
        <f>COUNTIF(System_configuration!B:B,A858)</f>
        <v>0</v>
      </c>
    </row>
    <row r="859" spans="1:10" s="29" customFormat="1" x14ac:dyDescent="0.2">
      <c r="A859" s="83" t="s">
        <v>1143</v>
      </c>
      <c r="B859" s="39">
        <v>-450</v>
      </c>
      <c r="C859" s="43" t="s">
        <v>1534</v>
      </c>
      <c r="D859" s="37" t="s">
        <v>163</v>
      </c>
      <c r="E859" s="37" t="s">
        <v>951</v>
      </c>
      <c r="F859" s="39">
        <v>24</v>
      </c>
      <c r="G859" s="49" t="s">
        <v>3570</v>
      </c>
      <c r="H859" s="49" t="s">
        <v>3570</v>
      </c>
      <c r="I859" s="49" t="s">
        <v>3570</v>
      </c>
      <c r="J859" s="40">
        <f>COUNTIF(System_configuration!B:B,A859)</f>
        <v>0</v>
      </c>
    </row>
    <row r="860" spans="1:10" s="29" customFormat="1" x14ac:dyDescent="0.2">
      <c r="A860" s="83" t="s">
        <v>164</v>
      </c>
      <c r="B860" s="39">
        <v>-300</v>
      </c>
      <c r="C860" s="43" t="s">
        <v>1534</v>
      </c>
      <c r="D860" s="37" t="s">
        <v>166</v>
      </c>
      <c r="E860" s="37" t="s">
        <v>952</v>
      </c>
      <c r="F860" s="39">
        <v>24</v>
      </c>
      <c r="G860" s="49" t="s">
        <v>3570</v>
      </c>
      <c r="H860" s="49" t="s">
        <v>3570</v>
      </c>
      <c r="I860" s="49" t="s">
        <v>3570</v>
      </c>
      <c r="J860" s="40">
        <f>COUNTIF(System_configuration!B:B,A860)</f>
        <v>0</v>
      </c>
    </row>
    <row r="861" spans="1:10" s="29" customFormat="1" x14ac:dyDescent="0.2">
      <c r="A861" s="83" t="s">
        <v>165</v>
      </c>
      <c r="B861" s="39">
        <v>-300</v>
      </c>
      <c r="C861" s="43" t="s">
        <v>1534</v>
      </c>
      <c r="D861" s="37" t="s">
        <v>167</v>
      </c>
      <c r="E861" s="37" t="s">
        <v>953</v>
      </c>
      <c r="F861" s="39">
        <v>24</v>
      </c>
      <c r="G861" s="49" t="s">
        <v>3570</v>
      </c>
      <c r="H861" s="49" t="s">
        <v>3570</v>
      </c>
      <c r="I861" s="49" t="s">
        <v>3570</v>
      </c>
      <c r="J861" s="40">
        <f>COUNTIF(System_configuration!B:B,A861)</f>
        <v>0</v>
      </c>
    </row>
    <row r="862" spans="1:10" s="29" customFormat="1" x14ac:dyDescent="0.2">
      <c r="A862" s="83" t="s">
        <v>168</v>
      </c>
      <c r="B862" s="39">
        <v>-260</v>
      </c>
      <c r="C862" s="43" t="s">
        <v>1534</v>
      </c>
      <c r="D862" s="37" t="s">
        <v>170</v>
      </c>
      <c r="E862" s="37" t="s">
        <v>954</v>
      </c>
      <c r="F862" s="39">
        <v>24</v>
      </c>
      <c r="G862" s="49" t="s">
        <v>3570</v>
      </c>
      <c r="H862" s="49" t="s">
        <v>3570</v>
      </c>
      <c r="I862" s="49" t="s">
        <v>3570</v>
      </c>
      <c r="J862" s="40">
        <f>COUNTIF(System_configuration!B:B,A862)</f>
        <v>0</v>
      </c>
    </row>
    <row r="863" spans="1:10" s="29" customFormat="1" x14ac:dyDescent="0.2">
      <c r="A863" s="83" t="s">
        <v>169</v>
      </c>
      <c r="B863" s="39">
        <v>-260</v>
      </c>
      <c r="C863" s="43" t="s">
        <v>1534</v>
      </c>
      <c r="D863" s="37" t="s">
        <v>171</v>
      </c>
      <c r="E863" s="37" t="s">
        <v>955</v>
      </c>
      <c r="F863" s="39">
        <v>24</v>
      </c>
      <c r="G863" s="49" t="s">
        <v>3570</v>
      </c>
      <c r="H863" s="49" t="s">
        <v>3570</v>
      </c>
      <c r="I863" s="49" t="s">
        <v>3570</v>
      </c>
      <c r="J863" s="40">
        <f>COUNTIF(System_configuration!B:B,A863)</f>
        <v>0</v>
      </c>
    </row>
    <row r="864" spans="1:10" s="29" customFormat="1" x14ac:dyDescent="0.2">
      <c r="A864" s="83" t="s">
        <v>594</v>
      </c>
      <c r="B864" s="39">
        <v>-130</v>
      </c>
      <c r="C864" s="43" t="s">
        <v>1534</v>
      </c>
      <c r="D864" s="37" t="s">
        <v>595</v>
      </c>
      <c r="E864" s="37" t="s">
        <v>956</v>
      </c>
      <c r="F864" s="39">
        <v>12</v>
      </c>
      <c r="G864" s="49" t="s">
        <v>3568</v>
      </c>
      <c r="H864" s="49" t="s">
        <v>3568</v>
      </c>
      <c r="I864" s="49"/>
      <c r="J864" s="40">
        <f>COUNTIF(System_configuration!B:B,A864)</f>
        <v>0</v>
      </c>
    </row>
    <row r="865" spans="1:10" s="29" customFormat="1" x14ac:dyDescent="0.2">
      <c r="A865" s="83" t="s">
        <v>596</v>
      </c>
      <c r="B865" s="39">
        <v>-130</v>
      </c>
      <c r="C865" s="43" t="s">
        <v>1534</v>
      </c>
      <c r="D865" s="37" t="s">
        <v>597</v>
      </c>
      <c r="E865" s="37" t="s">
        <v>957</v>
      </c>
      <c r="F865" s="39">
        <v>12</v>
      </c>
      <c r="G865" s="49" t="s">
        <v>3568</v>
      </c>
      <c r="H865" s="49" t="s">
        <v>3568</v>
      </c>
      <c r="I865" s="49"/>
      <c r="J865" s="40">
        <f>COUNTIF(System_configuration!B:B,A865)</f>
        <v>0</v>
      </c>
    </row>
    <row r="866" spans="1:10" s="29" customFormat="1" x14ac:dyDescent="0.2">
      <c r="A866" s="83" t="s">
        <v>598</v>
      </c>
      <c r="B866" s="39">
        <v>-188</v>
      </c>
      <c r="C866" s="43" t="s">
        <v>1534</v>
      </c>
      <c r="D866" s="37" t="s">
        <v>1236</v>
      </c>
      <c r="E866" s="37" t="s">
        <v>1558</v>
      </c>
      <c r="F866" s="39">
        <v>12</v>
      </c>
      <c r="G866" s="49" t="s">
        <v>3568</v>
      </c>
      <c r="H866" s="49" t="s">
        <v>3568</v>
      </c>
      <c r="I866" s="49"/>
      <c r="J866" s="40">
        <f>COUNTIF(System_configuration!B:B,A866)</f>
        <v>0</v>
      </c>
    </row>
    <row r="867" spans="1:10" s="29" customFormat="1" x14ac:dyDescent="0.2">
      <c r="A867" s="83" t="s">
        <v>1144</v>
      </c>
      <c r="B867" s="39">
        <v>-188</v>
      </c>
      <c r="C867" s="43" t="s">
        <v>1534</v>
      </c>
      <c r="D867" s="37" t="s">
        <v>1237</v>
      </c>
      <c r="E867" s="37" t="s">
        <v>1179</v>
      </c>
      <c r="F867" s="39">
        <v>12</v>
      </c>
      <c r="G867" s="49" t="s">
        <v>3568</v>
      </c>
      <c r="H867" s="49" t="s">
        <v>3568</v>
      </c>
      <c r="I867" s="49"/>
      <c r="J867" s="40">
        <f>COUNTIF(System_configuration!B:B,A867)</f>
        <v>0</v>
      </c>
    </row>
    <row r="868" spans="1:10" s="29" customFormat="1" x14ac:dyDescent="0.2">
      <c r="A868" s="83" t="s">
        <v>721</v>
      </c>
      <c r="B868" s="39">
        <v>-188</v>
      </c>
      <c r="C868" s="43" t="s">
        <v>1534</v>
      </c>
      <c r="D868" s="37" t="s">
        <v>746</v>
      </c>
      <c r="E868" s="37" t="s">
        <v>958</v>
      </c>
      <c r="F868" s="39">
        <v>12</v>
      </c>
      <c r="G868" s="49" t="s">
        <v>3568</v>
      </c>
      <c r="H868" s="49" t="s">
        <v>3568</v>
      </c>
      <c r="I868" s="49"/>
      <c r="J868" s="40">
        <f>COUNTIF(System_configuration!B:B,A868)</f>
        <v>0</v>
      </c>
    </row>
    <row r="869" spans="1:10" s="29" customFormat="1" x14ac:dyDescent="0.2">
      <c r="A869" s="83" t="s">
        <v>172</v>
      </c>
      <c r="B869" s="39">
        <v>-120</v>
      </c>
      <c r="C869" s="43" t="s">
        <v>1534</v>
      </c>
      <c r="D869" s="37" t="s">
        <v>599</v>
      </c>
      <c r="E869" s="37" t="s">
        <v>1559</v>
      </c>
      <c r="F869" s="39">
        <v>12</v>
      </c>
      <c r="G869" s="49" t="s">
        <v>3568</v>
      </c>
      <c r="H869" s="49" t="s">
        <v>3568</v>
      </c>
      <c r="I869" s="49"/>
      <c r="J869" s="40">
        <f>COUNTIF(System_configuration!B:B,A869)</f>
        <v>0</v>
      </c>
    </row>
    <row r="870" spans="1:10" s="29" customFormat="1" ht="51" x14ac:dyDescent="0.2">
      <c r="A870" s="83" t="s">
        <v>1145</v>
      </c>
      <c r="B870" s="39">
        <v>-100</v>
      </c>
      <c r="C870" s="43" t="s">
        <v>1534</v>
      </c>
      <c r="D870" s="37" t="s">
        <v>1238</v>
      </c>
      <c r="E870" s="37" t="s">
        <v>1180</v>
      </c>
      <c r="F870" s="39">
        <v>12</v>
      </c>
      <c r="G870" s="49" t="s">
        <v>3568</v>
      </c>
      <c r="H870" s="49" t="s">
        <v>3568</v>
      </c>
      <c r="I870" s="49"/>
      <c r="J870" s="40">
        <f>COUNTIF(System_configuration!B:B,A870)</f>
        <v>0</v>
      </c>
    </row>
    <row r="871" spans="1:10" s="29" customFormat="1" ht="38.25" x14ac:dyDescent="0.2">
      <c r="A871" s="83" t="s">
        <v>173</v>
      </c>
      <c r="B871" s="39">
        <v>-140</v>
      </c>
      <c r="C871" s="43" t="s">
        <v>1534</v>
      </c>
      <c r="D871" s="37" t="s">
        <v>601</v>
      </c>
      <c r="E871" s="37" t="s">
        <v>1560</v>
      </c>
      <c r="F871" s="39">
        <v>24</v>
      </c>
      <c r="G871" s="49" t="s">
        <v>3568</v>
      </c>
      <c r="H871" s="49" t="s">
        <v>3568</v>
      </c>
      <c r="I871" s="49"/>
      <c r="J871" s="40">
        <f>COUNTIF(System_configuration!B:B,A871)</f>
        <v>0</v>
      </c>
    </row>
    <row r="872" spans="1:10" s="29" customFormat="1" ht="51" x14ac:dyDescent="0.2">
      <c r="A872" s="83" t="s">
        <v>1146</v>
      </c>
      <c r="B872" s="39">
        <v>-100</v>
      </c>
      <c r="C872" s="43" t="s">
        <v>1534</v>
      </c>
      <c r="D872" s="37" t="s">
        <v>1239</v>
      </c>
      <c r="E872" s="37" t="s">
        <v>1181</v>
      </c>
      <c r="F872" s="39">
        <v>24</v>
      </c>
      <c r="G872" s="49" t="s">
        <v>3568</v>
      </c>
      <c r="H872" s="49" t="s">
        <v>3568</v>
      </c>
      <c r="I872" s="49"/>
      <c r="J872" s="40">
        <f>COUNTIF(System_configuration!B:B,A872)</f>
        <v>0</v>
      </c>
    </row>
    <row r="873" spans="1:10" s="29" customFormat="1" ht="38.25" x14ac:dyDescent="0.2">
      <c r="A873" s="83" t="s">
        <v>672</v>
      </c>
      <c r="B873" s="39">
        <v>-120</v>
      </c>
      <c r="C873" s="43" t="s">
        <v>1534</v>
      </c>
      <c r="D873" s="37" t="s">
        <v>1240</v>
      </c>
      <c r="E873" s="37" t="s">
        <v>1561</v>
      </c>
      <c r="F873" s="39">
        <v>12</v>
      </c>
      <c r="G873" s="49" t="s">
        <v>3568</v>
      </c>
      <c r="H873" s="49" t="s">
        <v>3568</v>
      </c>
      <c r="I873" s="49"/>
      <c r="J873" s="40">
        <f>COUNTIF(System_configuration!B:B,A873)</f>
        <v>0</v>
      </c>
    </row>
    <row r="874" spans="1:10" s="29" customFormat="1" ht="38.25" x14ac:dyDescent="0.2">
      <c r="A874" s="83" t="s">
        <v>759</v>
      </c>
      <c r="B874" s="39">
        <v>-120</v>
      </c>
      <c r="C874" s="43" t="s">
        <v>1534</v>
      </c>
      <c r="D874" s="37" t="s">
        <v>1241</v>
      </c>
      <c r="E874" s="37" t="s">
        <v>1562</v>
      </c>
      <c r="F874" s="39">
        <v>12</v>
      </c>
      <c r="G874" s="49" t="s">
        <v>3568</v>
      </c>
      <c r="H874" s="49" t="s">
        <v>3568</v>
      </c>
      <c r="I874" s="49"/>
      <c r="J874" s="40">
        <f>COUNTIF(System_configuration!B:B,A874)</f>
        <v>0</v>
      </c>
    </row>
    <row r="875" spans="1:10" s="29" customFormat="1" x14ac:dyDescent="0.2">
      <c r="A875" s="83" t="s">
        <v>1563</v>
      </c>
      <c r="B875" s="39">
        <v>-120</v>
      </c>
      <c r="C875" s="43" t="s">
        <v>1534</v>
      </c>
      <c r="D875" s="37" t="s">
        <v>1564</v>
      </c>
      <c r="E875" s="37" t="s">
        <v>3582</v>
      </c>
      <c r="F875" s="39">
        <v>12</v>
      </c>
      <c r="G875" s="49" t="s">
        <v>3568</v>
      </c>
      <c r="H875" s="49" t="s">
        <v>3568</v>
      </c>
      <c r="I875" s="49"/>
      <c r="J875" s="40">
        <f>COUNTIF(System_configuration!B:B,A875)</f>
        <v>0</v>
      </c>
    </row>
    <row r="876" spans="1:10" s="29" customFormat="1" ht="38.25" x14ac:dyDescent="0.2">
      <c r="A876" s="83" t="s">
        <v>773</v>
      </c>
      <c r="B876" s="39">
        <v>-120</v>
      </c>
      <c r="C876" s="43" t="s">
        <v>1534</v>
      </c>
      <c r="D876" s="37" t="s">
        <v>1242</v>
      </c>
      <c r="E876" s="37" t="s">
        <v>1565</v>
      </c>
      <c r="F876" s="39">
        <v>24</v>
      </c>
      <c r="G876" s="49" t="s">
        <v>3568</v>
      </c>
      <c r="H876" s="49" t="s">
        <v>3568</v>
      </c>
      <c r="I876" s="49"/>
      <c r="J876" s="40">
        <f>COUNTIF(System_configuration!B:B,A876)</f>
        <v>0</v>
      </c>
    </row>
    <row r="877" spans="1:10" s="29" customFormat="1" ht="38.25" x14ac:dyDescent="0.2">
      <c r="A877" s="83" t="s">
        <v>774</v>
      </c>
      <c r="B877" s="39">
        <v>-120</v>
      </c>
      <c r="C877" s="43" t="s">
        <v>1534</v>
      </c>
      <c r="D877" s="37" t="s">
        <v>1243</v>
      </c>
      <c r="E877" s="37" t="s">
        <v>1566</v>
      </c>
      <c r="F877" s="39">
        <v>24</v>
      </c>
      <c r="G877" s="49" t="s">
        <v>3568</v>
      </c>
      <c r="H877" s="49" t="s">
        <v>3568</v>
      </c>
      <c r="I877" s="49"/>
      <c r="J877" s="40">
        <f>COUNTIF(System_configuration!B:B,A877)</f>
        <v>0</v>
      </c>
    </row>
    <row r="878" spans="1:10" s="29" customFormat="1" x14ac:dyDescent="0.2">
      <c r="A878" s="83" t="s">
        <v>1567</v>
      </c>
      <c r="B878" s="39">
        <v>-120</v>
      </c>
      <c r="C878" s="43" t="s">
        <v>1534</v>
      </c>
      <c r="D878" s="37" t="s">
        <v>1568</v>
      </c>
      <c r="E878" s="37" t="s">
        <v>1569</v>
      </c>
      <c r="F878" s="39">
        <v>24</v>
      </c>
      <c r="G878" s="49" t="s">
        <v>3568</v>
      </c>
      <c r="H878" s="49" t="s">
        <v>3568</v>
      </c>
      <c r="I878" s="49"/>
      <c r="J878" s="40">
        <f>COUNTIF(System_configuration!B:B,A878)</f>
        <v>0</v>
      </c>
    </row>
    <row r="879" spans="1:10" s="29" customFormat="1" x14ac:dyDescent="0.2">
      <c r="A879" s="83" t="s">
        <v>174</v>
      </c>
      <c r="B879" s="39">
        <v>-140</v>
      </c>
      <c r="C879" s="43" t="s">
        <v>1534</v>
      </c>
      <c r="D879" s="37" t="s">
        <v>175</v>
      </c>
      <c r="E879" s="37" t="s">
        <v>959</v>
      </c>
      <c r="F879" s="39">
        <v>12</v>
      </c>
      <c r="G879" s="49" t="s">
        <v>3568</v>
      </c>
      <c r="H879" s="49" t="s">
        <v>3568</v>
      </c>
      <c r="I879" s="49"/>
      <c r="J879" s="40">
        <f>COUNTIF(System_configuration!B:B,A879)</f>
        <v>1</v>
      </c>
    </row>
    <row r="880" spans="1:10" s="29" customFormat="1" x14ac:dyDescent="0.2">
      <c r="A880" s="83" t="s">
        <v>176</v>
      </c>
      <c r="B880" s="39">
        <v>-140</v>
      </c>
      <c r="C880" s="43" t="s">
        <v>1534</v>
      </c>
      <c r="D880" s="37" t="s">
        <v>177</v>
      </c>
      <c r="E880" s="37" t="s">
        <v>960</v>
      </c>
      <c r="F880" s="39">
        <v>24</v>
      </c>
      <c r="G880" s="49" t="s">
        <v>3568</v>
      </c>
      <c r="H880" s="49" t="s">
        <v>3568</v>
      </c>
      <c r="I880" s="49"/>
      <c r="J880" s="40">
        <f>COUNTIF(System_configuration!B:B,A880)</f>
        <v>0</v>
      </c>
    </row>
    <row r="881" spans="1:10" s="29" customFormat="1" x14ac:dyDescent="0.2">
      <c r="A881" s="83" t="s">
        <v>12</v>
      </c>
      <c r="B881" s="43" t="s">
        <v>1534</v>
      </c>
      <c r="C881" s="43" t="s">
        <v>1534</v>
      </c>
      <c r="D881" s="37" t="s">
        <v>213</v>
      </c>
      <c r="E881" s="37" t="s">
        <v>961</v>
      </c>
      <c r="F881" s="39">
        <v>5</v>
      </c>
      <c r="G881" s="49" t="s">
        <v>1534</v>
      </c>
      <c r="H881" s="49" t="s">
        <v>1534</v>
      </c>
      <c r="I881" s="49" t="s">
        <v>1534</v>
      </c>
      <c r="J881" s="40">
        <f>COUNTIF(System_configuration!B:B,A881)</f>
        <v>1</v>
      </c>
    </row>
    <row r="882" spans="1:10" s="29" customFormat="1" x14ac:dyDescent="0.2">
      <c r="A882" s="83" t="s">
        <v>605</v>
      </c>
      <c r="B882" s="39">
        <v>0</v>
      </c>
      <c r="C882" s="43" t="s">
        <v>1534</v>
      </c>
      <c r="D882" s="37" t="s">
        <v>606</v>
      </c>
      <c r="E882" s="37" t="s">
        <v>962</v>
      </c>
      <c r="F882" s="39">
        <v>12</v>
      </c>
      <c r="G882" s="49" t="s">
        <v>3568</v>
      </c>
      <c r="H882" s="49" t="s">
        <v>3568</v>
      </c>
      <c r="I882" s="49"/>
      <c r="J882" s="40">
        <f>COUNTIF(System_configuration!B:B,A882)</f>
        <v>0</v>
      </c>
    </row>
    <row r="883" spans="1:10" s="29" customFormat="1" x14ac:dyDescent="0.2">
      <c r="A883" s="83" t="s">
        <v>192</v>
      </c>
      <c r="B883" s="39">
        <v>0</v>
      </c>
      <c r="C883" s="43" t="s">
        <v>1534</v>
      </c>
      <c r="D883" s="37" t="s">
        <v>193</v>
      </c>
      <c r="E883" s="37" t="s">
        <v>963</v>
      </c>
      <c r="F883" s="39">
        <v>12</v>
      </c>
      <c r="G883" s="49"/>
      <c r="H883" s="49"/>
      <c r="I883" s="49"/>
      <c r="J883" s="40">
        <f>COUNTIF(System_configuration!B:B,A883)</f>
        <v>0</v>
      </c>
    </row>
    <row r="884" spans="1:10" s="29" customFormat="1" x14ac:dyDescent="0.2">
      <c r="A884" s="83" t="s">
        <v>3</v>
      </c>
      <c r="B884" s="39">
        <v>0</v>
      </c>
      <c r="C884" s="43" t="s">
        <v>1534</v>
      </c>
      <c r="D884" s="37" t="s">
        <v>205</v>
      </c>
      <c r="E884" s="37" t="s">
        <v>964</v>
      </c>
      <c r="F884" s="39">
        <v>12</v>
      </c>
      <c r="G884" s="49" t="s">
        <v>3567</v>
      </c>
      <c r="H884" s="49" t="s">
        <v>3567</v>
      </c>
      <c r="I884" s="49" t="s">
        <v>3567</v>
      </c>
      <c r="J884" s="40">
        <f>COUNTIF(System_configuration!B:B,A884)</f>
        <v>0</v>
      </c>
    </row>
    <row r="885" spans="1:10" s="29" customFormat="1" x14ac:dyDescent="0.2">
      <c r="A885" s="83" t="s">
        <v>179</v>
      </c>
      <c r="B885" s="39">
        <v>-90</v>
      </c>
      <c r="C885" s="43" t="s">
        <v>1534</v>
      </c>
      <c r="D885" s="37" t="s">
        <v>184</v>
      </c>
      <c r="E885" s="37" t="s">
        <v>965</v>
      </c>
      <c r="F885" s="39">
        <v>12</v>
      </c>
      <c r="G885" s="49" t="s">
        <v>3567</v>
      </c>
      <c r="H885" s="49" t="s">
        <v>3567</v>
      </c>
      <c r="I885" s="49" t="s">
        <v>3567</v>
      </c>
      <c r="J885" s="40">
        <f>COUNTIF(System_configuration!B:B,A885)</f>
        <v>0</v>
      </c>
    </row>
    <row r="886" spans="1:10" s="29" customFormat="1" x14ac:dyDescent="0.2">
      <c r="A886" s="83" t="s">
        <v>180</v>
      </c>
      <c r="B886" s="39">
        <v>0</v>
      </c>
      <c r="C886" s="43" t="s">
        <v>1534</v>
      </c>
      <c r="D886" s="37" t="s">
        <v>182</v>
      </c>
      <c r="E886" s="37" t="s">
        <v>966</v>
      </c>
      <c r="F886" s="39">
        <v>12</v>
      </c>
      <c r="G886" s="49" t="s">
        <v>3567</v>
      </c>
      <c r="H886" s="49" t="s">
        <v>3567</v>
      </c>
      <c r="I886" s="49" t="s">
        <v>3567</v>
      </c>
      <c r="J886" s="40">
        <f>COUNTIF(System_configuration!B:B,A886)</f>
        <v>0</v>
      </c>
    </row>
    <row r="887" spans="1:10" s="29" customFormat="1" x14ac:dyDescent="0.2">
      <c r="A887" s="83" t="s">
        <v>181</v>
      </c>
      <c r="B887" s="39">
        <v>-90</v>
      </c>
      <c r="C887" s="43" t="s">
        <v>1534</v>
      </c>
      <c r="D887" s="37" t="s">
        <v>183</v>
      </c>
      <c r="E887" s="37" t="s">
        <v>967</v>
      </c>
      <c r="F887" s="39">
        <v>12</v>
      </c>
      <c r="G887" s="49" t="s">
        <v>3567</v>
      </c>
      <c r="H887" s="49" t="s">
        <v>3567</v>
      </c>
      <c r="I887" s="49" t="s">
        <v>3567</v>
      </c>
      <c r="J887" s="40">
        <f>COUNTIF(System_configuration!B:B,A887)</f>
        <v>0</v>
      </c>
    </row>
    <row r="888" spans="1:10" s="29" customFormat="1" x14ac:dyDescent="0.2">
      <c r="A888" s="83" t="s">
        <v>189</v>
      </c>
      <c r="B888" s="39">
        <v>0</v>
      </c>
      <c r="C888" s="43" t="s">
        <v>1534</v>
      </c>
      <c r="D888" s="37" t="s">
        <v>198</v>
      </c>
      <c r="E888" s="37" t="s">
        <v>968</v>
      </c>
      <c r="F888" s="39">
        <v>12</v>
      </c>
      <c r="G888" s="49" t="s">
        <v>3568</v>
      </c>
      <c r="H888" s="49" t="s">
        <v>3568</v>
      </c>
      <c r="I888" s="49" t="s">
        <v>3568</v>
      </c>
      <c r="J888" s="40">
        <f>COUNTIF(System_configuration!B:B,A888)</f>
        <v>0</v>
      </c>
    </row>
    <row r="889" spans="1:10" s="29" customFormat="1" ht="25.5" x14ac:dyDescent="0.2">
      <c r="A889" s="83" t="s">
        <v>686</v>
      </c>
      <c r="B889" s="39">
        <v>0</v>
      </c>
      <c r="C889" s="43" t="s">
        <v>1534</v>
      </c>
      <c r="D889" s="37" t="s">
        <v>698</v>
      </c>
      <c r="E889" s="37" t="s">
        <v>1570</v>
      </c>
      <c r="F889" s="39">
        <v>12</v>
      </c>
      <c r="G889" s="49" t="s">
        <v>3568</v>
      </c>
      <c r="H889" s="49" t="s">
        <v>3568</v>
      </c>
      <c r="I889" s="49"/>
      <c r="J889" s="40">
        <f>COUNTIF(System_configuration!B:B,A889)</f>
        <v>0</v>
      </c>
    </row>
    <row r="890" spans="1:10" s="29" customFormat="1" ht="25.5" x14ac:dyDescent="0.2">
      <c r="A890" s="83" t="s">
        <v>687</v>
      </c>
      <c r="B890" s="39">
        <v>0</v>
      </c>
      <c r="C890" s="43" t="s">
        <v>1534</v>
      </c>
      <c r="D890" s="37" t="s">
        <v>699</v>
      </c>
      <c r="E890" s="37" t="s">
        <v>1571</v>
      </c>
      <c r="F890" s="39">
        <v>12</v>
      </c>
      <c r="G890" s="49" t="s">
        <v>3568</v>
      </c>
      <c r="H890" s="49" t="s">
        <v>3568</v>
      </c>
      <c r="I890" s="49"/>
      <c r="J890" s="40">
        <f>COUNTIF(System_configuration!B:B,A890)</f>
        <v>0</v>
      </c>
    </row>
    <row r="891" spans="1:10" s="29" customFormat="1" ht="25.5" x14ac:dyDescent="0.2">
      <c r="A891" s="83" t="s">
        <v>688</v>
      </c>
      <c r="B891" s="39">
        <v>0</v>
      </c>
      <c r="C891" s="43" t="s">
        <v>1534</v>
      </c>
      <c r="D891" s="37" t="s">
        <v>700</v>
      </c>
      <c r="E891" s="37" t="s">
        <v>1572</v>
      </c>
      <c r="F891" s="39">
        <v>12</v>
      </c>
      <c r="G891" s="49" t="s">
        <v>3568</v>
      </c>
      <c r="H891" s="49" t="s">
        <v>3568</v>
      </c>
      <c r="I891" s="49"/>
      <c r="J891" s="40">
        <f>COUNTIF(System_configuration!B:B,A891)</f>
        <v>0</v>
      </c>
    </row>
    <row r="892" spans="1:10" s="29" customFormat="1" x14ac:dyDescent="0.2">
      <c r="A892" s="83" t="s">
        <v>612</v>
      </c>
      <c r="B892" s="39">
        <v>0</v>
      </c>
      <c r="C892" s="43" t="s">
        <v>1534</v>
      </c>
      <c r="D892" s="37" t="s">
        <v>613</v>
      </c>
      <c r="E892" s="37" t="s">
        <v>969</v>
      </c>
      <c r="F892" s="39">
        <v>12</v>
      </c>
      <c r="G892" s="49" t="s">
        <v>3568</v>
      </c>
      <c r="H892" s="49" t="s">
        <v>3568</v>
      </c>
      <c r="I892" s="49"/>
      <c r="J892" s="40">
        <f>COUNTIF(System_configuration!B:B,A892)</f>
        <v>0</v>
      </c>
    </row>
    <row r="893" spans="1:10" s="29" customFormat="1" x14ac:dyDescent="0.2">
      <c r="A893" s="83" t="s">
        <v>190</v>
      </c>
      <c r="B893" s="39">
        <v>0</v>
      </c>
      <c r="C893" s="43" t="s">
        <v>1534</v>
      </c>
      <c r="D893" s="37" t="s">
        <v>199</v>
      </c>
      <c r="E893" s="37" t="s">
        <v>970</v>
      </c>
      <c r="F893" s="39">
        <v>12</v>
      </c>
      <c r="G893" s="49" t="s">
        <v>3568</v>
      </c>
      <c r="H893" s="49" t="s">
        <v>3568</v>
      </c>
      <c r="I893" s="49"/>
      <c r="J893" s="40">
        <f>COUNTIF(System_configuration!B:B,A893)</f>
        <v>0</v>
      </c>
    </row>
    <row r="894" spans="1:10" s="29" customFormat="1" x14ac:dyDescent="0.2">
      <c r="A894" s="83" t="s">
        <v>201</v>
      </c>
      <c r="B894" s="39">
        <v>0</v>
      </c>
      <c r="C894" s="43" t="s">
        <v>1534</v>
      </c>
      <c r="D894" s="37" t="s">
        <v>203</v>
      </c>
      <c r="E894" s="37" t="s">
        <v>971</v>
      </c>
      <c r="F894" s="39">
        <v>12</v>
      </c>
      <c r="G894" s="49" t="s">
        <v>3568</v>
      </c>
      <c r="H894" s="49" t="s">
        <v>3568</v>
      </c>
      <c r="I894" s="49"/>
      <c r="J894" s="40">
        <f>COUNTIF(System_configuration!B:B,A894)</f>
        <v>0</v>
      </c>
    </row>
    <row r="895" spans="1:10" s="29" customFormat="1" x14ac:dyDescent="0.2">
      <c r="A895" s="83" t="s">
        <v>202</v>
      </c>
      <c r="B895" s="39">
        <v>0</v>
      </c>
      <c r="C895" s="43" t="s">
        <v>1534</v>
      </c>
      <c r="D895" s="37" t="s">
        <v>204</v>
      </c>
      <c r="E895" s="37" t="s">
        <v>972</v>
      </c>
      <c r="F895" s="39">
        <v>12</v>
      </c>
      <c r="G895" s="49" t="s">
        <v>3568</v>
      </c>
      <c r="H895" s="49" t="s">
        <v>3568</v>
      </c>
      <c r="I895" s="49"/>
      <c r="J895" s="40">
        <f>COUNTIF(System_configuration!B:B,A895)</f>
        <v>0</v>
      </c>
    </row>
    <row r="896" spans="1:10" s="29" customFormat="1" x14ac:dyDescent="0.2">
      <c r="A896" s="83" t="s">
        <v>617</v>
      </c>
      <c r="B896" s="39">
        <v>0</v>
      </c>
      <c r="C896" s="43" t="s">
        <v>1534</v>
      </c>
      <c r="D896" s="37" t="s">
        <v>618</v>
      </c>
      <c r="E896" s="37" t="s">
        <v>973</v>
      </c>
      <c r="F896" s="39">
        <v>12</v>
      </c>
      <c r="G896" s="49" t="s">
        <v>3568</v>
      </c>
      <c r="H896" s="49" t="s">
        <v>3568</v>
      </c>
      <c r="I896" s="49"/>
      <c r="J896" s="40">
        <f>COUNTIF(System_configuration!B:B,A896)</f>
        <v>0</v>
      </c>
    </row>
    <row r="897" spans="1:10" s="29" customFormat="1" x14ac:dyDescent="0.2">
      <c r="A897" s="83" t="s">
        <v>619</v>
      </c>
      <c r="B897" s="39">
        <v>0</v>
      </c>
      <c r="C897" s="43" t="s">
        <v>1534</v>
      </c>
      <c r="D897" s="37" t="s">
        <v>620</v>
      </c>
      <c r="E897" s="37" t="s">
        <v>974</v>
      </c>
      <c r="F897" s="39">
        <v>12</v>
      </c>
      <c r="G897" s="49" t="s">
        <v>3568</v>
      </c>
      <c r="H897" s="49" t="s">
        <v>3568</v>
      </c>
      <c r="I897" s="49"/>
      <c r="J897" s="40">
        <f>COUNTIF(System_configuration!B:B,A897)</f>
        <v>0</v>
      </c>
    </row>
    <row r="898" spans="1:10" s="29" customFormat="1" x14ac:dyDescent="0.2">
      <c r="A898" s="83" t="s">
        <v>178</v>
      </c>
      <c r="B898" s="39">
        <v>0</v>
      </c>
      <c r="C898" s="43" t="s">
        <v>1534</v>
      </c>
      <c r="D898" s="37" t="s">
        <v>621</v>
      </c>
      <c r="E898" s="37" t="s">
        <v>975</v>
      </c>
      <c r="F898" s="39">
        <v>12</v>
      </c>
      <c r="G898" s="49" t="s">
        <v>3567</v>
      </c>
      <c r="H898" s="49" t="s">
        <v>3567</v>
      </c>
      <c r="I898" s="49" t="s">
        <v>3567</v>
      </c>
      <c r="J898" s="40">
        <f>COUNTIF(System_configuration!B:B,A898)</f>
        <v>0</v>
      </c>
    </row>
    <row r="899" spans="1:10" s="29" customFormat="1" x14ac:dyDescent="0.2">
      <c r="A899" s="83" t="s">
        <v>191</v>
      </c>
      <c r="B899" s="39">
        <v>0</v>
      </c>
      <c r="C899" s="43" t="s">
        <v>1534</v>
      </c>
      <c r="D899" s="37" t="s">
        <v>200</v>
      </c>
      <c r="E899" s="37" t="s">
        <v>976</v>
      </c>
      <c r="F899" s="39">
        <v>12</v>
      </c>
      <c r="G899" s="49" t="s">
        <v>3568</v>
      </c>
      <c r="H899" s="49" t="s">
        <v>3568</v>
      </c>
      <c r="I899" s="49"/>
      <c r="J899" s="40">
        <f>COUNTIF(System_configuration!B:B,A899)</f>
        <v>0</v>
      </c>
    </row>
    <row r="900" spans="1:10" s="29" customFormat="1" x14ac:dyDescent="0.2">
      <c r="A900" s="83" t="s">
        <v>185</v>
      </c>
      <c r="B900" s="39">
        <v>0</v>
      </c>
      <c r="C900" s="43" t="s">
        <v>1534</v>
      </c>
      <c r="D900" s="37" t="s">
        <v>194</v>
      </c>
      <c r="E900" s="37" t="s">
        <v>977</v>
      </c>
      <c r="F900" s="39">
        <v>12</v>
      </c>
      <c r="G900" s="49" t="s">
        <v>3567</v>
      </c>
      <c r="H900" s="49" t="s">
        <v>3567</v>
      </c>
      <c r="I900" s="49" t="s">
        <v>3567</v>
      </c>
      <c r="J900" s="40">
        <f>COUNTIF(System_configuration!B:B,A900)</f>
        <v>0</v>
      </c>
    </row>
    <row r="901" spans="1:10" s="29" customFormat="1" x14ac:dyDescent="0.2">
      <c r="A901" s="83" t="s">
        <v>186</v>
      </c>
      <c r="B901" s="39">
        <v>-90</v>
      </c>
      <c r="C901" s="43" t="s">
        <v>1534</v>
      </c>
      <c r="D901" s="37" t="s">
        <v>195</v>
      </c>
      <c r="E901" s="37" t="s">
        <v>978</v>
      </c>
      <c r="F901" s="39">
        <v>12</v>
      </c>
      <c r="G901" s="49" t="s">
        <v>3567</v>
      </c>
      <c r="H901" s="49" t="s">
        <v>3567</v>
      </c>
      <c r="I901" s="49" t="s">
        <v>3567</v>
      </c>
      <c r="J901" s="40">
        <f>COUNTIF(System_configuration!B:B,A901)</f>
        <v>0</v>
      </c>
    </row>
    <row r="902" spans="1:10" s="29" customFormat="1" x14ac:dyDescent="0.2">
      <c r="A902" s="83" t="s">
        <v>187</v>
      </c>
      <c r="B902" s="39">
        <v>0</v>
      </c>
      <c r="C902" s="43" t="s">
        <v>1534</v>
      </c>
      <c r="D902" s="37" t="s">
        <v>196</v>
      </c>
      <c r="E902" s="37" t="s">
        <v>979</v>
      </c>
      <c r="F902" s="39">
        <v>12</v>
      </c>
      <c r="G902" s="49" t="s">
        <v>3567</v>
      </c>
      <c r="H902" s="49" t="s">
        <v>3567</v>
      </c>
      <c r="I902" s="49" t="s">
        <v>3567</v>
      </c>
      <c r="J902" s="40">
        <f>COUNTIF(System_configuration!B:B,A902)</f>
        <v>0</v>
      </c>
    </row>
    <row r="903" spans="1:10" s="29" customFormat="1" x14ac:dyDescent="0.2">
      <c r="A903" s="83" t="s">
        <v>188</v>
      </c>
      <c r="B903" s="39">
        <v>-90</v>
      </c>
      <c r="C903" s="43" t="s">
        <v>1534</v>
      </c>
      <c r="D903" s="37" t="s">
        <v>197</v>
      </c>
      <c r="E903" s="37" t="s">
        <v>980</v>
      </c>
      <c r="F903" s="39">
        <v>12</v>
      </c>
      <c r="G903" s="49" t="s">
        <v>3567</v>
      </c>
      <c r="H903" s="49" t="s">
        <v>3567</v>
      </c>
      <c r="I903" s="49" t="s">
        <v>3567</v>
      </c>
      <c r="J903" s="40">
        <f>COUNTIF(System_configuration!B:B,A903)</f>
        <v>0</v>
      </c>
    </row>
    <row r="904" spans="1:10" s="29" customFormat="1" x14ac:dyDescent="0.2">
      <c r="A904" s="83" t="s">
        <v>242</v>
      </c>
      <c r="B904" s="39">
        <v>0</v>
      </c>
      <c r="C904" s="43" t="s">
        <v>1534</v>
      </c>
      <c r="D904" s="37" t="s">
        <v>243</v>
      </c>
      <c r="E904" s="37" t="s">
        <v>981</v>
      </c>
      <c r="F904" s="39">
        <v>12</v>
      </c>
      <c r="G904" s="49" t="s">
        <v>3567</v>
      </c>
      <c r="H904" s="49" t="s">
        <v>3567</v>
      </c>
      <c r="I904" s="49" t="s">
        <v>3567</v>
      </c>
      <c r="J904" s="40">
        <f>COUNTIF(System_configuration!B:B,A904)</f>
        <v>0</v>
      </c>
    </row>
    <row r="905" spans="1:10" s="29" customFormat="1" x14ac:dyDescent="0.2">
      <c r="A905" s="83" t="s">
        <v>8</v>
      </c>
      <c r="B905" s="39">
        <v>2000</v>
      </c>
      <c r="C905" s="43" t="s">
        <v>1534</v>
      </c>
      <c r="D905" s="37" t="s">
        <v>624</v>
      </c>
      <c r="E905" s="37" t="s">
        <v>982</v>
      </c>
      <c r="F905" s="39">
        <v>12</v>
      </c>
      <c r="G905" s="49" t="s">
        <v>3567</v>
      </c>
      <c r="H905" s="49" t="s">
        <v>3567</v>
      </c>
      <c r="I905" s="49" t="s">
        <v>3567</v>
      </c>
      <c r="J905" s="40">
        <f>COUNTIF(System_configuration!B:B,A905)</f>
        <v>0</v>
      </c>
    </row>
    <row r="906" spans="1:10" s="29" customFormat="1" x14ac:dyDescent="0.2">
      <c r="A906" s="83" t="s">
        <v>214</v>
      </c>
      <c r="B906" s="39">
        <v>2000</v>
      </c>
      <c r="C906" s="43" t="s">
        <v>1534</v>
      </c>
      <c r="D906" s="37" t="s">
        <v>626</v>
      </c>
      <c r="E906" s="37" t="s">
        <v>983</v>
      </c>
      <c r="F906" s="39">
        <v>12</v>
      </c>
      <c r="G906" s="49" t="s">
        <v>3567</v>
      </c>
      <c r="H906" s="49" t="s">
        <v>3567</v>
      </c>
      <c r="I906" s="49" t="s">
        <v>3567</v>
      </c>
      <c r="J906" s="40">
        <f>COUNTIF(System_configuration!B:B,A906)</f>
        <v>0</v>
      </c>
    </row>
    <row r="907" spans="1:10" s="29" customFormat="1" x14ac:dyDescent="0.2">
      <c r="A907" s="83" t="s">
        <v>208</v>
      </c>
      <c r="B907" s="39">
        <v>-90</v>
      </c>
      <c r="C907" s="43" t="s">
        <v>1534</v>
      </c>
      <c r="D907" s="37" t="s">
        <v>628</v>
      </c>
      <c r="E907" s="37" t="s">
        <v>984</v>
      </c>
      <c r="F907" s="39">
        <v>12</v>
      </c>
      <c r="G907" s="49" t="s">
        <v>3567</v>
      </c>
      <c r="H907" s="49" t="s">
        <v>3567</v>
      </c>
      <c r="I907" s="49" t="s">
        <v>3567</v>
      </c>
      <c r="J907" s="40">
        <f>COUNTIF(System_configuration!B:B,A907)</f>
        <v>0</v>
      </c>
    </row>
    <row r="908" spans="1:10" s="29" customFormat="1" x14ac:dyDescent="0.2">
      <c r="A908" s="83" t="s">
        <v>209</v>
      </c>
      <c r="B908" s="39">
        <v>-90</v>
      </c>
      <c r="C908" s="43" t="s">
        <v>1534</v>
      </c>
      <c r="D908" s="37" t="s">
        <v>630</v>
      </c>
      <c r="E908" s="37" t="s">
        <v>985</v>
      </c>
      <c r="F908" s="39">
        <v>12</v>
      </c>
      <c r="G908" s="49" t="s">
        <v>3567</v>
      </c>
      <c r="H908" s="49" t="s">
        <v>3567</v>
      </c>
      <c r="I908" s="49" t="s">
        <v>3567</v>
      </c>
      <c r="J908" s="40">
        <f>COUNTIF(System_configuration!B:B,A908)</f>
        <v>0</v>
      </c>
    </row>
    <row r="909" spans="1:10" s="29" customFormat="1" x14ac:dyDescent="0.2">
      <c r="A909" s="83" t="s">
        <v>210</v>
      </c>
      <c r="B909" s="39">
        <v>-90</v>
      </c>
      <c r="C909" s="43" t="s">
        <v>1534</v>
      </c>
      <c r="D909" s="37" t="s">
        <v>632</v>
      </c>
      <c r="E909" s="37" t="s">
        <v>986</v>
      </c>
      <c r="F909" s="39">
        <v>12</v>
      </c>
      <c r="G909" s="49" t="s">
        <v>3567</v>
      </c>
      <c r="H909" s="49" t="s">
        <v>3567</v>
      </c>
      <c r="I909" s="49" t="s">
        <v>3567</v>
      </c>
      <c r="J909" s="40">
        <f>COUNTIF(System_configuration!B:B,A909)</f>
        <v>0</v>
      </c>
    </row>
    <row r="910" spans="1:10" s="29" customFormat="1" x14ac:dyDescent="0.2">
      <c r="A910" s="83" t="s">
        <v>211</v>
      </c>
      <c r="B910" s="39">
        <v>-90</v>
      </c>
      <c r="C910" s="43" t="s">
        <v>1534</v>
      </c>
      <c r="D910" s="37" t="s">
        <v>634</v>
      </c>
      <c r="E910" s="37" t="s">
        <v>987</v>
      </c>
      <c r="F910" s="39">
        <v>12</v>
      </c>
      <c r="G910" s="49" t="s">
        <v>3567</v>
      </c>
      <c r="H910" s="49" t="s">
        <v>3567</v>
      </c>
      <c r="I910" s="49" t="s">
        <v>3567</v>
      </c>
      <c r="J910" s="40">
        <f>COUNTIF(System_configuration!B:B,A910)</f>
        <v>0</v>
      </c>
    </row>
    <row r="911" spans="1:10" s="29" customFormat="1" x14ac:dyDescent="0.2">
      <c r="A911" s="83" t="s">
        <v>212</v>
      </c>
      <c r="B911" s="39">
        <v>-90</v>
      </c>
      <c r="C911" s="43" t="s">
        <v>1534</v>
      </c>
      <c r="D911" s="37" t="s">
        <v>636</v>
      </c>
      <c r="E911" s="37" t="s">
        <v>988</v>
      </c>
      <c r="F911" s="39">
        <v>12</v>
      </c>
      <c r="G911" s="49" t="s">
        <v>3567</v>
      </c>
      <c r="H911" s="49" t="s">
        <v>3567</v>
      </c>
      <c r="I911" s="49" t="s">
        <v>3567</v>
      </c>
      <c r="J911" s="40">
        <f>COUNTIF(System_configuration!B:B,A911)</f>
        <v>0</v>
      </c>
    </row>
    <row r="912" spans="1:10" s="29" customFormat="1" x14ac:dyDescent="0.2">
      <c r="A912" s="83" t="s">
        <v>206</v>
      </c>
      <c r="B912" s="39">
        <v>-100</v>
      </c>
      <c r="C912" s="43" t="s">
        <v>1534</v>
      </c>
      <c r="D912" s="37" t="s">
        <v>207</v>
      </c>
      <c r="E912" s="37" t="s">
        <v>989</v>
      </c>
      <c r="F912" s="39">
        <v>12</v>
      </c>
      <c r="G912" s="49" t="s">
        <v>3567</v>
      </c>
      <c r="H912" s="49" t="s">
        <v>3567</v>
      </c>
      <c r="I912" s="49"/>
      <c r="J912" s="40">
        <f>COUNTIF(System_configuration!B:B,A912)</f>
        <v>0</v>
      </c>
    </row>
    <row r="913" spans="1:15" s="29" customFormat="1" x14ac:dyDescent="0.2">
      <c r="A913" s="83" t="s">
        <v>639</v>
      </c>
      <c r="B913" s="39">
        <v>0</v>
      </c>
      <c r="C913" s="43" t="s">
        <v>1534</v>
      </c>
      <c r="D913" s="37" t="s">
        <v>640</v>
      </c>
      <c r="E913" s="37" t="s">
        <v>990</v>
      </c>
      <c r="F913" s="39">
        <v>12</v>
      </c>
      <c r="G913" s="49" t="s">
        <v>3568</v>
      </c>
      <c r="H913" s="49" t="s">
        <v>3568</v>
      </c>
      <c r="I913" s="49" t="s">
        <v>3568</v>
      </c>
      <c r="J913" s="40">
        <f>COUNTIF(System_configuration!B:B,A913)</f>
        <v>0</v>
      </c>
    </row>
    <row r="914" spans="1:15" s="29" customFormat="1" x14ac:dyDescent="0.2">
      <c r="A914" s="83" t="s">
        <v>642</v>
      </c>
      <c r="B914" s="39">
        <v>0</v>
      </c>
      <c r="C914" s="43" t="s">
        <v>1534</v>
      </c>
      <c r="D914" s="37" t="s">
        <v>643</v>
      </c>
      <c r="E914" s="37" t="s">
        <v>991</v>
      </c>
      <c r="F914" s="39">
        <v>12</v>
      </c>
      <c r="G914" s="49" t="s">
        <v>3567</v>
      </c>
      <c r="H914" s="49" t="s">
        <v>3567</v>
      </c>
      <c r="I914" s="49"/>
      <c r="J914" s="40">
        <f>COUNTIF(System_configuration!B:B,A914)</f>
        <v>0</v>
      </c>
    </row>
    <row r="915" spans="1:15" s="29" customFormat="1" x14ac:dyDescent="0.2">
      <c r="A915" s="83" t="s">
        <v>215</v>
      </c>
      <c r="B915" s="39">
        <v>-90</v>
      </c>
      <c r="C915" s="43" t="s">
        <v>1534</v>
      </c>
      <c r="D915" s="37" t="s">
        <v>747</v>
      </c>
      <c r="E915" s="37" t="s">
        <v>992</v>
      </c>
      <c r="F915" s="39">
        <v>12</v>
      </c>
      <c r="G915" s="49" t="s">
        <v>3567</v>
      </c>
      <c r="H915" s="49" t="s">
        <v>3567</v>
      </c>
      <c r="I915" s="49" t="s">
        <v>3567</v>
      </c>
      <c r="J915" s="40">
        <f>COUNTIF(System_configuration!B:B,A915)</f>
        <v>0</v>
      </c>
    </row>
    <row r="916" spans="1:15" s="29" customFormat="1" x14ac:dyDescent="0.2">
      <c r="A916" s="88" t="s">
        <v>646</v>
      </c>
      <c r="B916" s="39">
        <v>0</v>
      </c>
      <c r="C916" s="43" t="s">
        <v>1534</v>
      </c>
      <c r="D916" s="37" t="s">
        <v>3575</v>
      </c>
      <c r="E916" s="37" t="s">
        <v>3574</v>
      </c>
      <c r="F916" s="39">
        <v>12</v>
      </c>
      <c r="G916" s="49" t="s">
        <v>3568</v>
      </c>
      <c r="H916" s="49" t="s">
        <v>3568</v>
      </c>
      <c r="I916" s="49"/>
      <c r="J916" s="40">
        <f>COUNTIF(System_configuration!B:B,A916)</f>
        <v>0</v>
      </c>
    </row>
    <row r="917" spans="1:15" s="29" customFormat="1" x14ac:dyDescent="0.2">
      <c r="A917" s="88" t="s">
        <v>3571</v>
      </c>
      <c r="B917" s="39">
        <v>0</v>
      </c>
      <c r="C917" s="43" t="s">
        <v>1534</v>
      </c>
      <c r="D917" s="37" t="s">
        <v>3572</v>
      </c>
      <c r="E917" s="37" t="s">
        <v>3573</v>
      </c>
      <c r="F917" s="39">
        <v>12</v>
      </c>
      <c r="G917" s="49" t="s">
        <v>3568</v>
      </c>
      <c r="H917" s="49" t="s">
        <v>3568</v>
      </c>
      <c r="I917" s="49"/>
      <c r="J917" s="40">
        <f>COUNTIF(System_configuration!B:B,A917)</f>
        <v>0</v>
      </c>
    </row>
    <row r="918" spans="1:15" s="29" customFormat="1" x14ac:dyDescent="0.2">
      <c r="A918" s="88" t="s">
        <v>1147</v>
      </c>
      <c r="B918" s="39">
        <v>-80</v>
      </c>
      <c r="C918" s="43" t="s">
        <v>1534</v>
      </c>
      <c r="D918" s="37" t="s">
        <v>1244</v>
      </c>
      <c r="E918" s="37" t="s">
        <v>1182</v>
      </c>
      <c r="F918" s="39">
        <v>12</v>
      </c>
      <c r="G918" s="49" t="s">
        <v>3568</v>
      </c>
      <c r="H918" s="49" t="s">
        <v>3568</v>
      </c>
      <c r="I918" s="49"/>
      <c r="J918" s="40">
        <f>COUNTIF(System_configuration!B:B,A918)</f>
        <v>0</v>
      </c>
    </row>
    <row r="919" spans="1:15" s="29" customFormat="1" x14ac:dyDescent="0.2">
      <c r="A919" s="83" t="s">
        <v>664</v>
      </c>
      <c r="B919" s="39">
        <v>-115</v>
      </c>
      <c r="C919" s="43" t="s">
        <v>1534</v>
      </c>
      <c r="D919" s="37" t="s">
        <v>668</v>
      </c>
      <c r="E919" s="37" t="s">
        <v>994</v>
      </c>
      <c r="F919" s="39">
        <v>24</v>
      </c>
      <c r="G919" s="49" t="s">
        <v>3570</v>
      </c>
      <c r="H919" s="49" t="s">
        <v>3570</v>
      </c>
      <c r="I919" s="49" t="s">
        <v>3570</v>
      </c>
      <c r="J919" s="40">
        <f>COUNTIF(System_configuration!B:B,A919)</f>
        <v>0</v>
      </c>
    </row>
    <row r="920" spans="1:15" s="29" customFormat="1" x14ac:dyDescent="0.2">
      <c r="A920" s="83" t="s">
        <v>1149</v>
      </c>
      <c r="B920" s="39">
        <v>-70</v>
      </c>
      <c r="C920" s="43" t="s">
        <v>1534</v>
      </c>
      <c r="D920" s="37" t="s">
        <v>1245</v>
      </c>
      <c r="E920" s="37" t="s">
        <v>1183</v>
      </c>
      <c r="F920" s="39">
        <v>24</v>
      </c>
      <c r="G920" s="49" t="s">
        <v>3570</v>
      </c>
      <c r="H920" s="49" t="s">
        <v>3570</v>
      </c>
      <c r="I920" s="49" t="s">
        <v>3570</v>
      </c>
      <c r="J920" s="40">
        <f>COUNTIF(System_configuration!B:B,A920)</f>
        <v>0</v>
      </c>
    </row>
    <row r="921" spans="1:15" s="29" customFormat="1" x14ac:dyDescent="0.2">
      <c r="A921" s="83" t="s">
        <v>1150</v>
      </c>
      <c r="B921" s="39">
        <v>-60</v>
      </c>
      <c r="C921" s="43" t="s">
        <v>1534</v>
      </c>
      <c r="D921" s="37" t="s">
        <v>1246</v>
      </c>
      <c r="E921" s="37" t="s">
        <v>1184</v>
      </c>
      <c r="F921" s="39">
        <v>24</v>
      </c>
      <c r="G921" s="49" t="s">
        <v>3570</v>
      </c>
      <c r="H921" s="49" t="s">
        <v>3570</v>
      </c>
      <c r="I921" s="49" t="s">
        <v>3570</v>
      </c>
      <c r="J921" s="40">
        <f>COUNTIF(System_configuration!B:B,A921)</f>
        <v>0</v>
      </c>
    </row>
    <row r="922" spans="1:15" s="29" customFormat="1" x14ac:dyDescent="0.2">
      <c r="A922" s="83" t="s">
        <v>1151</v>
      </c>
      <c r="B922" s="39">
        <v>-70</v>
      </c>
      <c r="C922" s="43" t="s">
        <v>1534</v>
      </c>
      <c r="D922" s="37" t="s">
        <v>1247</v>
      </c>
      <c r="E922" s="37" t="s">
        <v>1185</v>
      </c>
      <c r="F922" s="39">
        <v>24</v>
      </c>
      <c r="G922" s="49" t="s">
        <v>3570</v>
      </c>
      <c r="H922" s="49" t="s">
        <v>3570</v>
      </c>
      <c r="I922" s="49" t="s">
        <v>3570</v>
      </c>
      <c r="J922" s="40">
        <f>COUNTIF(System_configuration!B:B,A922)</f>
        <v>0</v>
      </c>
    </row>
    <row r="923" spans="1:15" s="29" customFormat="1" x14ac:dyDescent="0.2">
      <c r="A923" s="83" t="s">
        <v>665</v>
      </c>
      <c r="B923" s="39">
        <v>-280</v>
      </c>
      <c r="C923" s="43" t="s">
        <v>1534</v>
      </c>
      <c r="D923" s="37" t="s">
        <v>669</v>
      </c>
      <c r="E923" s="37" t="s">
        <v>995</v>
      </c>
      <c r="F923" s="39">
        <v>147</v>
      </c>
      <c r="G923" s="49" t="s">
        <v>3570</v>
      </c>
      <c r="H923" s="49" t="s">
        <v>3570</v>
      </c>
      <c r="I923" s="49" t="s">
        <v>3570</v>
      </c>
      <c r="J923" s="40">
        <f>COUNTIF(System_configuration!B:B,A923)</f>
        <v>0</v>
      </c>
    </row>
    <row r="924" spans="1:15" s="29" customFormat="1" x14ac:dyDescent="0.2">
      <c r="A924" s="83" t="s">
        <v>666</v>
      </c>
      <c r="B924" s="39">
        <v>-280</v>
      </c>
      <c r="C924" s="43" t="s">
        <v>1534</v>
      </c>
      <c r="D924" s="37" t="s">
        <v>670</v>
      </c>
      <c r="E924" s="37" t="s">
        <v>996</v>
      </c>
      <c r="F924" s="39">
        <v>147</v>
      </c>
      <c r="G924" s="49" t="s">
        <v>3570</v>
      </c>
      <c r="H924" s="49" t="s">
        <v>3570</v>
      </c>
      <c r="I924" s="49" t="s">
        <v>3570</v>
      </c>
      <c r="J924" s="40">
        <f>COUNTIF(System_configuration!B:B,A924)</f>
        <v>0</v>
      </c>
    </row>
    <row r="925" spans="1:15" s="29" customFormat="1" x14ac:dyDescent="0.2">
      <c r="A925" s="83" t="s">
        <v>667</v>
      </c>
      <c r="B925" s="39">
        <v>-280</v>
      </c>
      <c r="C925" s="43" t="s">
        <v>1534</v>
      </c>
      <c r="D925" s="37" t="s">
        <v>671</v>
      </c>
      <c r="E925" s="37" t="s">
        <v>997</v>
      </c>
      <c r="F925" s="39">
        <v>147</v>
      </c>
      <c r="G925" s="49" t="s">
        <v>3570</v>
      </c>
      <c r="H925" s="49" t="s">
        <v>3570</v>
      </c>
      <c r="I925" s="49" t="s">
        <v>3570</v>
      </c>
      <c r="J925" s="40">
        <f>COUNTIF(System_configuration!B:B,A925)</f>
        <v>0</v>
      </c>
      <c r="K925" s="60"/>
      <c r="L925" s="60"/>
      <c r="M925" s="60"/>
      <c r="N925" s="60"/>
      <c r="O925" s="60"/>
    </row>
    <row r="926" spans="1:15" s="29" customFormat="1" x14ac:dyDescent="0.2">
      <c r="A926" s="83" t="s">
        <v>3583</v>
      </c>
      <c r="B926" s="43" t="s">
        <v>1534</v>
      </c>
      <c r="C926" s="43" t="s">
        <v>1534</v>
      </c>
      <c r="D926" s="37" t="s">
        <v>3584</v>
      </c>
      <c r="E926" s="37" t="s">
        <v>3585</v>
      </c>
      <c r="F926" s="39">
        <v>30</v>
      </c>
      <c r="G926" s="49"/>
      <c r="H926" s="49"/>
      <c r="I926" s="49"/>
      <c r="J926" s="40">
        <f>COUNTIF(System_configuration!B:B,A926)</f>
        <v>0</v>
      </c>
    </row>
    <row r="927" spans="1:15" s="29" customFormat="1" x14ac:dyDescent="0.2">
      <c r="A927" s="83" t="s">
        <v>3586</v>
      </c>
      <c r="B927" s="43" t="s">
        <v>1534</v>
      </c>
      <c r="C927" s="43" t="s">
        <v>1534</v>
      </c>
      <c r="D927" s="37" t="s">
        <v>3587</v>
      </c>
      <c r="E927" s="37" t="s">
        <v>3588</v>
      </c>
      <c r="F927" s="39">
        <v>60</v>
      </c>
      <c r="G927" s="49"/>
      <c r="H927" s="49"/>
      <c r="I927" s="49"/>
      <c r="J927" s="40">
        <f>COUNTIF(System_configuration!B:B,A927)</f>
        <v>0</v>
      </c>
    </row>
    <row r="928" spans="1:15" s="29" customFormat="1" x14ac:dyDescent="0.2">
      <c r="A928" s="83" t="s">
        <v>264</v>
      </c>
      <c r="B928" s="39">
        <v>-90</v>
      </c>
      <c r="C928" s="43" t="s">
        <v>1534</v>
      </c>
      <c r="D928" s="37" t="s">
        <v>727</v>
      </c>
      <c r="E928" s="37" t="s">
        <v>1014</v>
      </c>
      <c r="F928" s="39">
        <v>12</v>
      </c>
      <c r="G928" s="49" t="s">
        <v>3568</v>
      </c>
      <c r="H928" s="49" t="s">
        <v>3568</v>
      </c>
      <c r="I928" s="49" t="s">
        <v>3568</v>
      </c>
      <c r="J928" s="40">
        <f>COUNTIF(System_configuration!B:B,A928)</f>
        <v>0</v>
      </c>
    </row>
    <row r="929" spans="1:10" s="29" customFormat="1" x14ac:dyDescent="0.2">
      <c r="A929" s="83" t="s">
        <v>266</v>
      </c>
      <c r="B929" s="39">
        <v>-90</v>
      </c>
      <c r="C929" s="43" t="s">
        <v>1534</v>
      </c>
      <c r="D929" s="37" t="s">
        <v>265</v>
      </c>
      <c r="E929" s="37" t="s">
        <v>1015</v>
      </c>
      <c r="F929" s="39">
        <v>12</v>
      </c>
      <c r="G929" s="49" t="s">
        <v>3568</v>
      </c>
      <c r="H929" s="49" t="s">
        <v>3568</v>
      </c>
      <c r="I929" s="49"/>
      <c r="J929" s="40">
        <f>COUNTIF(System_configuration!B:B,A929)</f>
        <v>0</v>
      </c>
    </row>
    <row r="930" spans="1:10" s="29" customFormat="1" x14ac:dyDescent="0.2">
      <c r="A930" s="83" t="s">
        <v>268</v>
      </c>
      <c r="B930" s="39">
        <v>-90</v>
      </c>
      <c r="C930" s="43" t="s">
        <v>1534</v>
      </c>
      <c r="D930" s="37" t="s">
        <v>267</v>
      </c>
      <c r="E930" s="37" t="s">
        <v>1017</v>
      </c>
      <c r="F930" s="39">
        <v>12</v>
      </c>
      <c r="G930" s="49" t="s">
        <v>3568</v>
      </c>
      <c r="H930" s="49" t="s">
        <v>3568</v>
      </c>
      <c r="I930" s="49"/>
      <c r="J930" s="40">
        <f>COUNTIF(System_configuration!B:B,A930)</f>
        <v>0</v>
      </c>
    </row>
    <row r="931" spans="1:10" s="29" customFormat="1" x14ac:dyDescent="0.2">
      <c r="A931" s="83" t="s">
        <v>270</v>
      </c>
      <c r="B931" s="39">
        <v>-90</v>
      </c>
      <c r="C931" s="43" t="s">
        <v>1534</v>
      </c>
      <c r="D931" s="37" t="s">
        <v>269</v>
      </c>
      <c r="E931" s="37" t="s">
        <v>1018</v>
      </c>
      <c r="F931" s="39">
        <v>12</v>
      </c>
      <c r="G931" s="49" t="s">
        <v>3568</v>
      </c>
      <c r="H931" s="49" t="s">
        <v>3568</v>
      </c>
      <c r="I931" s="49" t="s">
        <v>3568</v>
      </c>
      <c r="J931" s="40">
        <f>COUNTIF(System_configuration!B:B,A931)</f>
        <v>0</v>
      </c>
    </row>
    <row r="932" spans="1:10" s="29" customFormat="1" x14ac:dyDescent="0.2">
      <c r="A932" s="83" t="s">
        <v>272</v>
      </c>
      <c r="B932" s="39">
        <v>-90</v>
      </c>
      <c r="C932" s="43" t="s">
        <v>1534</v>
      </c>
      <c r="D932" s="37" t="s">
        <v>271</v>
      </c>
      <c r="E932" s="37" t="s">
        <v>1019</v>
      </c>
      <c r="F932" s="39">
        <v>12</v>
      </c>
      <c r="G932" s="49" t="s">
        <v>3568</v>
      </c>
      <c r="H932" s="49" t="s">
        <v>3568</v>
      </c>
      <c r="I932" s="49"/>
      <c r="J932" s="40">
        <f>COUNTIF(System_configuration!B:B,A932)</f>
        <v>0</v>
      </c>
    </row>
    <row r="933" spans="1:10" s="29" customFormat="1" x14ac:dyDescent="0.2">
      <c r="A933" s="83" t="s">
        <v>274</v>
      </c>
      <c r="B933" s="39">
        <v>-90</v>
      </c>
      <c r="C933" s="43" t="s">
        <v>1534</v>
      </c>
      <c r="D933" s="37" t="s">
        <v>273</v>
      </c>
      <c r="E933" s="37" t="s">
        <v>1020</v>
      </c>
      <c r="F933" s="39">
        <v>12</v>
      </c>
      <c r="G933" s="49" t="s">
        <v>3568</v>
      </c>
      <c r="H933" s="49" t="s">
        <v>3568</v>
      </c>
      <c r="I933" s="49"/>
      <c r="J933" s="40">
        <f>COUNTIF(System_configuration!B:B,A933)</f>
        <v>0</v>
      </c>
    </row>
    <row r="934" spans="1:10" s="29" customFormat="1" ht="25.5" x14ac:dyDescent="0.2">
      <c r="A934" s="83" t="s">
        <v>275</v>
      </c>
      <c r="B934" s="39">
        <v>-90</v>
      </c>
      <c r="C934" s="43" t="s">
        <v>1534</v>
      </c>
      <c r="D934" s="37" t="s">
        <v>728</v>
      </c>
      <c r="E934" s="37" t="s">
        <v>1021</v>
      </c>
      <c r="F934" s="39">
        <v>12</v>
      </c>
      <c r="G934" s="49" t="s">
        <v>3568</v>
      </c>
      <c r="H934" s="49" t="s">
        <v>3568</v>
      </c>
      <c r="I934" s="49"/>
      <c r="J934" s="40">
        <f>COUNTIF(System_configuration!B:B,A934)</f>
        <v>0</v>
      </c>
    </row>
    <row r="935" spans="1:10" s="29" customFormat="1" ht="25.5" x14ac:dyDescent="0.2">
      <c r="A935" s="83" t="s">
        <v>276</v>
      </c>
      <c r="B935" s="39">
        <v>-90</v>
      </c>
      <c r="C935" s="43" t="s">
        <v>1534</v>
      </c>
      <c r="D935" s="37" t="s">
        <v>729</v>
      </c>
      <c r="E935" s="37" t="s">
        <v>1022</v>
      </c>
      <c r="F935" s="39">
        <v>12</v>
      </c>
      <c r="G935" s="49" t="s">
        <v>3568</v>
      </c>
      <c r="H935" s="49" t="s">
        <v>3568</v>
      </c>
      <c r="I935" s="49"/>
      <c r="J935" s="40">
        <f>COUNTIF(System_configuration!B:B,A935)</f>
        <v>0</v>
      </c>
    </row>
    <row r="936" spans="1:10" s="29" customFormat="1" x14ac:dyDescent="0.2">
      <c r="A936" s="83" t="s">
        <v>278</v>
      </c>
      <c r="B936" s="39">
        <v>-90</v>
      </c>
      <c r="C936" s="43" t="s">
        <v>1534</v>
      </c>
      <c r="D936" s="37" t="s">
        <v>277</v>
      </c>
      <c r="E936" s="37" t="s">
        <v>1023</v>
      </c>
      <c r="F936" s="39">
        <v>12</v>
      </c>
      <c r="G936" s="49" t="s">
        <v>3568</v>
      </c>
      <c r="H936" s="49" t="s">
        <v>3568</v>
      </c>
      <c r="I936" s="49"/>
      <c r="J936" s="40">
        <f>COUNTIF(System_configuration!B:B,A936)</f>
        <v>0</v>
      </c>
    </row>
    <row r="937" spans="1:10" s="29" customFormat="1" x14ac:dyDescent="0.2">
      <c r="A937" s="83" t="s">
        <v>280</v>
      </c>
      <c r="B937" s="39">
        <v>-90</v>
      </c>
      <c r="C937" s="43" t="s">
        <v>1534</v>
      </c>
      <c r="D937" s="37" t="s">
        <v>279</v>
      </c>
      <c r="E937" s="37" t="s">
        <v>1024</v>
      </c>
      <c r="F937" s="39">
        <v>12</v>
      </c>
      <c r="G937" s="49" t="s">
        <v>3568</v>
      </c>
      <c r="H937" s="49" t="s">
        <v>3568</v>
      </c>
      <c r="I937" s="49"/>
      <c r="J937" s="40">
        <f>COUNTIF(System_configuration!B:B,A937)</f>
        <v>0</v>
      </c>
    </row>
    <row r="938" spans="1:10" s="29" customFormat="1" x14ac:dyDescent="0.2">
      <c r="A938" s="83" t="s">
        <v>282</v>
      </c>
      <c r="B938" s="39">
        <v>-90</v>
      </c>
      <c r="C938" s="43" t="s">
        <v>1534</v>
      </c>
      <c r="D938" s="37" t="s">
        <v>281</v>
      </c>
      <c r="E938" s="37" t="s">
        <v>1025</v>
      </c>
      <c r="F938" s="39">
        <v>12</v>
      </c>
      <c r="G938" s="49" t="s">
        <v>3568</v>
      </c>
      <c r="H938" s="49" t="s">
        <v>3568</v>
      </c>
      <c r="I938" s="49"/>
      <c r="J938" s="40">
        <f>COUNTIF(System_configuration!B:B,A938)</f>
        <v>0</v>
      </c>
    </row>
    <row r="939" spans="1:10" s="29" customFormat="1" x14ac:dyDescent="0.2">
      <c r="A939" s="83" t="s">
        <v>284</v>
      </c>
      <c r="B939" s="39">
        <v>-90</v>
      </c>
      <c r="C939" s="43" t="s">
        <v>1534</v>
      </c>
      <c r="D939" s="37" t="s">
        <v>283</v>
      </c>
      <c r="E939" s="37" t="s">
        <v>1026</v>
      </c>
      <c r="F939" s="39">
        <v>12</v>
      </c>
      <c r="G939" s="49" t="s">
        <v>3568</v>
      </c>
      <c r="H939" s="49" t="s">
        <v>3568</v>
      </c>
      <c r="I939" s="49"/>
      <c r="J939" s="40">
        <f>COUNTIF(System_configuration!B:B,A939)</f>
        <v>0</v>
      </c>
    </row>
    <row r="940" spans="1:10" s="29" customFormat="1" ht="25.5" x14ac:dyDescent="0.2">
      <c r="A940" s="83" t="s">
        <v>285</v>
      </c>
      <c r="B940" s="39">
        <v>-90</v>
      </c>
      <c r="C940" s="43" t="s">
        <v>1534</v>
      </c>
      <c r="D940" s="37" t="s">
        <v>730</v>
      </c>
      <c r="E940" s="37" t="s">
        <v>1027</v>
      </c>
      <c r="F940" s="39">
        <v>12</v>
      </c>
      <c r="G940" s="49" t="s">
        <v>3568</v>
      </c>
      <c r="H940" s="49" t="s">
        <v>3568</v>
      </c>
      <c r="I940" s="49"/>
      <c r="J940" s="40">
        <f>COUNTIF(System_configuration!B:B,A940)</f>
        <v>0</v>
      </c>
    </row>
    <row r="941" spans="1:10" s="29" customFormat="1" ht="25.5" x14ac:dyDescent="0.2">
      <c r="A941" s="83" t="s">
        <v>286</v>
      </c>
      <c r="B941" s="39">
        <v>-90</v>
      </c>
      <c r="C941" s="43" t="s">
        <v>1534</v>
      </c>
      <c r="D941" s="37" t="s">
        <v>731</v>
      </c>
      <c r="E941" s="37" t="s">
        <v>1028</v>
      </c>
      <c r="F941" s="39">
        <v>12</v>
      </c>
      <c r="G941" s="49" t="s">
        <v>3568</v>
      </c>
      <c r="H941" s="49" t="s">
        <v>3568</v>
      </c>
      <c r="I941" s="49"/>
      <c r="J941" s="40">
        <f>COUNTIF(System_configuration!B:B,A941)</f>
        <v>0</v>
      </c>
    </row>
    <row r="942" spans="1:10" s="29" customFormat="1" ht="25.5" x14ac:dyDescent="0.2">
      <c r="A942" s="83" t="s">
        <v>287</v>
      </c>
      <c r="B942" s="39">
        <v>-90</v>
      </c>
      <c r="C942" s="43" t="s">
        <v>1534</v>
      </c>
      <c r="D942" s="37" t="s">
        <v>1197</v>
      </c>
      <c r="E942" s="37" t="s">
        <v>1539</v>
      </c>
      <c r="F942" s="39">
        <v>12</v>
      </c>
      <c r="G942" s="49" t="s">
        <v>3568</v>
      </c>
      <c r="H942" s="49" t="s">
        <v>3568</v>
      </c>
      <c r="I942" s="49"/>
      <c r="J942" s="40">
        <f>COUNTIF(System_configuration!B:B,A942)</f>
        <v>0</v>
      </c>
    </row>
    <row r="943" spans="1:10" s="29" customFormat="1" ht="25.5" x14ac:dyDescent="0.2">
      <c r="A943" s="83" t="s">
        <v>288</v>
      </c>
      <c r="B943" s="39">
        <v>-90</v>
      </c>
      <c r="C943" s="43" t="s">
        <v>1534</v>
      </c>
      <c r="D943" s="37" t="s">
        <v>732</v>
      </c>
      <c r="E943" s="37" t="s">
        <v>1029</v>
      </c>
      <c r="F943" s="39">
        <v>12</v>
      </c>
      <c r="G943" s="49" t="s">
        <v>3568</v>
      </c>
      <c r="H943" s="49" t="s">
        <v>3568</v>
      </c>
      <c r="I943" s="49"/>
      <c r="J943" s="40">
        <f>COUNTIF(System_configuration!B:B,A943)</f>
        <v>0</v>
      </c>
    </row>
    <row r="944" spans="1:10" s="29" customFormat="1" ht="25.5" x14ac:dyDescent="0.2">
      <c r="A944" s="83" t="s">
        <v>289</v>
      </c>
      <c r="B944" s="39">
        <v>-90</v>
      </c>
      <c r="C944" s="43" t="s">
        <v>1534</v>
      </c>
      <c r="D944" s="37" t="s">
        <v>733</v>
      </c>
      <c r="E944" s="37" t="s">
        <v>1030</v>
      </c>
      <c r="F944" s="39">
        <v>12</v>
      </c>
      <c r="G944" s="49" t="s">
        <v>3568</v>
      </c>
      <c r="H944" s="49" t="s">
        <v>3568</v>
      </c>
      <c r="I944" s="49"/>
      <c r="J944" s="40">
        <f>COUNTIF(System_configuration!B:B,A944)</f>
        <v>0</v>
      </c>
    </row>
    <row r="945" spans="1:10" s="29" customFormat="1" x14ac:dyDescent="0.2">
      <c r="A945" s="83" t="s">
        <v>291</v>
      </c>
      <c r="B945" s="39">
        <v>-110</v>
      </c>
      <c r="C945" s="43" t="s">
        <v>1534</v>
      </c>
      <c r="D945" s="37" t="s">
        <v>290</v>
      </c>
      <c r="E945" s="37" t="s">
        <v>1031</v>
      </c>
      <c r="F945" s="39">
        <v>12</v>
      </c>
      <c r="G945" s="49" t="s">
        <v>3568</v>
      </c>
      <c r="H945" s="49" t="s">
        <v>3568</v>
      </c>
      <c r="I945" s="49" t="s">
        <v>3568</v>
      </c>
      <c r="J945" s="40">
        <f>COUNTIF(System_configuration!B:B,A945)</f>
        <v>0</v>
      </c>
    </row>
    <row r="946" spans="1:10" s="29" customFormat="1" x14ac:dyDescent="0.2">
      <c r="A946" s="83" t="s">
        <v>292</v>
      </c>
      <c r="B946" s="39">
        <v>-110</v>
      </c>
      <c r="C946" s="43" t="s">
        <v>1534</v>
      </c>
      <c r="D946" s="37" t="s">
        <v>1198</v>
      </c>
      <c r="E946" s="37" t="s">
        <v>1032</v>
      </c>
      <c r="F946" s="39">
        <v>12</v>
      </c>
      <c r="G946" s="49" t="s">
        <v>3568</v>
      </c>
      <c r="H946" s="49" t="s">
        <v>3568</v>
      </c>
      <c r="I946" s="49" t="s">
        <v>3568</v>
      </c>
      <c r="J946" s="40">
        <f>COUNTIF(System_configuration!B:B,A946)</f>
        <v>0</v>
      </c>
    </row>
    <row r="947" spans="1:10" s="29" customFormat="1" x14ac:dyDescent="0.2">
      <c r="A947" s="83" t="s">
        <v>294</v>
      </c>
      <c r="B947" s="39">
        <v>-70</v>
      </c>
      <c r="C947" s="43" t="s">
        <v>1534</v>
      </c>
      <c r="D947" s="37" t="s">
        <v>293</v>
      </c>
      <c r="E947" s="37" t="s">
        <v>1035</v>
      </c>
      <c r="F947" s="39">
        <v>12</v>
      </c>
      <c r="G947" s="49" t="s">
        <v>3568</v>
      </c>
      <c r="H947" s="49" t="s">
        <v>3568</v>
      </c>
      <c r="I947" s="49" t="s">
        <v>3568</v>
      </c>
      <c r="J947" s="40">
        <f>COUNTIF(System_configuration!B:B,A947)</f>
        <v>0</v>
      </c>
    </row>
    <row r="948" spans="1:10" s="29" customFormat="1" x14ac:dyDescent="0.2">
      <c r="A948" s="83" t="s">
        <v>1119</v>
      </c>
      <c r="B948" s="39">
        <v>-120</v>
      </c>
      <c r="C948" s="43" t="s">
        <v>1534</v>
      </c>
      <c r="D948" s="37" t="s">
        <v>1200</v>
      </c>
      <c r="E948" s="37" t="s">
        <v>1156</v>
      </c>
      <c r="F948" s="39">
        <v>12</v>
      </c>
      <c r="G948" s="49" t="s">
        <v>3568</v>
      </c>
      <c r="H948" s="49" t="s">
        <v>3568</v>
      </c>
      <c r="I948" s="49"/>
      <c r="J948" s="40">
        <f>COUNTIF(System_configuration!B:B,A948)</f>
        <v>0</v>
      </c>
    </row>
    <row r="949" spans="1:10" s="29" customFormat="1" x14ac:dyDescent="0.2">
      <c r="A949" s="83" t="s">
        <v>296</v>
      </c>
      <c r="B949" s="39">
        <v>-130</v>
      </c>
      <c r="C949" s="43" t="s">
        <v>1534</v>
      </c>
      <c r="D949" s="37" t="s">
        <v>295</v>
      </c>
      <c r="E949" s="37" t="s">
        <v>1036</v>
      </c>
      <c r="F949" s="39">
        <v>12</v>
      </c>
      <c r="G949" s="49" t="s">
        <v>3568</v>
      </c>
      <c r="H949" s="49" t="s">
        <v>3568</v>
      </c>
      <c r="I949" s="49"/>
      <c r="J949" s="40">
        <f>COUNTIF(System_configuration!B:B,A949)</f>
        <v>0</v>
      </c>
    </row>
    <row r="950" spans="1:10" s="29" customFormat="1" x14ac:dyDescent="0.2">
      <c r="A950" s="83" t="s">
        <v>298</v>
      </c>
      <c r="B950" s="39">
        <v>-130</v>
      </c>
      <c r="C950" s="43" t="s">
        <v>1534</v>
      </c>
      <c r="D950" s="37" t="s">
        <v>297</v>
      </c>
      <c r="E950" s="37" t="s">
        <v>1037</v>
      </c>
      <c r="F950" s="39">
        <v>12</v>
      </c>
      <c r="G950" s="49" t="s">
        <v>3568</v>
      </c>
      <c r="H950" s="49" t="s">
        <v>3568</v>
      </c>
      <c r="I950" s="49" t="s">
        <v>3568</v>
      </c>
      <c r="J950" s="40">
        <f>COUNTIF(System_configuration!B:B,A950)</f>
        <v>0</v>
      </c>
    </row>
    <row r="951" spans="1:10" s="29" customFormat="1" x14ac:dyDescent="0.2">
      <c r="A951" s="83" t="s">
        <v>300</v>
      </c>
      <c r="B951" s="39">
        <v>-110</v>
      </c>
      <c r="C951" s="43" t="s">
        <v>1534</v>
      </c>
      <c r="D951" s="37" t="s">
        <v>299</v>
      </c>
      <c r="E951" s="37" t="s">
        <v>1038</v>
      </c>
      <c r="F951" s="39">
        <v>12</v>
      </c>
      <c r="G951" s="49" t="s">
        <v>3568</v>
      </c>
      <c r="H951" s="49" t="s">
        <v>3568</v>
      </c>
      <c r="I951" s="49" t="s">
        <v>3568</v>
      </c>
      <c r="J951" s="40">
        <f>COUNTIF(System_configuration!B:B,A951)</f>
        <v>0</v>
      </c>
    </row>
    <row r="952" spans="1:10" s="29" customFormat="1" x14ac:dyDescent="0.2">
      <c r="A952" s="83" t="s">
        <v>302</v>
      </c>
      <c r="B952" s="39">
        <v>-110</v>
      </c>
      <c r="C952" s="43" t="s">
        <v>1534</v>
      </c>
      <c r="D952" s="37" t="s">
        <v>301</v>
      </c>
      <c r="E952" s="37" t="s">
        <v>1039</v>
      </c>
      <c r="F952" s="39">
        <v>12</v>
      </c>
      <c r="G952" s="49" t="s">
        <v>3568</v>
      </c>
      <c r="H952" s="49" t="s">
        <v>3568</v>
      </c>
      <c r="I952" s="49" t="s">
        <v>3568</v>
      </c>
      <c r="J952" s="40">
        <f>COUNTIF(System_configuration!B:B,A952)</f>
        <v>0</v>
      </c>
    </row>
    <row r="953" spans="1:10" s="29" customFormat="1" x14ac:dyDescent="0.2">
      <c r="A953" s="83" t="s">
        <v>304</v>
      </c>
      <c r="B953" s="39">
        <v>-110</v>
      </c>
      <c r="C953" s="43" t="s">
        <v>1534</v>
      </c>
      <c r="D953" s="37" t="s">
        <v>303</v>
      </c>
      <c r="E953" s="37" t="s">
        <v>1040</v>
      </c>
      <c r="F953" s="39">
        <v>12</v>
      </c>
      <c r="G953" s="49"/>
      <c r="H953" s="49"/>
      <c r="I953" s="49"/>
      <c r="J953" s="40">
        <f>COUNTIF(System_configuration!B:B,A953)</f>
        <v>0</v>
      </c>
    </row>
    <row r="954" spans="1:10" s="29" customFormat="1" x14ac:dyDescent="0.2">
      <c r="A954" s="83" t="s">
        <v>324</v>
      </c>
      <c r="B954" s="39">
        <v>-100</v>
      </c>
      <c r="C954" s="43" t="s">
        <v>1534</v>
      </c>
      <c r="D954" s="37" t="s">
        <v>735</v>
      </c>
      <c r="E954" s="37" t="s">
        <v>781</v>
      </c>
      <c r="F954" s="39">
        <v>12</v>
      </c>
      <c r="G954" s="49" t="s">
        <v>3568</v>
      </c>
      <c r="H954" s="49" t="s">
        <v>3568</v>
      </c>
      <c r="I954" s="49" t="s">
        <v>3568</v>
      </c>
      <c r="J954" s="40">
        <f>COUNTIF(System_configuration!B:B,A954)</f>
        <v>0</v>
      </c>
    </row>
    <row r="955" spans="1:10" s="29" customFormat="1" x14ac:dyDescent="0.2">
      <c r="A955" s="83" t="s">
        <v>326</v>
      </c>
      <c r="B955" s="39">
        <v>-100</v>
      </c>
      <c r="C955" s="43" t="s">
        <v>1534</v>
      </c>
      <c r="D955" s="37" t="s">
        <v>325</v>
      </c>
      <c r="E955" s="37" t="s">
        <v>782</v>
      </c>
      <c r="F955" s="39">
        <v>12</v>
      </c>
      <c r="G955" s="49" t="s">
        <v>3568</v>
      </c>
      <c r="H955" s="49" t="s">
        <v>3568</v>
      </c>
      <c r="I955" s="49"/>
      <c r="J955" s="40">
        <f>COUNTIF(System_configuration!B:B,A955)</f>
        <v>0</v>
      </c>
    </row>
    <row r="956" spans="1:10" s="29" customFormat="1" x14ac:dyDescent="0.2">
      <c r="A956" s="83" t="s">
        <v>327</v>
      </c>
      <c r="B956" s="39">
        <v>-110</v>
      </c>
      <c r="C956" s="43" t="s">
        <v>1534</v>
      </c>
      <c r="D956" s="37" t="s">
        <v>736</v>
      </c>
      <c r="E956" s="37" t="s">
        <v>783</v>
      </c>
      <c r="F956" s="39">
        <v>12</v>
      </c>
      <c r="G956" s="49" t="s">
        <v>3568</v>
      </c>
      <c r="H956" s="49" t="s">
        <v>3568</v>
      </c>
      <c r="I956" s="49"/>
      <c r="J956" s="40">
        <f>COUNTIF(System_configuration!B:B,A956)</f>
        <v>0</v>
      </c>
    </row>
    <row r="957" spans="1:10" s="29" customFormat="1" x14ac:dyDescent="0.2">
      <c r="A957" s="83" t="s">
        <v>329</v>
      </c>
      <c r="B957" s="39">
        <v>-100</v>
      </c>
      <c r="C957" s="43" t="s">
        <v>1534</v>
      </c>
      <c r="D957" s="37" t="s">
        <v>328</v>
      </c>
      <c r="E957" s="37" t="s">
        <v>784</v>
      </c>
      <c r="F957" s="39">
        <v>12</v>
      </c>
      <c r="G957" s="49" t="s">
        <v>3568</v>
      </c>
      <c r="H957" s="49" t="s">
        <v>3568</v>
      </c>
      <c r="I957" s="49" t="s">
        <v>3568</v>
      </c>
      <c r="J957" s="40">
        <f>COUNTIF(System_configuration!B:B,A957)</f>
        <v>0</v>
      </c>
    </row>
    <row r="958" spans="1:10" s="29" customFormat="1" x14ac:dyDescent="0.2">
      <c r="A958" s="83" t="s">
        <v>331</v>
      </c>
      <c r="B958" s="39">
        <v>-120</v>
      </c>
      <c r="C958" s="43" t="s">
        <v>1534</v>
      </c>
      <c r="D958" s="37" t="s">
        <v>330</v>
      </c>
      <c r="E958" s="37" t="s">
        <v>785</v>
      </c>
      <c r="F958" s="39">
        <v>12</v>
      </c>
      <c r="G958" s="49" t="s">
        <v>3568</v>
      </c>
      <c r="H958" s="49" t="s">
        <v>3568</v>
      </c>
      <c r="I958" s="49"/>
      <c r="J958" s="40">
        <f>COUNTIF(System_configuration!B:B,A958)</f>
        <v>0</v>
      </c>
    </row>
    <row r="959" spans="1:10" s="29" customFormat="1" x14ac:dyDescent="0.2">
      <c r="A959" s="83" t="s">
        <v>334</v>
      </c>
      <c r="B959" s="39">
        <v>-100</v>
      </c>
      <c r="C959" s="43" t="s">
        <v>1534</v>
      </c>
      <c r="D959" s="37" t="s">
        <v>737</v>
      </c>
      <c r="E959" s="37" t="s">
        <v>787</v>
      </c>
      <c r="F959" s="39">
        <v>12</v>
      </c>
      <c r="G959" s="49" t="s">
        <v>3568</v>
      </c>
      <c r="H959" s="49" t="s">
        <v>3568</v>
      </c>
      <c r="I959" s="49" t="s">
        <v>3568</v>
      </c>
      <c r="J959" s="40">
        <f>COUNTIF(System_configuration!B:B,A959)</f>
        <v>0</v>
      </c>
    </row>
    <row r="960" spans="1:10" s="29" customFormat="1" x14ac:dyDescent="0.2">
      <c r="A960" s="83" t="s">
        <v>336</v>
      </c>
      <c r="B960" s="39">
        <v>-120</v>
      </c>
      <c r="C960" s="43" t="s">
        <v>1534</v>
      </c>
      <c r="D960" s="37" t="s">
        <v>335</v>
      </c>
      <c r="E960" s="37" t="s">
        <v>788</v>
      </c>
      <c r="F960" s="39">
        <v>12</v>
      </c>
      <c r="G960" s="49" t="s">
        <v>3568</v>
      </c>
      <c r="H960" s="49" t="s">
        <v>3568</v>
      </c>
      <c r="I960" s="49"/>
      <c r="J960" s="40">
        <f>COUNTIF(System_configuration!B:B,A960)</f>
        <v>0</v>
      </c>
    </row>
    <row r="961" spans="1:10" s="29" customFormat="1" x14ac:dyDescent="0.2">
      <c r="A961" s="83" t="s">
        <v>338</v>
      </c>
      <c r="B961" s="39">
        <v>-120</v>
      </c>
      <c r="C961" s="43" t="s">
        <v>1534</v>
      </c>
      <c r="D961" s="37" t="s">
        <v>337</v>
      </c>
      <c r="E961" s="37" t="s">
        <v>789</v>
      </c>
      <c r="F961" s="39">
        <v>12</v>
      </c>
      <c r="G961" s="49" t="s">
        <v>3568</v>
      </c>
      <c r="H961" s="49" t="s">
        <v>3568</v>
      </c>
      <c r="I961" s="49"/>
      <c r="J961" s="40">
        <f>COUNTIF(System_configuration!B:B,A961)</f>
        <v>0</v>
      </c>
    </row>
    <row r="962" spans="1:10" s="29" customFormat="1" x14ac:dyDescent="0.2">
      <c r="A962" s="83" t="s">
        <v>339</v>
      </c>
      <c r="B962" s="39">
        <v>-100</v>
      </c>
      <c r="C962" s="43" t="s">
        <v>1534</v>
      </c>
      <c r="D962" s="37" t="s">
        <v>235</v>
      </c>
      <c r="E962" s="37" t="s">
        <v>790</v>
      </c>
      <c r="F962" s="39">
        <v>12</v>
      </c>
      <c r="G962" s="49" t="s">
        <v>3568</v>
      </c>
      <c r="H962" s="49" t="s">
        <v>3568</v>
      </c>
      <c r="I962" s="49"/>
      <c r="J962" s="40">
        <f>COUNTIF(System_configuration!B:B,A962)</f>
        <v>0</v>
      </c>
    </row>
    <row r="963" spans="1:10" s="29" customFormat="1" x14ac:dyDescent="0.2">
      <c r="A963" s="83" t="s">
        <v>340</v>
      </c>
      <c r="B963" s="39">
        <v>-110</v>
      </c>
      <c r="C963" s="43" t="s">
        <v>1534</v>
      </c>
      <c r="D963" s="37" t="s">
        <v>738</v>
      </c>
      <c r="E963" s="37" t="s">
        <v>791</v>
      </c>
      <c r="F963" s="39">
        <v>12</v>
      </c>
      <c r="G963" s="49" t="s">
        <v>3568</v>
      </c>
      <c r="H963" s="49" t="s">
        <v>3568</v>
      </c>
      <c r="I963" s="49"/>
      <c r="J963" s="40">
        <f>COUNTIF(System_configuration!B:B,A963)</f>
        <v>0</v>
      </c>
    </row>
    <row r="964" spans="1:10" s="29" customFormat="1" ht="25.5" x14ac:dyDescent="0.2">
      <c r="A964" s="83" t="s">
        <v>341</v>
      </c>
      <c r="B964" s="39">
        <v>-130</v>
      </c>
      <c r="C964" s="43" t="s">
        <v>1534</v>
      </c>
      <c r="D964" s="37" t="s">
        <v>739</v>
      </c>
      <c r="E964" s="37" t="s">
        <v>792</v>
      </c>
      <c r="F964" s="39">
        <v>12</v>
      </c>
      <c r="G964" s="49" t="s">
        <v>3568</v>
      </c>
      <c r="H964" s="49" t="s">
        <v>3568</v>
      </c>
      <c r="I964" s="49"/>
      <c r="J964" s="40">
        <f>COUNTIF(System_configuration!B:B,A964)</f>
        <v>0</v>
      </c>
    </row>
    <row r="965" spans="1:10" s="29" customFormat="1" x14ac:dyDescent="0.2">
      <c r="A965" s="83" t="s">
        <v>343</v>
      </c>
      <c r="B965" s="39">
        <v>-130</v>
      </c>
      <c r="C965" s="43" t="s">
        <v>1534</v>
      </c>
      <c r="D965" s="37" t="s">
        <v>342</v>
      </c>
      <c r="E965" s="37" t="s">
        <v>793</v>
      </c>
      <c r="F965" s="39">
        <v>12</v>
      </c>
      <c r="G965" s="49" t="s">
        <v>3568</v>
      </c>
      <c r="H965" s="49" t="s">
        <v>3568</v>
      </c>
      <c r="I965" s="49" t="s">
        <v>3568</v>
      </c>
      <c r="J965" s="40">
        <f>COUNTIF(System_configuration!B:B,A965)</f>
        <v>0</v>
      </c>
    </row>
    <row r="966" spans="1:10" s="29" customFormat="1" x14ac:dyDescent="0.2">
      <c r="A966" s="83" t="s">
        <v>344</v>
      </c>
      <c r="B966" s="39">
        <v>-120</v>
      </c>
      <c r="C966" s="43" t="s">
        <v>1534</v>
      </c>
      <c r="D966" s="37" t="s">
        <v>1201</v>
      </c>
      <c r="E966" s="37" t="s">
        <v>794</v>
      </c>
      <c r="F966" s="39">
        <v>12</v>
      </c>
      <c r="G966" s="49" t="s">
        <v>3568</v>
      </c>
      <c r="H966" s="49" t="s">
        <v>3568</v>
      </c>
      <c r="I966" s="49" t="s">
        <v>3568</v>
      </c>
      <c r="J966" s="40">
        <f>COUNTIF(System_configuration!B:B,A966)</f>
        <v>0</v>
      </c>
    </row>
    <row r="967" spans="1:10" s="29" customFormat="1" x14ac:dyDescent="0.2">
      <c r="A967" s="83" t="s">
        <v>346</v>
      </c>
      <c r="B967" s="39">
        <v>-130</v>
      </c>
      <c r="C967" s="43" t="s">
        <v>1534</v>
      </c>
      <c r="D967" s="37" t="s">
        <v>345</v>
      </c>
      <c r="E967" s="37" t="s">
        <v>795</v>
      </c>
      <c r="F967" s="39">
        <v>12</v>
      </c>
      <c r="G967" s="49" t="s">
        <v>3568</v>
      </c>
      <c r="H967" s="49" t="s">
        <v>3568</v>
      </c>
      <c r="I967" s="49" t="s">
        <v>3568</v>
      </c>
      <c r="J967" s="40">
        <f>COUNTIF(System_configuration!B:B,A967)</f>
        <v>0</v>
      </c>
    </row>
    <row r="968" spans="1:10" s="29" customFormat="1" ht="25.5" x14ac:dyDescent="0.2">
      <c r="A968" s="83" t="s">
        <v>347</v>
      </c>
      <c r="B968" s="39">
        <v>-70</v>
      </c>
      <c r="C968" s="43" t="s">
        <v>1534</v>
      </c>
      <c r="D968" s="37" t="s">
        <v>741</v>
      </c>
      <c r="E968" s="37" t="s">
        <v>797</v>
      </c>
      <c r="F968" s="39">
        <v>12</v>
      </c>
      <c r="G968" s="49" t="s">
        <v>3568</v>
      </c>
      <c r="H968" s="49" t="s">
        <v>3568</v>
      </c>
      <c r="I968" s="49" t="s">
        <v>3568</v>
      </c>
      <c r="J968" s="40">
        <f>COUNTIF(System_configuration!B:B,A968)</f>
        <v>0</v>
      </c>
    </row>
    <row r="969" spans="1:10" s="29" customFormat="1" x14ac:dyDescent="0.2">
      <c r="A969" s="83" t="s">
        <v>349</v>
      </c>
      <c r="B969" s="39">
        <v>-150</v>
      </c>
      <c r="C969" s="43" t="s">
        <v>1534</v>
      </c>
      <c r="D969" s="37" t="s">
        <v>348</v>
      </c>
      <c r="E969" s="37" t="s">
        <v>798</v>
      </c>
      <c r="F969" s="39">
        <v>12</v>
      </c>
      <c r="G969" s="49" t="s">
        <v>3568</v>
      </c>
      <c r="H969" s="49" t="s">
        <v>3568</v>
      </c>
      <c r="I969" s="49" t="s">
        <v>3568</v>
      </c>
      <c r="J969" s="40">
        <f>COUNTIF(System_configuration!B:B,A969)</f>
        <v>0</v>
      </c>
    </row>
    <row r="970" spans="1:10" s="29" customFormat="1" x14ac:dyDescent="0.2">
      <c r="A970" s="83" t="s">
        <v>350</v>
      </c>
      <c r="B970" s="39">
        <v>-280</v>
      </c>
      <c r="C970" s="43" t="s">
        <v>1534</v>
      </c>
      <c r="D970" s="37" t="s">
        <v>239</v>
      </c>
      <c r="E970" s="37" t="s">
        <v>799</v>
      </c>
      <c r="F970" s="39">
        <v>12</v>
      </c>
      <c r="G970" s="49" t="s">
        <v>3568</v>
      </c>
      <c r="H970" s="49" t="s">
        <v>3568</v>
      </c>
      <c r="I970" s="49"/>
      <c r="J970" s="40">
        <f>COUNTIF(System_configuration!B:B,A970)</f>
        <v>0</v>
      </c>
    </row>
    <row r="971" spans="1:10" s="29" customFormat="1" x14ac:dyDescent="0.2">
      <c r="A971" s="83" t="s">
        <v>355</v>
      </c>
      <c r="B971" s="39">
        <v>-110</v>
      </c>
      <c r="C971" s="43" t="s">
        <v>1534</v>
      </c>
      <c r="D971" s="37" t="s">
        <v>354</v>
      </c>
      <c r="E971" s="37" t="s">
        <v>802</v>
      </c>
      <c r="F971" s="39">
        <v>12</v>
      </c>
      <c r="G971" s="49" t="s">
        <v>3568</v>
      </c>
      <c r="H971" s="49" t="s">
        <v>3568</v>
      </c>
      <c r="I971" s="49"/>
      <c r="J971" s="40">
        <f>COUNTIF(System_configuration!B:B,A971)</f>
        <v>0</v>
      </c>
    </row>
    <row r="972" spans="1:10" s="29" customFormat="1" x14ac:dyDescent="0.2">
      <c r="A972" s="83" t="s">
        <v>357</v>
      </c>
      <c r="B972" s="39">
        <v>-180</v>
      </c>
      <c r="C972" s="43" t="s">
        <v>1534</v>
      </c>
      <c r="D972" s="37" t="s">
        <v>356</v>
      </c>
      <c r="E972" s="37" t="s">
        <v>805</v>
      </c>
      <c r="F972" s="39">
        <v>24</v>
      </c>
      <c r="G972" s="49" t="s">
        <v>3568</v>
      </c>
      <c r="H972" s="49" t="s">
        <v>3568</v>
      </c>
      <c r="I972" s="49"/>
      <c r="J972" s="40">
        <f>COUNTIF(System_configuration!B:B,A972)</f>
        <v>0</v>
      </c>
    </row>
    <row r="973" spans="1:10" s="29" customFormat="1" x14ac:dyDescent="0.2">
      <c r="A973" s="83" t="s">
        <v>358</v>
      </c>
      <c r="B973" s="39">
        <v>-170</v>
      </c>
      <c r="C973" s="43" t="s">
        <v>1534</v>
      </c>
      <c r="D973" s="37" t="s">
        <v>1203</v>
      </c>
      <c r="E973" s="37" t="s">
        <v>807</v>
      </c>
      <c r="F973" s="39">
        <v>12</v>
      </c>
      <c r="G973" s="49" t="s">
        <v>3568</v>
      </c>
      <c r="H973" s="49" t="s">
        <v>3568</v>
      </c>
      <c r="I973" s="49" t="s">
        <v>3568</v>
      </c>
      <c r="J973" s="40">
        <f>COUNTIF(System_configuration!B:B,A973)</f>
        <v>0</v>
      </c>
    </row>
    <row r="974" spans="1:10" s="29" customFormat="1" ht="25.5" x14ac:dyDescent="0.2">
      <c r="A974" s="83" t="s">
        <v>359</v>
      </c>
      <c r="B974" s="39">
        <v>-150</v>
      </c>
      <c r="C974" s="43" t="s">
        <v>1534</v>
      </c>
      <c r="D974" s="37" t="s">
        <v>1204</v>
      </c>
      <c r="E974" s="37" t="s">
        <v>808</v>
      </c>
      <c r="F974" s="39">
        <v>12</v>
      </c>
      <c r="G974" s="49"/>
      <c r="H974" s="49"/>
      <c r="I974" s="49" t="s">
        <v>3568</v>
      </c>
      <c r="J974" s="40">
        <f>COUNTIF(System_configuration!B:B,A974)</f>
        <v>0</v>
      </c>
    </row>
    <row r="975" spans="1:10" s="29" customFormat="1" ht="25.5" x14ac:dyDescent="0.2">
      <c r="A975" s="83" t="s">
        <v>360</v>
      </c>
      <c r="B975" s="39">
        <v>-170</v>
      </c>
      <c r="C975" s="43" t="s">
        <v>1534</v>
      </c>
      <c r="D975" s="37" t="s">
        <v>742</v>
      </c>
      <c r="E975" s="37" t="s">
        <v>809</v>
      </c>
      <c r="F975" s="39">
        <v>12</v>
      </c>
      <c r="G975" s="49"/>
      <c r="H975" s="49"/>
      <c r="I975" s="49" t="s">
        <v>3568</v>
      </c>
      <c r="J975" s="40">
        <f>COUNTIF(System_configuration!B:B,A975)</f>
        <v>0</v>
      </c>
    </row>
    <row r="976" spans="1:10" s="29" customFormat="1" x14ac:dyDescent="0.2">
      <c r="A976" s="83" t="s">
        <v>363</v>
      </c>
      <c r="B976" s="39">
        <v>-200</v>
      </c>
      <c r="C976" s="43" t="s">
        <v>1534</v>
      </c>
      <c r="D976" s="37" t="s">
        <v>362</v>
      </c>
      <c r="E976" s="37" t="s">
        <v>810</v>
      </c>
      <c r="F976" s="39">
        <v>12</v>
      </c>
      <c r="G976" s="49" t="s">
        <v>3568</v>
      </c>
      <c r="H976" s="49" t="s">
        <v>3568</v>
      </c>
      <c r="I976" s="49"/>
      <c r="J976" s="40">
        <f>COUNTIF(System_configuration!B:B,A976)</f>
        <v>0</v>
      </c>
    </row>
    <row r="977" spans="1:10" s="29" customFormat="1" x14ac:dyDescent="0.2">
      <c r="A977" s="83" t="s">
        <v>767</v>
      </c>
      <c r="B977" s="39">
        <v>-180</v>
      </c>
      <c r="C977" s="43" t="s">
        <v>1534</v>
      </c>
      <c r="D977" s="37" t="s">
        <v>766</v>
      </c>
      <c r="E977" s="37" t="s">
        <v>811</v>
      </c>
      <c r="F977" s="39">
        <v>12</v>
      </c>
      <c r="G977" s="49"/>
      <c r="H977" s="49"/>
      <c r="I977" s="49"/>
      <c r="J977" s="40">
        <f>COUNTIF(System_configuration!B:B,A977)</f>
        <v>0</v>
      </c>
    </row>
    <row r="978" spans="1:10" s="29" customFormat="1" x14ac:dyDescent="0.2">
      <c r="A978" s="83" t="s">
        <v>365</v>
      </c>
      <c r="B978" s="39">
        <v>-120</v>
      </c>
      <c r="C978" s="43" t="s">
        <v>1534</v>
      </c>
      <c r="D978" s="37" t="s">
        <v>364</v>
      </c>
      <c r="E978" s="37" t="s">
        <v>812</v>
      </c>
      <c r="F978" s="39">
        <v>12</v>
      </c>
      <c r="G978" s="49" t="s">
        <v>3568</v>
      </c>
      <c r="H978" s="49" t="s">
        <v>3568</v>
      </c>
      <c r="I978" s="49" t="s">
        <v>3568</v>
      </c>
      <c r="J978" s="40">
        <f>COUNTIF(System_configuration!B:B,A978)</f>
        <v>0</v>
      </c>
    </row>
    <row r="979" spans="1:10" s="29" customFormat="1" x14ac:dyDescent="0.2">
      <c r="A979" s="83" t="s">
        <v>367</v>
      </c>
      <c r="B979" s="39">
        <v>-120</v>
      </c>
      <c r="C979" s="43" t="s">
        <v>1534</v>
      </c>
      <c r="D979" s="37" t="s">
        <v>366</v>
      </c>
      <c r="E979" s="37" t="s">
        <v>813</v>
      </c>
      <c r="F979" s="39">
        <v>12</v>
      </c>
      <c r="G979" s="49" t="s">
        <v>3568</v>
      </c>
      <c r="H979" s="49" t="s">
        <v>3568</v>
      </c>
      <c r="I979" s="49" t="s">
        <v>3568</v>
      </c>
      <c r="J979" s="40">
        <f>COUNTIF(System_configuration!B:B,A979)</f>
        <v>0</v>
      </c>
    </row>
    <row r="980" spans="1:10" s="29" customFormat="1" x14ac:dyDescent="0.2">
      <c r="A980" s="83" t="s">
        <v>369</v>
      </c>
      <c r="B980" s="39">
        <v>-120</v>
      </c>
      <c r="C980" s="43" t="s">
        <v>1534</v>
      </c>
      <c r="D980" s="37" t="s">
        <v>368</v>
      </c>
      <c r="E980" s="37" t="s">
        <v>814</v>
      </c>
      <c r="F980" s="39">
        <v>12</v>
      </c>
      <c r="G980" s="49"/>
      <c r="H980" s="49"/>
      <c r="I980" s="49"/>
      <c r="J980" s="40">
        <f>COUNTIF(System_configuration!B:B,A980)</f>
        <v>0</v>
      </c>
    </row>
    <row r="981" spans="1:10" s="29" customFormat="1" x14ac:dyDescent="0.2">
      <c r="A981" s="83" t="s">
        <v>384</v>
      </c>
      <c r="B981" s="39">
        <v>-130</v>
      </c>
      <c r="C981" s="43" t="s">
        <v>1534</v>
      </c>
      <c r="D981" s="37" t="s">
        <v>383</v>
      </c>
      <c r="E981" s="37" t="s">
        <v>825</v>
      </c>
      <c r="F981" s="39">
        <v>12</v>
      </c>
      <c r="G981" s="49" t="s">
        <v>3568</v>
      </c>
      <c r="H981" s="49" t="s">
        <v>3568</v>
      </c>
      <c r="I981" s="49"/>
      <c r="J981" s="40">
        <f>COUNTIF(System_configuration!B:B,A981)</f>
        <v>0</v>
      </c>
    </row>
    <row r="982" spans="1:10" s="29" customFormat="1" x14ac:dyDescent="0.2">
      <c r="A982" s="83" t="s">
        <v>386</v>
      </c>
      <c r="B982" s="39">
        <v>-130</v>
      </c>
      <c r="C982" s="43" t="s">
        <v>1534</v>
      </c>
      <c r="D982" s="37" t="s">
        <v>385</v>
      </c>
      <c r="E982" s="37" t="s">
        <v>826</v>
      </c>
      <c r="F982" s="39">
        <v>12</v>
      </c>
      <c r="G982" s="49" t="s">
        <v>3568</v>
      </c>
      <c r="H982" s="49" t="s">
        <v>3568</v>
      </c>
      <c r="I982" s="49"/>
      <c r="J982" s="40">
        <f>COUNTIF(System_configuration!B:B,A982)</f>
        <v>0</v>
      </c>
    </row>
    <row r="983" spans="1:10" s="29" customFormat="1" x14ac:dyDescent="0.2">
      <c r="A983" s="83" t="s">
        <v>388</v>
      </c>
      <c r="B983" s="39">
        <v>-130</v>
      </c>
      <c r="C983" s="43" t="s">
        <v>1534</v>
      </c>
      <c r="D983" s="37" t="s">
        <v>387</v>
      </c>
      <c r="E983" s="37" t="s">
        <v>827</v>
      </c>
      <c r="F983" s="39">
        <v>12</v>
      </c>
      <c r="G983" s="49" t="s">
        <v>3568</v>
      </c>
      <c r="H983" s="49" t="s">
        <v>3568</v>
      </c>
      <c r="I983" s="49"/>
      <c r="J983" s="40">
        <f>COUNTIF(System_configuration!B:B,A983)</f>
        <v>0</v>
      </c>
    </row>
    <row r="984" spans="1:10" s="29" customFormat="1" x14ac:dyDescent="0.2">
      <c r="A984" s="83" t="s">
        <v>390</v>
      </c>
      <c r="B984" s="39">
        <v>-130</v>
      </c>
      <c r="C984" s="43" t="s">
        <v>1534</v>
      </c>
      <c r="D984" s="37" t="s">
        <v>389</v>
      </c>
      <c r="E984" s="37" t="s">
        <v>828</v>
      </c>
      <c r="F984" s="39">
        <v>12</v>
      </c>
      <c r="G984" s="49" t="s">
        <v>3568</v>
      </c>
      <c r="H984" s="49" t="s">
        <v>3568</v>
      </c>
      <c r="I984" s="49"/>
      <c r="J984" s="40">
        <f>COUNTIF(System_configuration!B:B,A984)</f>
        <v>0</v>
      </c>
    </row>
    <row r="985" spans="1:10" s="29" customFormat="1" x14ac:dyDescent="0.2">
      <c r="A985" s="83" t="s">
        <v>392</v>
      </c>
      <c r="B985" s="39">
        <v>-130</v>
      </c>
      <c r="C985" s="43" t="s">
        <v>1534</v>
      </c>
      <c r="D985" s="37" t="s">
        <v>391</v>
      </c>
      <c r="E985" s="37" t="s">
        <v>829</v>
      </c>
      <c r="F985" s="39">
        <v>12</v>
      </c>
      <c r="G985" s="49" t="s">
        <v>3568</v>
      </c>
      <c r="H985" s="49" t="s">
        <v>3568</v>
      </c>
      <c r="I985" s="49"/>
      <c r="J985" s="40">
        <f>COUNTIF(System_configuration!B:B,A985)</f>
        <v>0</v>
      </c>
    </row>
    <row r="986" spans="1:10" s="29" customFormat="1" x14ac:dyDescent="0.2">
      <c r="A986" s="83" t="s">
        <v>394</v>
      </c>
      <c r="B986" s="39">
        <v>-130</v>
      </c>
      <c r="C986" s="43" t="s">
        <v>1534</v>
      </c>
      <c r="D986" s="37" t="s">
        <v>393</v>
      </c>
      <c r="E986" s="37" t="s">
        <v>830</v>
      </c>
      <c r="F986" s="39">
        <v>12</v>
      </c>
      <c r="G986" s="49" t="s">
        <v>3568</v>
      </c>
      <c r="H986" s="49" t="s">
        <v>3568</v>
      </c>
      <c r="I986" s="49"/>
      <c r="J986" s="40">
        <f>COUNTIF(System_configuration!B:B,A986)</f>
        <v>0</v>
      </c>
    </row>
    <row r="987" spans="1:10" s="29" customFormat="1" x14ac:dyDescent="0.2">
      <c r="A987" s="83" t="s">
        <v>396</v>
      </c>
      <c r="B987" s="39">
        <v>-130</v>
      </c>
      <c r="C987" s="43" t="s">
        <v>1534</v>
      </c>
      <c r="D987" s="37" t="s">
        <v>395</v>
      </c>
      <c r="E987" s="37" t="s">
        <v>831</v>
      </c>
      <c r="F987" s="39">
        <v>12</v>
      </c>
      <c r="G987" s="49" t="s">
        <v>3568</v>
      </c>
      <c r="H987" s="49" t="s">
        <v>3568</v>
      </c>
      <c r="I987" s="49"/>
      <c r="J987" s="40">
        <f>COUNTIF(System_configuration!B:B,A987)</f>
        <v>0</v>
      </c>
    </row>
    <row r="988" spans="1:10" s="29" customFormat="1" x14ac:dyDescent="0.2">
      <c r="A988" s="83" t="s">
        <v>398</v>
      </c>
      <c r="B988" s="39">
        <v>-130</v>
      </c>
      <c r="C988" s="43" t="s">
        <v>1534</v>
      </c>
      <c r="D988" s="37" t="s">
        <v>397</v>
      </c>
      <c r="E988" s="37" t="s">
        <v>832</v>
      </c>
      <c r="F988" s="39">
        <v>12</v>
      </c>
      <c r="G988" s="49" t="s">
        <v>3568</v>
      </c>
      <c r="H988" s="49" t="s">
        <v>3568</v>
      </c>
      <c r="I988" s="49"/>
      <c r="J988" s="40">
        <f>COUNTIF(System_configuration!B:B,A988)</f>
        <v>0</v>
      </c>
    </row>
    <row r="989" spans="1:10" s="29" customFormat="1" x14ac:dyDescent="0.2">
      <c r="A989" s="83" t="s">
        <v>400</v>
      </c>
      <c r="B989" s="39">
        <v>-130</v>
      </c>
      <c r="C989" s="43" t="s">
        <v>1534</v>
      </c>
      <c r="D989" s="37" t="s">
        <v>399</v>
      </c>
      <c r="E989" s="37" t="s">
        <v>833</v>
      </c>
      <c r="F989" s="39">
        <v>12</v>
      </c>
      <c r="G989" s="49" t="s">
        <v>3568</v>
      </c>
      <c r="H989" s="49" t="s">
        <v>3568</v>
      </c>
      <c r="I989" s="49"/>
      <c r="J989" s="40">
        <f>COUNTIF(System_configuration!B:B,A989)</f>
        <v>0</v>
      </c>
    </row>
    <row r="990" spans="1:10" s="29" customFormat="1" x14ac:dyDescent="0.2">
      <c r="A990" s="83" t="s">
        <v>402</v>
      </c>
      <c r="B990" s="39">
        <v>-130</v>
      </c>
      <c r="C990" s="43" t="s">
        <v>1534</v>
      </c>
      <c r="D990" s="37" t="s">
        <v>401</v>
      </c>
      <c r="E990" s="37" t="s">
        <v>834</v>
      </c>
      <c r="F990" s="39">
        <v>12</v>
      </c>
      <c r="G990" s="49" t="s">
        <v>3568</v>
      </c>
      <c r="H990" s="49" t="s">
        <v>3568</v>
      </c>
      <c r="I990" s="49"/>
      <c r="J990" s="40">
        <f>COUNTIF(System_configuration!B:B,A990)</f>
        <v>0</v>
      </c>
    </row>
    <row r="991" spans="1:10" s="29" customFormat="1" x14ac:dyDescent="0.2">
      <c r="A991" s="83" t="s">
        <v>404</v>
      </c>
      <c r="B991" s="39">
        <v>-130</v>
      </c>
      <c r="C991" s="43" t="s">
        <v>1534</v>
      </c>
      <c r="D991" s="37" t="s">
        <v>403</v>
      </c>
      <c r="E991" s="37" t="s">
        <v>835</v>
      </c>
      <c r="F991" s="39">
        <v>12</v>
      </c>
      <c r="G991" s="49" t="s">
        <v>3568</v>
      </c>
      <c r="H991" s="49" t="s">
        <v>3568</v>
      </c>
      <c r="I991" s="49"/>
      <c r="J991" s="40">
        <f>COUNTIF(System_configuration!B:B,A991)</f>
        <v>0</v>
      </c>
    </row>
    <row r="992" spans="1:10" s="29" customFormat="1" x14ac:dyDescent="0.2">
      <c r="A992" s="83" t="s">
        <v>406</v>
      </c>
      <c r="B992" s="39">
        <v>-130</v>
      </c>
      <c r="C992" s="43" t="s">
        <v>1534</v>
      </c>
      <c r="D992" s="37" t="s">
        <v>405</v>
      </c>
      <c r="E992" s="37" t="s">
        <v>836</v>
      </c>
      <c r="F992" s="39">
        <v>12</v>
      </c>
      <c r="G992" s="49" t="s">
        <v>3568</v>
      </c>
      <c r="H992" s="49" t="s">
        <v>3568</v>
      </c>
      <c r="I992" s="49"/>
      <c r="J992" s="40">
        <f>COUNTIF(System_configuration!B:B,A992)</f>
        <v>0</v>
      </c>
    </row>
    <row r="993" spans="1:10" s="29" customFormat="1" x14ac:dyDescent="0.2">
      <c r="A993" s="83" t="s">
        <v>408</v>
      </c>
      <c r="B993" s="39">
        <v>-130</v>
      </c>
      <c r="C993" s="43" t="s">
        <v>1534</v>
      </c>
      <c r="D993" s="37" t="s">
        <v>407</v>
      </c>
      <c r="E993" s="37" t="s">
        <v>837</v>
      </c>
      <c r="F993" s="39">
        <v>12</v>
      </c>
      <c r="G993" s="49" t="s">
        <v>3568</v>
      </c>
      <c r="H993" s="49" t="s">
        <v>3568</v>
      </c>
      <c r="I993" s="49"/>
      <c r="J993" s="40">
        <f>COUNTIF(System_configuration!B:B,A993)</f>
        <v>0</v>
      </c>
    </row>
    <row r="994" spans="1:10" s="29" customFormat="1" x14ac:dyDescent="0.2">
      <c r="A994" s="83" t="s">
        <v>410</v>
      </c>
      <c r="B994" s="39">
        <v>-130</v>
      </c>
      <c r="C994" s="43" t="s">
        <v>1534</v>
      </c>
      <c r="D994" s="37" t="s">
        <v>409</v>
      </c>
      <c r="E994" s="37" t="s">
        <v>838</v>
      </c>
      <c r="F994" s="39">
        <v>12</v>
      </c>
      <c r="G994" s="49" t="s">
        <v>3568</v>
      </c>
      <c r="H994" s="49" t="s">
        <v>3568</v>
      </c>
      <c r="I994" s="49"/>
      <c r="J994" s="40">
        <f>COUNTIF(System_configuration!B:B,A994)</f>
        <v>0</v>
      </c>
    </row>
    <row r="995" spans="1:10" s="29" customFormat="1" x14ac:dyDescent="0.2">
      <c r="A995" s="83" t="s">
        <v>412</v>
      </c>
      <c r="B995" s="39">
        <v>-130</v>
      </c>
      <c r="C995" s="43" t="s">
        <v>1534</v>
      </c>
      <c r="D995" s="37" t="s">
        <v>411</v>
      </c>
      <c r="E995" s="37" t="s">
        <v>839</v>
      </c>
      <c r="F995" s="39">
        <v>12</v>
      </c>
      <c r="G995" s="49" t="s">
        <v>3568</v>
      </c>
      <c r="H995" s="49" t="s">
        <v>3568</v>
      </c>
      <c r="I995" s="49"/>
      <c r="J995" s="40">
        <f>COUNTIF(System_configuration!B:B,A995)</f>
        <v>0</v>
      </c>
    </row>
    <row r="996" spans="1:10" s="29" customFormat="1" x14ac:dyDescent="0.2">
      <c r="A996" s="83" t="s">
        <v>414</v>
      </c>
      <c r="B996" s="39">
        <v>-130</v>
      </c>
      <c r="C996" s="43" t="s">
        <v>1534</v>
      </c>
      <c r="D996" s="37" t="s">
        <v>413</v>
      </c>
      <c r="E996" s="37" t="s">
        <v>840</v>
      </c>
      <c r="F996" s="39">
        <v>12</v>
      </c>
      <c r="G996" s="49" t="s">
        <v>3568</v>
      </c>
      <c r="H996" s="49" t="s">
        <v>3568</v>
      </c>
      <c r="I996" s="49"/>
      <c r="J996" s="40">
        <f>COUNTIF(System_configuration!B:B,A996)</f>
        <v>0</v>
      </c>
    </row>
    <row r="997" spans="1:10" s="29" customFormat="1" x14ac:dyDescent="0.2">
      <c r="A997" s="83" t="s">
        <v>416</v>
      </c>
      <c r="B997" s="39">
        <v>-130</v>
      </c>
      <c r="C997" s="43" t="s">
        <v>1534</v>
      </c>
      <c r="D997" s="37" t="s">
        <v>415</v>
      </c>
      <c r="E997" s="37" t="s">
        <v>841</v>
      </c>
      <c r="F997" s="39">
        <v>12</v>
      </c>
      <c r="G997" s="49" t="s">
        <v>3568</v>
      </c>
      <c r="H997" s="49" t="s">
        <v>3568</v>
      </c>
      <c r="I997" s="49"/>
      <c r="J997" s="40">
        <f>COUNTIF(System_configuration!B:B,A997)</f>
        <v>0</v>
      </c>
    </row>
    <row r="998" spans="1:10" s="29" customFormat="1" x14ac:dyDescent="0.2">
      <c r="A998" s="83" t="s">
        <v>418</v>
      </c>
      <c r="B998" s="39">
        <v>-130</v>
      </c>
      <c r="C998" s="43" t="s">
        <v>1534</v>
      </c>
      <c r="D998" s="37" t="s">
        <v>417</v>
      </c>
      <c r="E998" s="37" t="s">
        <v>842</v>
      </c>
      <c r="F998" s="39">
        <v>12</v>
      </c>
      <c r="G998" s="49" t="s">
        <v>3568</v>
      </c>
      <c r="H998" s="49" t="s">
        <v>3568</v>
      </c>
      <c r="I998" s="49"/>
      <c r="J998" s="40">
        <f>COUNTIF(System_configuration!B:B,A998)</f>
        <v>0</v>
      </c>
    </row>
    <row r="999" spans="1:10" s="29" customFormat="1" x14ac:dyDescent="0.2">
      <c r="A999" s="83" t="s">
        <v>420</v>
      </c>
      <c r="B999" s="39">
        <v>-130</v>
      </c>
      <c r="C999" s="43" t="s">
        <v>1534</v>
      </c>
      <c r="D999" s="37" t="s">
        <v>419</v>
      </c>
      <c r="E999" s="37" t="s">
        <v>843</v>
      </c>
      <c r="F999" s="39">
        <v>12</v>
      </c>
      <c r="G999" s="49" t="s">
        <v>3568</v>
      </c>
      <c r="H999" s="49" t="s">
        <v>3568</v>
      </c>
      <c r="I999" s="49"/>
      <c r="J999" s="40">
        <f>COUNTIF(System_configuration!B:B,A999)</f>
        <v>0</v>
      </c>
    </row>
    <row r="1000" spans="1:10" s="29" customFormat="1" x14ac:dyDescent="0.2">
      <c r="A1000" s="83" t="s">
        <v>422</v>
      </c>
      <c r="B1000" s="39">
        <v>-130</v>
      </c>
      <c r="C1000" s="43" t="s">
        <v>1534</v>
      </c>
      <c r="D1000" s="37" t="s">
        <v>421</v>
      </c>
      <c r="E1000" s="37" t="s">
        <v>844</v>
      </c>
      <c r="F1000" s="39">
        <v>12</v>
      </c>
      <c r="G1000" s="49" t="s">
        <v>3568</v>
      </c>
      <c r="H1000" s="49" t="s">
        <v>3568</v>
      </c>
      <c r="I1000" s="49"/>
      <c r="J1000" s="40">
        <f>COUNTIF(System_configuration!B:B,A1000)</f>
        <v>0</v>
      </c>
    </row>
    <row r="1001" spans="1:10" s="29" customFormat="1" x14ac:dyDescent="0.2">
      <c r="A1001" s="83" t="s">
        <v>426</v>
      </c>
      <c r="B1001" s="39">
        <v>-130</v>
      </c>
      <c r="C1001" s="43" t="s">
        <v>1534</v>
      </c>
      <c r="D1001" s="37" t="s">
        <v>425</v>
      </c>
      <c r="E1001" s="37" t="s">
        <v>846</v>
      </c>
      <c r="F1001" s="39">
        <v>12</v>
      </c>
      <c r="G1001" s="49" t="s">
        <v>3568</v>
      </c>
      <c r="H1001" s="49" t="s">
        <v>3568</v>
      </c>
      <c r="I1001" s="49"/>
      <c r="J1001" s="40">
        <f>COUNTIF(System_configuration!B:B,A1001)</f>
        <v>0</v>
      </c>
    </row>
    <row r="1002" spans="1:10" s="29" customFormat="1" x14ac:dyDescent="0.2">
      <c r="A1002" s="83" t="s">
        <v>428</v>
      </c>
      <c r="B1002" s="39">
        <v>-130</v>
      </c>
      <c r="C1002" s="43" t="s">
        <v>1534</v>
      </c>
      <c r="D1002" s="37" t="s">
        <v>427</v>
      </c>
      <c r="E1002" s="37" t="s">
        <v>847</v>
      </c>
      <c r="F1002" s="39">
        <v>12</v>
      </c>
      <c r="G1002" s="49" t="s">
        <v>3568</v>
      </c>
      <c r="H1002" s="49" t="s">
        <v>3568</v>
      </c>
      <c r="I1002" s="49"/>
      <c r="J1002" s="40">
        <f>COUNTIF(System_configuration!B:B,A1002)</f>
        <v>0</v>
      </c>
    </row>
    <row r="1003" spans="1:10" s="29" customFormat="1" x14ac:dyDescent="0.2">
      <c r="A1003" s="83" t="s">
        <v>430</v>
      </c>
      <c r="B1003" s="39">
        <v>-130</v>
      </c>
      <c r="C1003" s="43" t="s">
        <v>1534</v>
      </c>
      <c r="D1003" s="37" t="s">
        <v>429</v>
      </c>
      <c r="E1003" s="37" t="s">
        <v>848</v>
      </c>
      <c r="F1003" s="39">
        <v>12</v>
      </c>
      <c r="G1003" s="49" t="s">
        <v>3568</v>
      </c>
      <c r="H1003" s="49" t="s">
        <v>3568</v>
      </c>
      <c r="I1003" s="49"/>
      <c r="J1003" s="40">
        <f>COUNTIF(System_configuration!B:B,A1003)</f>
        <v>0</v>
      </c>
    </row>
    <row r="1004" spans="1:10" s="29" customFormat="1" x14ac:dyDescent="0.2">
      <c r="A1004" s="83" t="s">
        <v>432</v>
      </c>
      <c r="B1004" s="39">
        <v>-170</v>
      </c>
      <c r="C1004" s="43" t="s">
        <v>1534</v>
      </c>
      <c r="D1004" s="37" t="s">
        <v>431</v>
      </c>
      <c r="E1004" s="37" t="s">
        <v>849</v>
      </c>
      <c r="F1004" s="39">
        <v>12</v>
      </c>
      <c r="G1004" s="49" t="s">
        <v>3568</v>
      </c>
      <c r="H1004" s="49" t="s">
        <v>3568</v>
      </c>
      <c r="I1004" s="49"/>
      <c r="J1004" s="40">
        <f>COUNTIF(System_configuration!B:B,A1004)</f>
        <v>0</v>
      </c>
    </row>
    <row r="1005" spans="1:10" s="29" customFormat="1" x14ac:dyDescent="0.2">
      <c r="A1005" s="83" t="s">
        <v>434</v>
      </c>
      <c r="B1005" s="39">
        <v>-130</v>
      </c>
      <c r="C1005" s="43" t="s">
        <v>1534</v>
      </c>
      <c r="D1005" s="37" t="s">
        <v>433</v>
      </c>
      <c r="E1005" s="37" t="s">
        <v>850</v>
      </c>
      <c r="F1005" s="39">
        <v>12</v>
      </c>
      <c r="G1005" s="49" t="s">
        <v>3568</v>
      </c>
      <c r="H1005" s="49" t="s">
        <v>3568</v>
      </c>
      <c r="I1005" s="49"/>
      <c r="J1005" s="40">
        <f>COUNTIF(System_configuration!B:B,A1005)</f>
        <v>0</v>
      </c>
    </row>
    <row r="1006" spans="1:10" s="29" customFormat="1" x14ac:dyDescent="0.2">
      <c r="A1006" s="83" t="s">
        <v>435</v>
      </c>
      <c r="B1006" s="39">
        <v>-130</v>
      </c>
      <c r="C1006" s="43" t="s">
        <v>1534</v>
      </c>
      <c r="D1006" s="37" t="s">
        <v>86</v>
      </c>
      <c r="E1006" s="37" t="s">
        <v>851</v>
      </c>
      <c r="F1006" s="39">
        <v>12</v>
      </c>
      <c r="G1006" s="49" t="s">
        <v>3568</v>
      </c>
      <c r="H1006" s="49" t="s">
        <v>3568</v>
      </c>
      <c r="I1006" s="49"/>
      <c r="J1006" s="40">
        <f>COUNTIF(System_configuration!B:B,A1006)</f>
        <v>0</v>
      </c>
    </row>
    <row r="1007" spans="1:10" s="29" customFormat="1" x14ac:dyDescent="0.2">
      <c r="A1007" s="83" t="s">
        <v>436</v>
      </c>
      <c r="B1007" s="39">
        <v>-170</v>
      </c>
      <c r="C1007" s="43" t="s">
        <v>1534</v>
      </c>
      <c r="D1007" s="37" t="s">
        <v>72</v>
      </c>
      <c r="E1007" s="37" t="s">
        <v>852</v>
      </c>
      <c r="F1007" s="39">
        <v>12</v>
      </c>
      <c r="G1007" s="49" t="s">
        <v>3568</v>
      </c>
      <c r="H1007" s="49" t="s">
        <v>3568</v>
      </c>
      <c r="I1007" s="49"/>
      <c r="J1007" s="40">
        <f>COUNTIF(System_configuration!B:B,A1007)</f>
        <v>0</v>
      </c>
    </row>
    <row r="1008" spans="1:10" s="29" customFormat="1" x14ac:dyDescent="0.2">
      <c r="A1008" s="83" t="s">
        <v>438</v>
      </c>
      <c r="B1008" s="39">
        <v>-130</v>
      </c>
      <c r="C1008" s="43" t="s">
        <v>1534</v>
      </c>
      <c r="D1008" s="37" t="s">
        <v>437</v>
      </c>
      <c r="E1008" s="37" t="s">
        <v>853</v>
      </c>
      <c r="F1008" s="39">
        <v>12</v>
      </c>
      <c r="G1008" s="49" t="s">
        <v>3568</v>
      </c>
      <c r="H1008" s="49" t="s">
        <v>3568</v>
      </c>
      <c r="I1008" s="49"/>
      <c r="J1008" s="40">
        <f>COUNTIF(System_configuration!B:B,A1008)</f>
        <v>0</v>
      </c>
    </row>
    <row r="1009" spans="1:10" s="29" customFormat="1" x14ac:dyDescent="0.2">
      <c r="A1009" s="83" t="s">
        <v>440</v>
      </c>
      <c r="B1009" s="39">
        <v>-130</v>
      </c>
      <c r="C1009" s="43" t="s">
        <v>1534</v>
      </c>
      <c r="D1009" s="37" t="s">
        <v>439</v>
      </c>
      <c r="E1009" s="37" t="s">
        <v>854</v>
      </c>
      <c r="F1009" s="39">
        <v>12</v>
      </c>
      <c r="G1009" s="49" t="s">
        <v>3568</v>
      </c>
      <c r="H1009" s="49" t="s">
        <v>3568</v>
      </c>
      <c r="I1009" s="49"/>
      <c r="J1009" s="40">
        <f>COUNTIF(System_configuration!B:B,A1009)</f>
        <v>0</v>
      </c>
    </row>
    <row r="1010" spans="1:10" s="29" customFormat="1" x14ac:dyDescent="0.2">
      <c r="A1010" s="83" t="s">
        <v>442</v>
      </c>
      <c r="B1010" s="39">
        <v>-170</v>
      </c>
      <c r="C1010" s="43" t="s">
        <v>1534</v>
      </c>
      <c r="D1010" s="37" t="s">
        <v>441</v>
      </c>
      <c r="E1010" s="37" t="s">
        <v>855</v>
      </c>
      <c r="F1010" s="39">
        <v>12</v>
      </c>
      <c r="G1010" s="49" t="s">
        <v>3568</v>
      </c>
      <c r="H1010" s="49" t="s">
        <v>3568</v>
      </c>
      <c r="I1010" s="49"/>
      <c r="J1010" s="40">
        <f>COUNTIF(System_configuration!B:B,A1010)</f>
        <v>0</v>
      </c>
    </row>
    <row r="1011" spans="1:10" s="29" customFormat="1" x14ac:dyDescent="0.2">
      <c r="A1011" s="83" t="s">
        <v>444</v>
      </c>
      <c r="B1011" s="39">
        <v>-130</v>
      </c>
      <c r="C1011" s="43" t="s">
        <v>1534</v>
      </c>
      <c r="D1011" s="37" t="s">
        <v>443</v>
      </c>
      <c r="E1011" s="37" t="s">
        <v>856</v>
      </c>
      <c r="F1011" s="39">
        <v>12</v>
      </c>
      <c r="G1011" s="49" t="s">
        <v>3568</v>
      </c>
      <c r="H1011" s="49" t="s">
        <v>3568</v>
      </c>
      <c r="I1011" s="49"/>
      <c r="J1011" s="40">
        <f>COUNTIF(System_configuration!B:B,A1011)</f>
        <v>0</v>
      </c>
    </row>
    <row r="1012" spans="1:10" s="29" customFormat="1" x14ac:dyDescent="0.2">
      <c r="A1012" s="83" t="s">
        <v>446</v>
      </c>
      <c r="B1012" s="39">
        <v>-130</v>
      </c>
      <c r="C1012" s="43" t="s">
        <v>1534</v>
      </c>
      <c r="D1012" s="37" t="s">
        <v>445</v>
      </c>
      <c r="E1012" s="37" t="s">
        <v>857</v>
      </c>
      <c r="F1012" s="39">
        <v>12</v>
      </c>
      <c r="G1012" s="49" t="s">
        <v>3568</v>
      </c>
      <c r="H1012" s="49" t="s">
        <v>3568</v>
      </c>
      <c r="I1012" s="49"/>
      <c r="J1012" s="40">
        <f>COUNTIF(System_configuration!B:B,A1012)</f>
        <v>0</v>
      </c>
    </row>
    <row r="1013" spans="1:10" s="29" customFormat="1" x14ac:dyDescent="0.2">
      <c r="A1013" s="83" t="s">
        <v>448</v>
      </c>
      <c r="B1013" s="39">
        <v>-170</v>
      </c>
      <c r="C1013" s="43" t="s">
        <v>1534</v>
      </c>
      <c r="D1013" s="37" t="s">
        <v>447</v>
      </c>
      <c r="E1013" s="37" t="s">
        <v>858</v>
      </c>
      <c r="F1013" s="39">
        <v>12</v>
      </c>
      <c r="G1013" s="49" t="s">
        <v>3568</v>
      </c>
      <c r="H1013" s="49" t="s">
        <v>3568</v>
      </c>
      <c r="I1013" s="49"/>
      <c r="J1013" s="40">
        <f>COUNTIF(System_configuration!B:B,A1013)</f>
        <v>0</v>
      </c>
    </row>
    <row r="1014" spans="1:10" s="29" customFormat="1" x14ac:dyDescent="0.2">
      <c r="A1014" s="83" t="s">
        <v>452</v>
      </c>
      <c r="B1014" s="39">
        <v>-130</v>
      </c>
      <c r="C1014" s="43" t="s">
        <v>1534</v>
      </c>
      <c r="D1014" s="37" t="s">
        <v>451</v>
      </c>
      <c r="E1014" s="37" t="s">
        <v>860</v>
      </c>
      <c r="F1014" s="39">
        <v>12</v>
      </c>
      <c r="G1014" s="49" t="s">
        <v>3568</v>
      </c>
      <c r="H1014" s="49" t="s">
        <v>3568</v>
      </c>
      <c r="I1014" s="49"/>
      <c r="J1014" s="40">
        <f>COUNTIF(System_configuration!B:B,A1014)</f>
        <v>0</v>
      </c>
    </row>
    <row r="1015" spans="1:10" s="29" customFormat="1" x14ac:dyDescent="0.2">
      <c r="A1015" s="83" t="s">
        <v>454</v>
      </c>
      <c r="B1015" s="39">
        <v>-130</v>
      </c>
      <c r="C1015" s="43" t="s">
        <v>1534</v>
      </c>
      <c r="D1015" s="37" t="s">
        <v>453</v>
      </c>
      <c r="E1015" s="37" t="s">
        <v>861</v>
      </c>
      <c r="F1015" s="39">
        <v>12</v>
      </c>
      <c r="G1015" s="49" t="s">
        <v>3568</v>
      </c>
      <c r="H1015" s="49" t="s">
        <v>3568</v>
      </c>
      <c r="I1015" s="49"/>
      <c r="J1015" s="40">
        <f>COUNTIF(System_configuration!B:B,A1015)</f>
        <v>0</v>
      </c>
    </row>
    <row r="1016" spans="1:10" s="29" customFormat="1" x14ac:dyDescent="0.2">
      <c r="A1016" s="83" t="s">
        <v>456</v>
      </c>
      <c r="B1016" s="39">
        <v>-170</v>
      </c>
      <c r="C1016" s="43" t="s">
        <v>1534</v>
      </c>
      <c r="D1016" s="37" t="s">
        <v>455</v>
      </c>
      <c r="E1016" s="37" t="s">
        <v>862</v>
      </c>
      <c r="F1016" s="39">
        <v>12</v>
      </c>
      <c r="G1016" s="49" t="s">
        <v>3568</v>
      </c>
      <c r="H1016" s="49" t="s">
        <v>3568</v>
      </c>
      <c r="I1016" s="49"/>
      <c r="J1016" s="40">
        <f>COUNTIF(System_configuration!B:B,A1016)</f>
        <v>0</v>
      </c>
    </row>
    <row r="1017" spans="1:10" s="29" customFormat="1" x14ac:dyDescent="0.2">
      <c r="A1017" s="83" t="s">
        <v>458</v>
      </c>
      <c r="B1017" s="39">
        <v>-130</v>
      </c>
      <c r="C1017" s="43" t="s">
        <v>1534</v>
      </c>
      <c r="D1017" s="37" t="s">
        <v>457</v>
      </c>
      <c r="E1017" s="37" t="s">
        <v>863</v>
      </c>
      <c r="F1017" s="39">
        <v>12</v>
      </c>
      <c r="G1017" s="49" t="s">
        <v>3568</v>
      </c>
      <c r="H1017" s="49" t="s">
        <v>3568</v>
      </c>
      <c r="I1017" s="49"/>
      <c r="J1017" s="40">
        <f>COUNTIF(System_configuration!B:B,A1017)</f>
        <v>0</v>
      </c>
    </row>
    <row r="1018" spans="1:10" s="29" customFormat="1" x14ac:dyDescent="0.2">
      <c r="A1018" s="83" t="s">
        <v>459</v>
      </c>
      <c r="B1018" s="39">
        <v>-130</v>
      </c>
      <c r="C1018" s="43" t="s">
        <v>1534</v>
      </c>
      <c r="D1018" s="37" t="s">
        <v>71</v>
      </c>
      <c r="E1018" s="37" t="s">
        <v>864</v>
      </c>
      <c r="F1018" s="39">
        <v>12</v>
      </c>
      <c r="G1018" s="49" t="s">
        <v>3568</v>
      </c>
      <c r="H1018" s="49" t="s">
        <v>3568</v>
      </c>
      <c r="I1018" s="49"/>
      <c r="J1018" s="40">
        <f>COUNTIF(System_configuration!B:B,A1018)</f>
        <v>0</v>
      </c>
    </row>
    <row r="1019" spans="1:10" s="29" customFormat="1" x14ac:dyDescent="0.2">
      <c r="A1019" s="83" t="s">
        <v>460</v>
      </c>
      <c r="B1019" s="39">
        <v>-170</v>
      </c>
      <c r="C1019" s="43" t="s">
        <v>1534</v>
      </c>
      <c r="D1019" s="37" t="s">
        <v>44</v>
      </c>
      <c r="E1019" s="37" t="s">
        <v>865</v>
      </c>
      <c r="F1019" s="39">
        <v>12</v>
      </c>
      <c r="G1019" s="49" t="s">
        <v>3568</v>
      </c>
      <c r="H1019" s="49" t="s">
        <v>3568</v>
      </c>
      <c r="I1019" s="49"/>
      <c r="J1019" s="40">
        <f>COUNTIF(System_configuration!B:B,A1019)</f>
        <v>0</v>
      </c>
    </row>
    <row r="1020" spans="1:10" s="29" customFormat="1" x14ac:dyDescent="0.2">
      <c r="A1020" s="83" t="s">
        <v>462</v>
      </c>
      <c r="B1020" s="39">
        <v>-130</v>
      </c>
      <c r="C1020" s="43" t="s">
        <v>1534</v>
      </c>
      <c r="D1020" s="37" t="s">
        <v>461</v>
      </c>
      <c r="E1020" s="37" t="s">
        <v>866</v>
      </c>
      <c r="F1020" s="39">
        <v>12</v>
      </c>
      <c r="G1020" s="49" t="s">
        <v>3568</v>
      </c>
      <c r="H1020" s="49" t="s">
        <v>3568</v>
      </c>
      <c r="I1020" s="49"/>
      <c r="J1020" s="40">
        <f>COUNTIF(System_configuration!B:B,A1020)</f>
        <v>0</v>
      </c>
    </row>
    <row r="1021" spans="1:10" s="29" customFormat="1" x14ac:dyDescent="0.2">
      <c r="A1021" s="83" t="s">
        <v>464</v>
      </c>
      <c r="B1021" s="39">
        <v>-190</v>
      </c>
      <c r="C1021" s="43" t="s">
        <v>1534</v>
      </c>
      <c r="D1021" s="37" t="s">
        <v>463</v>
      </c>
      <c r="E1021" s="37" t="s">
        <v>867</v>
      </c>
      <c r="F1021" s="39">
        <v>12</v>
      </c>
      <c r="G1021" s="49" t="s">
        <v>3568</v>
      </c>
      <c r="H1021" s="49" t="s">
        <v>3568</v>
      </c>
      <c r="I1021" s="49"/>
      <c r="J1021" s="40">
        <f>COUNTIF(System_configuration!B:B,A1021)</f>
        <v>0</v>
      </c>
    </row>
    <row r="1022" spans="1:10" s="29" customFormat="1" x14ac:dyDescent="0.2">
      <c r="A1022" s="83" t="s">
        <v>466</v>
      </c>
      <c r="B1022" s="39">
        <v>-190</v>
      </c>
      <c r="C1022" s="43" t="s">
        <v>1534</v>
      </c>
      <c r="D1022" s="37" t="s">
        <v>465</v>
      </c>
      <c r="E1022" s="37" t="s">
        <v>869</v>
      </c>
      <c r="F1022" s="39">
        <v>12</v>
      </c>
      <c r="G1022" s="49" t="s">
        <v>3568</v>
      </c>
      <c r="H1022" s="49" t="s">
        <v>3568</v>
      </c>
      <c r="I1022" s="49"/>
      <c r="J1022" s="40">
        <f>COUNTIF(System_configuration!B:B,A1022)</f>
        <v>0</v>
      </c>
    </row>
    <row r="1023" spans="1:10" s="29" customFormat="1" x14ac:dyDescent="0.2">
      <c r="A1023" s="83" t="s">
        <v>470</v>
      </c>
      <c r="B1023" s="39">
        <v>-190</v>
      </c>
      <c r="C1023" s="43" t="s">
        <v>1534</v>
      </c>
      <c r="D1023" s="37" t="s">
        <v>469</v>
      </c>
      <c r="E1023" s="37" t="s">
        <v>872</v>
      </c>
      <c r="F1023" s="39">
        <v>12</v>
      </c>
      <c r="G1023" s="49" t="s">
        <v>3568</v>
      </c>
      <c r="H1023" s="49" t="s">
        <v>3568</v>
      </c>
      <c r="I1023" s="49"/>
      <c r="J1023" s="40">
        <f>COUNTIF(System_configuration!B:B,A1023)</f>
        <v>0</v>
      </c>
    </row>
    <row r="1024" spans="1:10" s="29" customFormat="1" x14ac:dyDescent="0.2">
      <c r="A1024" s="83" t="s">
        <v>479</v>
      </c>
      <c r="B1024" s="39">
        <v>-170</v>
      </c>
      <c r="C1024" s="43" t="s">
        <v>1534</v>
      </c>
      <c r="D1024" s="37" t="s">
        <v>478</v>
      </c>
      <c r="E1024" s="37" t="s">
        <v>879</v>
      </c>
      <c r="F1024" s="39">
        <v>12</v>
      </c>
      <c r="G1024" s="49"/>
      <c r="H1024" s="49"/>
      <c r="I1024" s="49"/>
      <c r="J1024" s="40">
        <f>COUNTIF(System_configuration!B:B,A1024)</f>
        <v>0</v>
      </c>
    </row>
    <row r="1025" spans="1:10" s="29" customFormat="1" x14ac:dyDescent="0.2">
      <c r="A1025" s="83" t="s">
        <v>481</v>
      </c>
      <c r="B1025" s="39">
        <v>-210</v>
      </c>
      <c r="C1025" s="43" t="s">
        <v>1534</v>
      </c>
      <c r="D1025" s="37" t="s">
        <v>480</v>
      </c>
      <c r="E1025" s="37" t="s">
        <v>880</v>
      </c>
      <c r="F1025" s="39">
        <v>12</v>
      </c>
      <c r="G1025" s="49" t="s">
        <v>3568</v>
      </c>
      <c r="H1025" s="49" t="s">
        <v>3568</v>
      </c>
      <c r="I1025" s="49"/>
      <c r="J1025" s="40">
        <f>COUNTIF(System_configuration!B:B,A1025)</f>
        <v>0</v>
      </c>
    </row>
    <row r="1026" spans="1:10" s="29" customFormat="1" ht="25.5" x14ac:dyDescent="0.2">
      <c r="A1026" s="83" t="s">
        <v>483</v>
      </c>
      <c r="B1026" s="39">
        <v>-120</v>
      </c>
      <c r="C1026" s="43" t="s">
        <v>1534</v>
      </c>
      <c r="D1026" s="37" t="s">
        <v>482</v>
      </c>
      <c r="E1026" s="37" t="s">
        <v>882</v>
      </c>
      <c r="F1026" s="39">
        <v>12</v>
      </c>
      <c r="G1026" s="49"/>
      <c r="H1026" s="49"/>
      <c r="I1026" s="49"/>
      <c r="J1026" s="40">
        <f>COUNTIF(System_configuration!B:B,A1026)</f>
        <v>0</v>
      </c>
    </row>
    <row r="1027" spans="1:10" s="29" customFormat="1" x14ac:dyDescent="0.2">
      <c r="A1027" s="83" t="s">
        <v>489</v>
      </c>
      <c r="B1027" s="39">
        <v>-190</v>
      </c>
      <c r="C1027" s="43" t="s">
        <v>1534</v>
      </c>
      <c r="D1027" s="37" t="s">
        <v>1220</v>
      </c>
      <c r="E1027" s="37" t="s">
        <v>888</v>
      </c>
      <c r="F1027" s="39">
        <v>12</v>
      </c>
      <c r="G1027" s="49" t="s">
        <v>3568</v>
      </c>
      <c r="H1027" s="49" t="s">
        <v>3568</v>
      </c>
      <c r="I1027" s="49"/>
      <c r="J1027" s="40">
        <f>COUNTIF(System_configuration!B:B,A1027)</f>
        <v>0</v>
      </c>
    </row>
    <row r="1028" spans="1:10" s="29" customFormat="1" x14ac:dyDescent="0.2">
      <c r="A1028" s="83" t="s">
        <v>494</v>
      </c>
      <c r="B1028" s="39">
        <v>-190</v>
      </c>
      <c r="C1028" s="43" t="s">
        <v>1534</v>
      </c>
      <c r="D1028" s="37" t="s">
        <v>493</v>
      </c>
      <c r="E1028" s="37" t="s">
        <v>891</v>
      </c>
      <c r="F1028" s="39">
        <v>12</v>
      </c>
      <c r="G1028" s="49" t="s">
        <v>3568</v>
      </c>
      <c r="H1028" s="49" t="s">
        <v>3568</v>
      </c>
      <c r="I1028" s="49"/>
      <c r="J1028" s="40">
        <f>COUNTIF(System_configuration!B:B,A1028)</f>
        <v>0</v>
      </c>
    </row>
    <row r="1029" spans="1:10" s="29" customFormat="1" x14ac:dyDescent="0.2">
      <c r="A1029" s="83" t="s">
        <v>499</v>
      </c>
      <c r="B1029" s="39">
        <v>-150</v>
      </c>
      <c r="C1029" s="43" t="s">
        <v>1534</v>
      </c>
      <c r="D1029" s="37" t="s">
        <v>498</v>
      </c>
      <c r="E1029" s="37" t="s">
        <v>893</v>
      </c>
      <c r="F1029" s="39">
        <v>12</v>
      </c>
      <c r="G1029" s="49"/>
      <c r="H1029" s="49"/>
      <c r="I1029" s="49"/>
      <c r="J1029" s="40">
        <f>COUNTIF(System_configuration!B:B,A1029)</f>
        <v>0</v>
      </c>
    </row>
    <row r="1030" spans="1:10" s="29" customFormat="1" x14ac:dyDescent="0.2">
      <c r="A1030" s="83" t="s">
        <v>503</v>
      </c>
      <c r="B1030" s="39">
        <v>-200</v>
      </c>
      <c r="C1030" s="43" t="s">
        <v>1534</v>
      </c>
      <c r="D1030" s="37" t="s">
        <v>502</v>
      </c>
      <c r="E1030" s="37" t="s">
        <v>895</v>
      </c>
      <c r="F1030" s="39">
        <v>12</v>
      </c>
      <c r="G1030" s="49" t="s">
        <v>3568</v>
      </c>
      <c r="H1030" s="49" t="s">
        <v>3568</v>
      </c>
      <c r="I1030" s="49"/>
      <c r="J1030" s="40">
        <f>COUNTIF(System_configuration!B:B,A1030)</f>
        <v>0</v>
      </c>
    </row>
    <row r="1031" spans="1:10" s="29" customFormat="1" x14ac:dyDescent="0.2">
      <c r="A1031" s="83" t="s">
        <v>505</v>
      </c>
      <c r="B1031" s="39">
        <v>-200</v>
      </c>
      <c r="C1031" s="43" t="s">
        <v>1534</v>
      </c>
      <c r="D1031" s="37" t="s">
        <v>504</v>
      </c>
      <c r="E1031" s="37" t="s">
        <v>896</v>
      </c>
      <c r="F1031" s="39">
        <v>12</v>
      </c>
      <c r="G1031" s="49" t="s">
        <v>3568</v>
      </c>
      <c r="H1031" s="49" t="s">
        <v>3568</v>
      </c>
      <c r="I1031" s="49"/>
      <c r="J1031" s="40">
        <f>COUNTIF(System_configuration!B:B,A1031)</f>
        <v>0</v>
      </c>
    </row>
    <row r="1032" spans="1:10" s="29" customFormat="1" x14ac:dyDescent="0.2">
      <c r="A1032" s="83" t="s">
        <v>507</v>
      </c>
      <c r="B1032" s="39">
        <v>-140</v>
      </c>
      <c r="C1032" s="43" t="s">
        <v>1534</v>
      </c>
      <c r="D1032" s="37" t="s">
        <v>506</v>
      </c>
      <c r="E1032" s="37" t="s">
        <v>898</v>
      </c>
      <c r="F1032" s="39">
        <v>12</v>
      </c>
      <c r="G1032" s="49" t="s">
        <v>3568</v>
      </c>
      <c r="H1032" s="49" t="s">
        <v>3568</v>
      </c>
      <c r="I1032" s="49"/>
      <c r="J1032" s="40">
        <f>COUNTIF(System_configuration!B:B,A1032)</f>
        <v>0</v>
      </c>
    </row>
    <row r="1033" spans="1:10" s="29" customFormat="1" x14ac:dyDescent="0.2">
      <c r="A1033" s="83" t="s">
        <v>509</v>
      </c>
      <c r="B1033" s="39">
        <v>-140</v>
      </c>
      <c r="C1033" s="43" t="s">
        <v>1534</v>
      </c>
      <c r="D1033" s="37" t="s">
        <v>508</v>
      </c>
      <c r="E1033" s="37" t="s">
        <v>899</v>
      </c>
      <c r="F1033" s="39">
        <v>12</v>
      </c>
      <c r="G1033" s="49" t="s">
        <v>3568</v>
      </c>
      <c r="H1033" s="49" t="s">
        <v>3568</v>
      </c>
      <c r="I1033" s="49"/>
      <c r="J1033" s="40">
        <f>COUNTIF(System_configuration!B:B,A1033)</f>
        <v>0</v>
      </c>
    </row>
    <row r="1034" spans="1:10" s="29" customFormat="1" x14ac:dyDescent="0.2">
      <c r="A1034" s="83" t="s">
        <v>511</v>
      </c>
      <c r="B1034" s="39">
        <v>-140</v>
      </c>
      <c r="C1034" s="43" t="s">
        <v>1534</v>
      </c>
      <c r="D1034" s="37" t="s">
        <v>510</v>
      </c>
      <c r="E1034" s="37" t="s">
        <v>900</v>
      </c>
      <c r="F1034" s="39">
        <v>12</v>
      </c>
      <c r="G1034" s="49" t="s">
        <v>3568</v>
      </c>
      <c r="H1034" s="49" t="s">
        <v>3568</v>
      </c>
      <c r="I1034" s="49"/>
      <c r="J1034" s="40">
        <f>COUNTIF(System_configuration!B:B,A1034)</f>
        <v>0</v>
      </c>
    </row>
    <row r="1035" spans="1:10" s="29" customFormat="1" x14ac:dyDescent="0.2">
      <c r="A1035" s="83" t="s">
        <v>513</v>
      </c>
      <c r="B1035" s="39">
        <v>-100</v>
      </c>
      <c r="C1035" s="43" t="s">
        <v>1534</v>
      </c>
      <c r="D1035" s="37" t="s">
        <v>512</v>
      </c>
      <c r="E1035" s="37" t="s">
        <v>901</v>
      </c>
      <c r="F1035" s="39">
        <v>12</v>
      </c>
      <c r="G1035" s="49" t="s">
        <v>3568</v>
      </c>
      <c r="H1035" s="49" t="s">
        <v>3568</v>
      </c>
      <c r="I1035" s="49"/>
      <c r="J1035" s="40">
        <f>COUNTIF(System_configuration!B:B,A1035)</f>
        <v>0</v>
      </c>
    </row>
    <row r="1036" spans="1:10" s="29" customFormat="1" x14ac:dyDescent="0.2">
      <c r="A1036" s="83" t="s">
        <v>515</v>
      </c>
      <c r="B1036" s="39">
        <v>-140</v>
      </c>
      <c r="C1036" s="43" t="s">
        <v>1534</v>
      </c>
      <c r="D1036" s="37" t="s">
        <v>514</v>
      </c>
      <c r="E1036" s="37" t="s">
        <v>902</v>
      </c>
      <c r="F1036" s="39">
        <v>12</v>
      </c>
      <c r="G1036" s="49" t="s">
        <v>3568</v>
      </c>
      <c r="H1036" s="49" t="s">
        <v>3568</v>
      </c>
      <c r="I1036" s="49"/>
      <c r="J1036" s="40">
        <f>COUNTIF(System_configuration!B:B,A1036)</f>
        <v>0</v>
      </c>
    </row>
    <row r="1037" spans="1:10" s="29" customFormat="1" x14ac:dyDescent="0.2">
      <c r="A1037" s="83" t="s">
        <v>517</v>
      </c>
      <c r="B1037" s="39">
        <v>-140</v>
      </c>
      <c r="C1037" s="43" t="s">
        <v>1534</v>
      </c>
      <c r="D1037" s="37" t="s">
        <v>516</v>
      </c>
      <c r="E1037" s="37" t="s">
        <v>903</v>
      </c>
      <c r="F1037" s="39">
        <v>12</v>
      </c>
      <c r="G1037" s="49" t="s">
        <v>3568</v>
      </c>
      <c r="H1037" s="49" t="s">
        <v>3568</v>
      </c>
      <c r="I1037" s="49"/>
      <c r="J1037" s="40">
        <f>COUNTIF(System_configuration!B:B,A1037)</f>
        <v>0</v>
      </c>
    </row>
    <row r="1038" spans="1:10" s="29" customFormat="1" x14ac:dyDescent="0.2">
      <c r="A1038" s="83" t="s">
        <v>519</v>
      </c>
      <c r="B1038" s="39">
        <v>-140</v>
      </c>
      <c r="C1038" s="43" t="s">
        <v>1534</v>
      </c>
      <c r="D1038" s="37" t="s">
        <v>518</v>
      </c>
      <c r="E1038" s="37" t="s">
        <v>904</v>
      </c>
      <c r="F1038" s="39">
        <v>12</v>
      </c>
      <c r="G1038" s="49" t="s">
        <v>3568</v>
      </c>
      <c r="H1038" s="49" t="s">
        <v>3568</v>
      </c>
      <c r="I1038" s="49"/>
      <c r="J1038" s="40">
        <f>COUNTIF(System_configuration!B:B,A1038)</f>
        <v>0</v>
      </c>
    </row>
    <row r="1039" spans="1:10" s="29" customFormat="1" x14ac:dyDescent="0.2">
      <c r="A1039" s="83" t="s">
        <v>521</v>
      </c>
      <c r="B1039" s="39">
        <v>-100</v>
      </c>
      <c r="C1039" s="43" t="s">
        <v>1534</v>
      </c>
      <c r="D1039" s="37" t="s">
        <v>520</v>
      </c>
      <c r="E1039" s="37" t="s">
        <v>905</v>
      </c>
      <c r="F1039" s="39">
        <v>12</v>
      </c>
      <c r="G1039" s="49" t="s">
        <v>3568</v>
      </c>
      <c r="H1039" s="49" t="s">
        <v>3568</v>
      </c>
      <c r="I1039" s="49"/>
      <c r="J1039" s="40">
        <f>COUNTIF(System_configuration!B:B,A1039)</f>
        <v>0</v>
      </c>
    </row>
    <row r="1040" spans="1:10" s="29" customFormat="1" x14ac:dyDescent="0.2">
      <c r="A1040" s="83" t="s">
        <v>523</v>
      </c>
      <c r="B1040" s="39">
        <v>-140</v>
      </c>
      <c r="C1040" s="43" t="s">
        <v>1534</v>
      </c>
      <c r="D1040" s="37" t="s">
        <v>522</v>
      </c>
      <c r="E1040" s="37" t="s">
        <v>906</v>
      </c>
      <c r="F1040" s="39">
        <v>12</v>
      </c>
      <c r="G1040" s="49" t="s">
        <v>3568</v>
      </c>
      <c r="H1040" s="49" t="s">
        <v>3568</v>
      </c>
      <c r="I1040" s="49"/>
      <c r="J1040" s="40">
        <f>COUNTIF(System_configuration!B:B,A1040)</f>
        <v>0</v>
      </c>
    </row>
    <row r="1041" spans="1:10" s="29" customFormat="1" x14ac:dyDescent="0.2">
      <c r="A1041" s="83" t="s">
        <v>525</v>
      </c>
      <c r="B1041" s="39">
        <v>-140</v>
      </c>
      <c r="C1041" s="43" t="s">
        <v>1534</v>
      </c>
      <c r="D1041" s="37" t="s">
        <v>524</v>
      </c>
      <c r="E1041" s="37" t="s">
        <v>907</v>
      </c>
      <c r="F1041" s="39">
        <v>12</v>
      </c>
      <c r="G1041" s="49" t="s">
        <v>3568</v>
      </c>
      <c r="H1041" s="49" t="s">
        <v>3568</v>
      </c>
      <c r="I1041" s="49"/>
      <c r="J1041" s="40">
        <f>COUNTIF(System_configuration!B:B,A1041)</f>
        <v>0</v>
      </c>
    </row>
    <row r="1042" spans="1:10" s="29" customFormat="1" x14ac:dyDescent="0.2">
      <c r="A1042" s="83" t="s">
        <v>527</v>
      </c>
      <c r="B1042" s="39">
        <v>-140</v>
      </c>
      <c r="C1042" s="43" t="s">
        <v>1534</v>
      </c>
      <c r="D1042" s="37" t="s">
        <v>526</v>
      </c>
      <c r="E1042" s="37" t="s">
        <v>908</v>
      </c>
      <c r="F1042" s="39">
        <v>12</v>
      </c>
      <c r="G1042" s="49" t="s">
        <v>3568</v>
      </c>
      <c r="H1042" s="49" t="s">
        <v>3568</v>
      </c>
      <c r="I1042" s="49"/>
      <c r="J1042" s="40">
        <f>COUNTIF(System_configuration!B:B,A1042)</f>
        <v>0</v>
      </c>
    </row>
    <row r="1043" spans="1:10" s="29" customFormat="1" x14ac:dyDescent="0.2">
      <c r="A1043" s="83" t="s">
        <v>529</v>
      </c>
      <c r="B1043" s="39">
        <v>-100</v>
      </c>
      <c r="C1043" s="43" t="s">
        <v>1534</v>
      </c>
      <c r="D1043" s="37" t="s">
        <v>528</v>
      </c>
      <c r="E1043" s="37" t="s">
        <v>909</v>
      </c>
      <c r="F1043" s="39">
        <v>12</v>
      </c>
      <c r="G1043" s="49" t="s">
        <v>3568</v>
      </c>
      <c r="H1043" s="49" t="s">
        <v>3568</v>
      </c>
      <c r="I1043" s="49"/>
      <c r="J1043" s="40">
        <f>COUNTIF(System_configuration!B:B,A1043)</f>
        <v>0</v>
      </c>
    </row>
    <row r="1044" spans="1:10" s="29" customFormat="1" x14ac:dyDescent="0.2">
      <c r="A1044" s="83" t="s">
        <v>531</v>
      </c>
      <c r="B1044" s="39">
        <v>-140</v>
      </c>
      <c r="C1044" s="43" t="s">
        <v>1534</v>
      </c>
      <c r="D1044" s="37" t="s">
        <v>530</v>
      </c>
      <c r="E1044" s="37" t="s">
        <v>910</v>
      </c>
      <c r="F1044" s="39">
        <v>12</v>
      </c>
      <c r="G1044" s="49" t="s">
        <v>3568</v>
      </c>
      <c r="H1044" s="49" t="s">
        <v>3568</v>
      </c>
      <c r="I1044" s="49"/>
      <c r="J1044" s="40">
        <f>COUNTIF(System_configuration!B:B,A1044)</f>
        <v>0</v>
      </c>
    </row>
    <row r="1045" spans="1:10" s="29" customFormat="1" x14ac:dyDescent="0.2">
      <c r="A1045" s="83" t="s">
        <v>533</v>
      </c>
      <c r="B1045" s="39">
        <v>-140</v>
      </c>
      <c r="C1045" s="43" t="s">
        <v>1534</v>
      </c>
      <c r="D1045" s="37" t="s">
        <v>532</v>
      </c>
      <c r="E1045" s="37" t="s">
        <v>911</v>
      </c>
      <c r="F1045" s="39">
        <v>12</v>
      </c>
      <c r="G1045" s="49" t="s">
        <v>3568</v>
      </c>
      <c r="H1045" s="49" t="s">
        <v>3568</v>
      </c>
      <c r="I1045" s="49"/>
      <c r="J1045" s="40">
        <f>COUNTIF(System_configuration!B:B,A1045)</f>
        <v>0</v>
      </c>
    </row>
    <row r="1046" spans="1:10" s="29" customFormat="1" x14ac:dyDescent="0.2">
      <c r="A1046" s="83" t="s">
        <v>535</v>
      </c>
      <c r="B1046" s="39">
        <v>-140</v>
      </c>
      <c r="C1046" s="43" t="s">
        <v>1534</v>
      </c>
      <c r="D1046" s="37" t="s">
        <v>534</v>
      </c>
      <c r="E1046" s="37" t="s">
        <v>912</v>
      </c>
      <c r="F1046" s="39">
        <v>12</v>
      </c>
      <c r="G1046" s="49" t="s">
        <v>3568</v>
      </c>
      <c r="H1046" s="49" t="s">
        <v>3568</v>
      </c>
      <c r="I1046" s="49"/>
      <c r="J1046" s="40">
        <f>COUNTIF(System_configuration!B:B,A1046)</f>
        <v>0</v>
      </c>
    </row>
    <row r="1047" spans="1:10" s="29" customFormat="1" x14ac:dyDescent="0.2">
      <c r="A1047" s="83" t="s">
        <v>537</v>
      </c>
      <c r="B1047" s="39">
        <v>-100</v>
      </c>
      <c r="C1047" s="43" t="s">
        <v>1534</v>
      </c>
      <c r="D1047" s="37" t="s">
        <v>536</v>
      </c>
      <c r="E1047" s="37" t="s">
        <v>913</v>
      </c>
      <c r="F1047" s="39">
        <v>12</v>
      </c>
      <c r="G1047" s="49" t="s">
        <v>3568</v>
      </c>
      <c r="H1047" s="49" t="s">
        <v>3568</v>
      </c>
      <c r="I1047" s="49"/>
      <c r="J1047" s="40">
        <f>COUNTIF(System_configuration!B:B,A1047)</f>
        <v>0</v>
      </c>
    </row>
    <row r="1048" spans="1:10" s="29" customFormat="1" x14ac:dyDescent="0.2">
      <c r="A1048" s="83" t="s">
        <v>539</v>
      </c>
      <c r="B1048" s="39">
        <v>-210</v>
      </c>
      <c r="C1048" s="43" t="s">
        <v>1534</v>
      </c>
      <c r="D1048" s="37" t="s">
        <v>538</v>
      </c>
      <c r="E1048" s="37" t="s">
        <v>914</v>
      </c>
      <c r="F1048" s="39">
        <v>12</v>
      </c>
      <c r="G1048" s="49" t="s">
        <v>3568</v>
      </c>
      <c r="H1048" s="49" t="s">
        <v>3568</v>
      </c>
      <c r="I1048" s="49"/>
      <c r="J1048" s="40">
        <f>COUNTIF(System_configuration!B:B,A1048)</f>
        <v>0</v>
      </c>
    </row>
    <row r="1049" spans="1:10" s="29" customFormat="1" x14ac:dyDescent="0.2">
      <c r="A1049" s="83" t="s">
        <v>541</v>
      </c>
      <c r="B1049" s="39">
        <v>-190</v>
      </c>
      <c r="C1049" s="43" t="s">
        <v>1534</v>
      </c>
      <c r="D1049" s="37" t="s">
        <v>540</v>
      </c>
      <c r="E1049" s="37" t="s">
        <v>915</v>
      </c>
      <c r="F1049" s="39">
        <v>12</v>
      </c>
      <c r="G1049" s="49" t="s">
        <v>3568</v>
      </c>
      <c r="H1049" s="49" t="s">
        <v>3568</v>
      </c>
      <c r="I1049" s="49"/>
      <c r="J1049" s="40">
        <f>COUNTIF(System_configuration!B:B,A1049)</f>
        <v>0</v>
      </c>
    </row>
    <row r="1050" spans="1:10" s="29" customFormat="1" x14ac:dyDescent="0.2">
      <c r="A1050" s="83" t="s">
        <v>543</v>
      </c>
      <c r="B1050" s="39">
        <v>-160</v>
      </c>
      <c r="C1050" s="43" t="s">
        <v>1534</v>
      </c>
      <c r="D1050" s="37" t="s">
        <v>542</v>
      </c>
      <c r="E1050" s="37" t="s">
        <v>916</v>
      </c>
      <c r="F1050" s="39">
        <v>12</v>
      </c>
      <c r="G1050" s="49" t="s">
        <v>3568</v>
      </c>
      <c r="H1050" s="49" t="s">
        <v>3568</v>
      </c>
      <c r="I1050" s="49"/>
      <c r="J1050" s="40">
        <f>COUNTIF(System_configuration!B:B,A1050)</f>
        <v>0</v>
      </c>
    </row>
    <row r="1051" spans="1:10" s="29" customFormat="1" x14ac:dyDescent="0.2">
      <c r="A1051" s="83" t="s">
        <v>546</v>
      </c>
      <c r="B1051" s="39">
        <v>-160</v>
      </c>
      <c r="C1051" s="43" t="s">
        <v>1534</v>
      </c>
      <c r="D1051" s="37" t="s">
        <v>545</v>
      </c>
      <c r="E1051" s="37" t="s">
        <v>918</v>
      </c>
      <c r="F1051" s="39">
        <v>12</v>
      </c>
      <c r="G1051" s="49" t="s">
        <v>3568</v>
      </c>
      <c r="H1051" s="49" t="s">
        <v>3568</v>
      </c>
      <c r="I1051" s="49"/>
      <c r="J1051" s="40">
        <f>COUNTIF(System_configuration!B:B,A1051)</f>
        <v>0</v>
      </c>
    </row>
    <row r="1052" spans="1:10" s="29" customFormat="1" x14ac:dyDescent="0.2">
      <c r="A1052" s="83" t="s">
        <v>548</v>
      </c>
      <c r="B1052" s="39">
        <v>-160</v>
      </c>
      <c r="C1052" s="43" t="s">
        <v>1534</v>
      </c>
      <c r="D1052" s="37" t="s">
        <v>547</v>
      </c>
      <c r="E1052" s="37" t="s">
        <v>919</v>
      </c>
      <c r="F1052" s="39">
        <v>12</v>
      </c>
      <c r="G1052" s="49" t="s">
        <v>3568</v>
      </c>
      <c r="H1052" s="49" t="s">
        <v>3568</v>
      </c>
      <c r="I1052" s="49"/>
      <c r="J1052" s="40">
        <f>COUNTIF(System_configuration!B:B,A1052)</f>
        <v>0</v>
      </c>
    </row>
    <row r="1053" spans="1:10" s="29" customFormat="1" x14ac:dyDescent="0.2">
      <c r="A1053" s="83" t="s">
        <v>550</v>
      </c>
      <c r="B1053" s="39">
        <v>-190</v>
      </c>
      <c r="C1053" s="43" t="s">
        <v>1534</v>
      </c>
      <c r="D1053" s="37" t="s">
        <v>549</v>
      </c>
      <c r="E1053" s="37" t="s">
        <v>920</v>
      </c>
      <c r="F1053" s="39">
        <v>12</v>
      </c>
      <c r="G1053" s="49" t="s">
        <v>3568</v>
      </c>
      <c r="H1053" s="49" t="s">
        <v>3568</v>
      </c>
      <c r="I1053" s="49"/>
      <c r="J1053" s="40">
        <f>COUNTIF(System_configuration!B:B,A1053)</f>
        <v>0</v>
      </c>
    </row>
    <row r="1054" spans="1:10" s="29" customFormat="1" x14ac:dyDescent="0.2">
      <c r="A1054" s="83" t="s">
        <v>552</v>
      </c>
      <c r="B1054" s="39">
        <v>-210</v>
      </c>
      <c r="C1054" s="43" t="s">
        <v>1534</v>
      </c>
      <c r="D1054" s="37" t="s">
        <v>551</v>
      </c>
      <c r="E1054" s="37" t="s">
        <v>921</v>
      </c>
      <c r="F1054" s="39">
        <v>12</v>
      </c>
      <c r="G1054" s="49" t="s">
        <v>3568</v>
      </c>
      <c r="H1054" s="49" t="s">
        <v>3568</v>
      </c>
      <c r="I1054" s="49"/>
      <c r="J1054" s="40">
        <f>COUNTIF(System_configuration!B:B,A1054)</f>
        <v>0</v>
      </c>
    </row>
    <row r="1055" spans="1:10" s="29" customFormat="1" x14ac:dyDescent="0.2">
      <c r="A1055" s="83" t="s">
        <v>554</v>
      </c>
      <c r="B1055" s="39">
        <v>-265</v>
      </c>
      <c r="C1055" s="43" t="s">
        <v>1534</v>
      </c>
      <c r="D1055" s="37" t="s">
        <v>553</v>
      </c>
      <c r="E1055" s="37" t="s">
        <v>922</v>
      </c>
      <c r="F1055" s="39">
        <v>12</v>
      </c>
      <c r="G1055" s="49" t="s">
        <v>3568</v>
      </c>
      <c r="H1055" s="49" t="s">
        <v>3568</v>
      </c>
      <c r="I1055" s="49"/>
      <c r="J1055" s="40">
        <f>COUNTIF(System_configuration!B:B,A1055)</f>
        <v>0</v>
      </c>
    </row>
    <row r="1056" spans="1:10" s="29" customFormat="1" x14ac:dyDescent="0.2">
      <c r="A1056" s="83" t="s">
        <v>556</v>
      </c>
      <c r="B1056" s="39">
        <v>-100</v>
      </c>
      <c r="C1056" s="43" t="s">
        <v>1534</v>
      </c>
      <c r="D1056" s="37" t="s">
        <v>555</v>
      </c>
      <c r="E1056" s="37" t="s">
        <v>923</v>
      </c>
      <c r="F1056" s="39">
        <v>12</v>
      </c>
      <c r="G1056" s="49" t="s">
        <v>3568</v>
      </c>
      <c r="H1056" s="49" t="s">
        <v>3568</v>
      </c>
      <c r="I1056" s="49"/>
      <c r="J1056" s="40">
        <f>COUNTIF(System_configuration!B:B,A1056)</f>
        <v>0</v>
      </c>
    </row>
    <row r="1057" spans="1:10" s="29" customFormat="1" x14ac:dyDescent="0.2">
      <c r="A1057" s="83" t="s">
        <v>558</v>
      </c>
      <c r="B1057" s="39">
        <v>-180</v>
      </c>
      <c r="C1057" s="43" t="s">
        <v>1534</v>
      </c>
      <c r="D1057" s="37" t="s">
        <v>557</v>
      </c>
      <c r="E1057" s="37" t="s">
        <v>924</v>
      </c>
      <c r="F1057" s="39">
        <v>12</v>
      </c>
      <c r="G1057" s="49" t="s">
        <v>3568</v>
      </c>
      <c r="H1057" s="49" t="s">
        <v>3568</v>
      </c>
      <c r="I1057" s="49"/>
      <c r="J1057" s="40">
        <f>COUNTIF(System_configuration!B:B,A1057)</f>
        <v>0</v>
      </c>
    </row>
    <row r="1058" spans="1:10" s="29" customFormat="1" x14ac:dyDescent="0.2">
      <c r="A1058" s="83" t="s">
        <v>560</v>
      </c>
      <c r="B1058" s="39">
        <v>-120</v>
      </c>
      <c r="C1058" s="43" t="s">
        <v>1534</v>
      </c>
      <c r="D1058" s="37" t="s">
        <v>559</v>
      </c>
      <c r="E1058" s="37" t="s">
        <v>925</v>
      </c>
      <c r="F1058" s="39">
        <v>12</v>
      </c>
      <c r="G1058" s="49" t="s">
        <v>3568</v>
      </c>
      <c r="H1058" s="49" t="s">
        <v>3568</v>
      </c>
      <c r="I1058" s="49"/>
      <c r="J1058" s="40">
        <f>COUNTIF(System_configuration!B:B,A1058)</f>
        <v>0</v>
      </c>
    </row>
    <row r="1059" spans="1:10" s="29" customFormat="1" x14ac:dyDescent="0.2">
      <c r="A1059" s="83" t="s">
        <v>565</v>
      </c>
      <c r="B1059" s="39">
        <v>-130</v>
      </c>
      <c r="C1059" s="43" t="s">
        <v>1534</v>
      </c>
      <c r="D1059" s="37" t="s">
        <v>564</v>
      </c>
      <c r="E1059" s="37" t="s">
        <v>927</v>
      </c>
      <c r="F1059" s="39">
        <v>12</v>
      </c>
      <c r="G1059" s="49" t="s">
        <v>3568</v>
      </c>
      <c r="H1059" s="49" t="s">
        <v>3568</v>
      </c>
      <c r="I1059" s="49"/>
      <c r="J1059" s="40">
        <f>COUNTIF(System_configuration!B:B,A1059)</f>
        <v>0</v>
      </c>
    </row>
    <row r="1060" spans="1:10" s="29" customFormat="1" x14ac:dyDescent="0.2">
      <c r="A1060" s="83" t="s">
        <v>568</v>
      </c>
      <c r="B1060" s="39">
        <v>-120</v>
      </c>
      <c r="C1060" s="43" t="s">
        <v>1534</v>
      </c>
      <c r="D1060" s="37" t="s">
        <v>567</v>
      </c>
      <c r="E1060" s="37" t="s">
        <v>928</v>
      </c>
      <c r="F1060" s="39">
        <v>12</v>
      </c>
      <c r="G1060" s="49" t="s">
        <v>3568</v>
      </c>
      <c r="H1060" s="49" t="s">
        <v>3568</v>
      </c>
      <c r="I1060" s="49"/>
      <c r="J1060" s="40">
        <f>COUNTIF(System_configuration!B:B,A1060)</f>
        <v>0</v>
      </c>
    </row>
    <row r="1061" spans="1:10" s="29" customFormat="1" x14ac:dyDescent="0.2">
      <c r="A1061" s="83" t="s">
        <v>570</v>
      </c>
      <c r="B1061" s="39">
        <v>-130</v>
      </c>
      <c r="C1061" s="43" t="s">
        <v>1534</v>
      </c>
      <c r="D1061" s="37" t="s">
        <v>569</v>
      </c>
      <c r="E1061" s="37" t="s">
        <v>930</v>
      </c>
      <c r="F1061" s="39">
        <v>24</v>
      </c>
      <c r="G1061" s="49" t="s">
        <v>3568</v>
      </c>
      <c r="H1061" s="49" t="s">
        <v>3568</v>
      </c>
      <c r="I1061" s="49"/>
      <c r="J1061" s="40">
        <f>COUNTIF(System_configuration!B:B,A1061)</f>
        <v>0</v>
      </c>
    </row>
    <row r="1062" spans="1:10" s="29" customFormat="1" x14ac:dyDescent="0.2">
      <c r="A1062" s="83" t="s">
        <v>573</v>
      </c>
      <c r="B1062" s="39">
        <v>-130</v>
      </c>
      <c r="C1062" s="43" t="s">
        <v>1534</v>
      </c>
      <c r="D1062" s="37" t="s">
        <v>572</v>
      </c>
      <c r="E1062" s="37" t="s">
        <v>932</v>
      </c>
      <c r="F1062" s="39">
        <v>12</v>
      </c>
      <c r="G1062" s="49" t="s">
        <v>3568</v>
      </c>
      <c r="H1062" s="49" t="s">
        <v>3568</v>
      </c>
      <c r="I1062" s="49"/>
      <c r="J1062" s="40">
        <f>COUNTIF(System_configuration!B:B,A1062)</f>
        <v>0</v>
      </c>
    </row>
    <row r="1063" spans="1:10" s="29" customFormat="1" x14ac:dyDescent="0.2">
      <c r="A1063" s="83" t="s">
        <v>576</v>
      </c>
      <c r="B1063" s="39">
        <v>-130</v>
      </c>
      <c r="C1063" s="43" t="s">
        <v>1534</v>
      </c>
      <c r="D1063" s="37" t="s">
        <v>575</v>
      </c>
      <c r="E1063" s="37" t="s">
        <v>933</v>
      </c>
      <c r="F1063" s="39">
        <v>12</v>
      </c>
      <c r="G1063" s="49" t="s">
        <v>3568</v>
      </c>
      <c r="H1063" s="49" t="s">
        <v>3568</v>
      </c>
      <c r="I1063" s="49"/>
      <c r="J1063" s="40">
        <f>COUNTIF(System_configuration!B:B,A1063)</f>
        <v>0</v>
      </c>
    </row>
    <row r="1064" spans="1:10" s="29" customFormat="1" x14ac:dyDescent="0.2">
      <c r="A1064" s="83" t="s">
        <v>577</v>
      </c>
      <c r="B1064" s="39">
        <v>-120</v>
      </c>
      <c r="C1064" s="43" t="s">
        <v>1534</v>
      </c>
      <c r="D1064" s="37" t="s">
        <v>148</v>
      </c>
      <c r="E1064" s="37" t="s">
        <v>934</v>
      </c>
      <c r="F1064" s="39">
        <v>12</v>
      </c>
      <c r="G1064" s="49" t="s">
        <v>3568</v>
      </c>
      <c r="H1064" s="49" t="s">
        <v>3568</v>
      </c>
      <c r="I1064" s="49"/>
      <c r="J1064" s="40">
        <f>COUNTIF(System_configuration!B:B,A1064)</f>
        <v>0</v>
      </c>
    </row>
    <row r="1065" spans="1:10" s="29" customFormat="1" x14ac:dyDescent="0.2">
      <c r="A1065" s="83" t="s">
        <v>580</v>
      </c>
      <c r="B1065" s="39">
        <v>-170</v>
      </c>
      <c r="C1065" s="43" t="s">
        <v>1534</v>
      </c>
      <c r="D1065" s="37" t="s">
        <v>150</v>
      </c>
      <c r="E1065" s="37" t="s">
        <v>936</v>
      </c>
      <c r="F1065" s="39">
        <v>12</v>
      </c>
      <c r="G1065" s="49" t="s">
        <v>3568</v>
      </c>
      <c r="H1065" s="49" t="s">
        <v>3568</v>
      </c>
      <c r="I1065" s="49"/>
      <c r="J1065" s="40">
        <f>COUNTIF(System_configuration!B:B,A1065)</f>
        <v>0</v>
      </c>
    </row>
    <row r="1066" spans="1:10" s="29" customFormat="1" x14ac:dyDescent="0.2">
      <c r="A1066" s="83" t="s">
        <v>585</v>
      </c>
      <c r="B1066" s="39">
        <v>-180</v>
      </c>
      <c r="C1066" s="43" t="s">
        <v>1534</v>
      </c>
      <c r="D1066" s="37" t="s">
        <v>152</v>
      </c>
      <c r="E1066" s="37" t="s">
        <v>940</v>
      </c>
      <c r="F1066" s="39">
        <v>12</v>
      </c>
      <c r="G1066" s="49"/>
      <c r="H1066" s="49"/>
      <c r="I1066" s="49"/>
      <c r="J1066" s="40">
        <f>COUNTIF(System_configuration!B:B,A1066)</f>
        <v>0</v>
      </c>
    </row>
    <row r="1067" spans="1:10" s="29" customFormat="1" x14ac:dyDescent="0.2">
      <c r="A1067" s="83" t="s">
        <v>600</v>
      </c>
      <c r="B1067" s="39">
        <v>-120</v>
      </c>
      <c r="C1067" s="43" t="s">
        <v>1534</v>
      </c>
      <c r="D1067" s="37" t="s">
        <v>599</v>
      </c>
      <c r="E1067" s="37" t="s">
        <v>1559</v>
      </c>
      <c r="F1067" s="39">
        <v>12</v>
      </c>
      <c r="G1067" s="49" t="s">
        <v>3568</v>
      </c>
      <c r="H1067" s="49" t="s">
        <v>3568</v>
      </c>
      <c r="I1067" s="49"/>
      <c r="J1067" s="40">
        <f>COUNTIF(System_configuration!B:B,A1067)</f>
        <v>0</v>
      </c>
    </row>
    <row r="1068" spans="1:10" s="29" customFormat="1" ht="38.25" x14ac:dyDescent="0.2">
      <c r="A1068" s="83" t="s">
        <v>602</v>
      </c>
      <c r="B1068" s="39">
        <v>-140</v>
      </c>
      <c r="C1068" s="43" t="s">
        <v>1534</v>
      </c>
      <c r="D1068" s="37" t="s">
        <v>601</v>
      </c>
      <c r="E1068" s="37" t="s">
        <v>1560</v>
      </c>
      <c r="F1068" s="39">
        <v>24</v>
      </c>
      <c r="G1068" s="49" t="s">
        <v>3568</v>
      </c>
      <c r="H1068" s="49" t="s">
        <v>3568</v>
      </c>
      <c r="I1068" s="49"/>
      <c r="J1068" s="40">
        <f>COUNTIF(System_configuration!B:B,A1068)</f>
        <v>0</v>
      </c>
    </row>
    <row r="1069" spans="1:10" s="29" customFormat="1" x14ac:dyDescent="0.2">
      <c r="A1069" s="83" t="s">
        <v>603</v>
      </c>
      <c r="B1069" s="39">
        <v>-140</v>
      </c>
      <c r="C1069" s="43" t="s">
        <v>1534</v>
      </c>
      <c r="D1069" s="37" t="s">
        <v>175</v>
      </c>
      <c r="E1069" s="37" t="s">
        <v>959</v>
      </c>
      <c r="F1069" s="39">
        <v>12</v>
      </c>
      <c r="G1069" s="49" t="s">
        <v>3568</v>
      </c>
      <c r="H1069" s="49" t="s">
        <v>3568</v>
      </c>
      <c r="I1069" s="49"/>
      <c r="J1069" s="40">
        <f>COUNTIF(System_configuration!B:B,A1069)</f>
        <v>0</v>
      </c>
    </row>
    <row r="1070" spans="1:10" s="29" customFormat="1" x14ac:dyDescent="0.2">
      <c r="A1070" s="83" t="s">
        <v>604</v>
      </c>
      <c r="B1070" s="39">
        <v>-140</v>
      </c>
      <c r="C1070" s="43" t="s">
        <v>1534</v>
      </c>
      <c r="D1070" s="37" t="s">
        <v>177</v>
      </c>
      <c r="E1070" s="37" t="s">
        <v>960</v>
      </c>
      <c r="F1070" s="39">
        <v>24</v>
      </c>
      <c r="G1070" s="49" t="s">
        <v>3568</v>
      </c>
      <c r="H1070" s="49" t="s">
        <v>3568</v>
      </c>
      <c r="I1070" s="49"/>
      <c r="J1070" s="40">
        <f>COUNTIF(System_configuration!B:B,A1070)</f>
        <v>0</v>
      </c>
    </row>
    <row r="1071" spans="1:10" s="29" customFormat="1" x14ac:dyDescent="0.2">
      <c r="A1071" s="83" t="s">
        <v>607</v>
      </c>
      <c r="B1071" s="39">
        <v>0</v>
      </c>
      <c r="C1071" s="43" t="s">
        <v>1534</v>
      </c>
      <c r="D1071" s="37" t="s">
        <v>205</v>
      </c>
      <c r="E1071" s="37" t="s">
        <v>964</v>
      </c>
      <c r="F1071" s="39">
        <v>12</v>
      </c>
      <c r="G1071" s="49" t="s">
        <v>3567</v>
      </c>
      <c r="H1071" s="49" t="s">
        <v>3567</v>
      </c>
      <c r="I1071" s="49" t="s">
        <v>3567</v>
      </c>
      <c r="J1071" s="40">
        <f>COUNTIF(System_configuration!B:B,A1071)</f>
        <v>0</v>
      </c>
    </row>
    <row r="1072" spans="1:10" s="29" customFormat="1" x14ac:dyDescent="0.2">
      <c r="A1072" s="83" t="s">
        <v>608</v>
      </c>
      <c r="B1072" s="39">
        <v>-90</v>
      </c>
      <c r="C1072" s="43" t="s">
        <v>1534</v>
      </c>
      <c r="D1072" s="37" t="s">
        <v>184</v>
      </c>
      <c r="E1072" s="37" t="s">
        <v>965</v>
      </c>
      <c r="F1072" s="39">
        <v>12</v>
      </c>
      <c r="G1072" s="49" t="s">
        <v>3567</v>
      </c>
      <c r="H1072" s="49" t="s">
        <v>3567</v>
      </c>
      <c r="I1072" s="49" t="s">
        <v>3567</v>
      </c>
      <c r="J1072" s="40">
        <f>COUNTIF(System_configuration!B:B,A1072)</f>
        <v>0</v>
      </c>
    </row>
    <row r="1073" spans="1:10" s="29" customFormat="1" x14ac:dyDescent="0.2">
      <c r="A1073" s="83" t="s">
        <v>609</v>
      </c>
      <c r="B1073" s="39">
        <v>0</v>
      </c>
      <c r="C1073" s="43" t="s">
        <v>1534</v>
      </c>
      <c r="D1073" s="37" t="s">
        <v>182</v>
      </c>
      <c r="E1073" s="37" t="s">
        <v>966</v>
      </c>
      <c r="F1073" s="39">
        <v>12</v>
      </c>
      <c r="G1073" s="49" t="s">
        <v>3567</v>
      </c>
      <c r="H1073" s="49" t="s">
        <v>3567</v>
      </c>
      <c r="I1073" s="49" t="s">
        <v>3567</v>
      </c>
      <c r="J1073" s="40">
        <f>COUNTIF(System_configuration!B:B,A1073)</f>
        <v>0</v>
      </c>
    </row>
    <row r="1074" spans="1:10" s="29" customFormat="1" x14ac:dyDescent="0.2">
      <c r="A1074" s="83" t="s">
        <v>610</v>
      </c>
      <c r="B1074" s="39">
        <v>-90</v>
      </c>
      <c r="C1074" s="43" t="s">
        <v>1534</v>
      </c>
      <c r="D1074" s="37" t="s">
        <v>183</v>
      </c>
      <c r="E1074" s="37" t="s">
        <v>967</v>
      </c>
      <c r="F1074" s="39">
        <v>12</v>
      </c>
      <c r="G1074" s="49" t="s">
        <v>3567</v>
      </c>
      <c r="H1074" s="49" t="s">
        <v>3567</v>
      </c>
      <c r="I1074" s="49" t="s">
        <v>3567</v>
      </c>
      <c r="J1074" s="40">
        <f>COUNTIF(System_configuration!B:B,A1074)</f>
        <v>0</v>
      </c>
    </row>
    <row r="1075" spans="1:10" s="29" customFormat="1" x14ac:dyDescent="0.2">
      <c r="A1075" s="83" t="s">
        <v>611</v>
      </c>
      <c r="B1075" s="39">
        <v>0</v>
      </c>
      <c r="C1075" s="43" t="s">
        <v>1534</v>
      </c>
      <c r="D1075" s="37" t="s">
        <v>198</v>
      </c>
      <c r="E1075" s="37" t="s">
        <v>968</v>
      </c>
      <c r="F1075" s="39">
        <v>12</v>
      </c>
      <c r="G1075" s="49" t="s">
        <v>3568</v>
      </c>
      <c r="H1075" s="49" t="s">
        <v>3568</v>
      </c>
      <c r="I1075" s="49" t="s">
        <v>3568</v>
      </c>
      <c r="J1075" s="40">
        <f>COUNTIF(System_configuration!B:B,A1075)</f>
        <v>0</v>
      </c>
    </row>
    <row r="1076" spans="1:10" s="29" customFormat="1" x14ac:dyDescent="0.2">
      <c r="A1076" s="83" t="s">
        <v>614</v>
      </c>
      <c r="B1076" s="39">
        <v>0</v>
      </c>
      <c r="C1076" s="43" t="s">
        <v>1534</v>
      </c>
      <c r="D1076" s="37" t="s">
        <v>199</v>
      </c>
      <c r="E1076" s="37" t="s">
        <v>970</v>
      </c>
      <c r="F1076" s="39">
        <v>12</v>
      </c>
      <c r="G1076" s="49" t="s">
        <v>3568</v>
      </c>
      <c r="H1076" s="49" t="s">
        <v>3568</v>
      </c>
      <c r="I1076" s="49"/>
      <c r="J1076" s="40">
        <f>COUNTIF(System_configuration!B:B,A1076)</f>
        <v>0</v>
      </c>
    </row>
    <row r="1077" spans="1:10" s="29" customFormat="1" x14ac:dyDescent="0.2">
      <c r="A1077" s="83" t="s">
        <v>615</v>
      </c>
      <c r="B1077" s="39">
        <v>0</v>
      </c>
      <c r="C1077" s="43" t="s">
        <v>1534</v>
      </c>
      <c r="D1077" s="37" t="s">
        <v>203</v>
      </c>
      <c r="E1077" s="37" t="s">
        <v>971</v>
      </c>
      <c r="F1077" s="39">
        <v>12</v>
      </c>
      <c r="G1077" s="49" t="s">
        <v>3568</v>
      </c>
      <c r="H1077" s="49" t="s">
        <v>3568</v>
      </c>
      <c r="I1077" s="49"/>
      <c r="J1077" s="40">
        <f>COUNTIF(System_configuration!B:B,A1077)</f>
        <v>0</v>
      </c>
    </row>
    <row r="1078" spans="1:10" s="29" customFormat="1" x14ac:dyDescent="0.2">
      <c r="A1078" s="83" t="s">
        <v>616</v>
      </c>
      <c r="B1078" s="39">
        <v>0</v>
      </c>
      <c r="C1078" s="43" t="s">
        <v>1534</v>
      </c>
      <c r="D1078" s="37" t="s">
        <v>204</v>
      </c>
      <c r="E1078" s="37" t="s">
        <v>972</v>
      </c>
      <c r="F1078" s="39">
        <v>12</v>
      </c>
      <c r="G1078" s="49" t="s">
        <v>3568</v>
      </c>
      <c r="H1078" s="49" t="s">
        <v>3568</v>
      </c>
      <c r="I1078" s="49"/>
      <c r="J1078" s="40">
        <f>COUNTIF(System_configuration!B:B,A1078)</f>
        <v>0</v>
      </c>
    </row>
    <row r="1079" spans="1:10" s="29" customFormat="1" x14ac:dyDescent="0.2">
      <c r="A1079" s="83" t="s">
        <v>622</v>
      </c>
      <c r="B1079" s="39">
        <v>0</v>
      </c>
      <c r="C1079" s="43" t="s">
        <v>1534</v>
      </c>
      <c r="D1079" s="37" t="s">
        <v>621</v>
      </c>
      <c r="E1079" s="37" t="s">
        <v>975</v>
      </c>
      <c r="F1079" s="39">
        <v>12</v>
      </c>
      <c r="G1079" s="49" t="s">
        <v>3567</v>
      </c>
      <c r="H1079" s="49" t="s">
        <v>3567</v>
      </c>
      <c r="I1079" s="49" t="s">
        <v>3567</v>
      </c>
      <c r="J1079" s="40">
        <f>COUNTIF(System_configuration!B:B,A1079)</f>
        <v>0</v>
      </c>
    </row>
    <row r="1080" spans="1:10" s="29" customFormat="1" x14ac:dyDescent="0.2">
      <c r="A1080" s="83" t="s">
        <v>623</v>
      </c>
      <c r="B1080" s="39">
        <v>0</v>
      </c>
      <c r="C1080" s="43" t="s">
        <v>1534</v>
      </c>
      <c r="D1080" s="37" t="s">
        <v>200</v>
      </c>
      <c r="E1080" s="37" t="s">
        <v>976</v>
      </c>
      <c r="F1080" s="39">
        <v>12</v>
      </c>
      <c r="G1080" s="49" t="s">
        <v>3568</v>
      </c>
      <c r="H1080" s="49" t="s">
        <v>3568</v>
      </c>
      <c r="I1080" s="49"/>
      <c r="J1080" s="40">
        <f>COUNTIF(System_configuration!B:B,A1080)</f>
        <v>0</v>
      </c>
    </row>
    <row r="1081" spans="1:10" s="29" customFormat="1" x14ac:dyDescent="0.2">
      <c r="A1081" s="83" t="s">
        <v>625</v>
      </c>
      <c r="B1081" s="39">
        <v>2000</v>
      </c>
      <c r="C1081" s="43" t="s">
        <v>1534</v>
      </c>
      <c r="D1081" s="37" t="s">
        <v>624</v>
      </c>
      <c r="E1081" s="37" t="s">
        <v>982</v>
      </c>
      <c r="F1081" s="39">
        <v>12</v>
      </c>
      <c r="G1081" s="49" t="s">
        <v>3567</v>
      </c>
      <c r="H1081" s="49" t="s">
        <v>3567</v>
      </c>
      <c r="I1081" s="49" t="s">
        <v>3567</v>
      </c>
      <c r="J1081" s="40">
        <f>COUNTIF(System_configuration!B:B,A1081)</f>
        <v>0</v>
      </c>
    </row>
    <row r="1082" spans="1:10" s="29" customFormat="1" x14ac:dyDescent="0.2">
      <c r="A1082" s="83" t="s">
        <v>627</v>
      </c>
      <c r="B1082" s="39">
        <v>2000</v>
      </c>
      <c r="C1082" s="43" t="s">
        <v>1534</v>
      </c>
      <c r="D1082" s="37" t="s">
        <v>626</v>
      </c>
      <c r="E1082" s="37" t="s">
        <v>983</v>
      </c>
      <c r="F1082" s="39">
        <v>12</v>
      </c>
      <c r="G1082" s="49" t="s">
        <v>3567</v>
      </c>
      <c r="H1082" s="49" t="s">
        <v>3567</v>
      </c>
      <c r="I1082" s="49" t="s">
        <v>3567</v>
      </c>
      <c r="J1082" s="40">
        <f>COUNTIF(System_configuration!B:B,A1082)</f>
        <v>0</v>
      </c>
    </row>
    <row r="1083" spans="1:10" s="29" customFormat="1" x14ac:dyDescent="0.2">
      <c r="A1083" s="83" t="s">
        <v>629</v>
      </c>
      <c r="B1083" s="39">
        <v>-90</v>
      </c>
      <c r="C1083" s="43" t="s">
        <v>1534</v>
      </c>
      <c r="D1083" s="37" t="s">
        <v>628</v>
      </c>
      <c r="E1083" s="37" t="s">
        <v>984</v>
      </c>
      <c r="F1083" s="39">
        <v>12</v>
      </c>
      <c r="G1083" s="49" t="s">
        <v>3567</v>
      </c>
      <c r="H1083" s="49" t="s">
        <v>3567</v>
      </c>
      <c r="I1083" s="49" t="s">
        <v>3567</v>
      </c>
      <c r="J1083" s="40">
        <f>COUNTIF(System_configuration!B:B,A1083)</f>
        <v>0</v>
      </c>
    </row>
    <row r="1084" spans="1:10" s="29" customFormat="1" x14ac:dyDescent="0.2">
      <c r="A1084" s="83" t="s">
        <v>631</v>
      </c>
      <c r="B1084" s="39">
        <v>-90</v>
      </c>
      <c r="C1084" s="43" t="s">
        <v>1534</v>
      </c>
      <c r="D1084" s="37" t="s">
        <v>630</v>
      </c>
      <c r="E1084" s="37" t="s">
        <v>985</v>
      </c>
      <c r="F1084" s="39">
        <v>12</v>
      </c>
      <c r="G1084" s="49" t="s">
        <v>3567</v>
      </c>
      <c r="H1084" s="49" t="s">
        <v>3567</v>
      </c>
      <c r="I1084" s="49" t="s">
        <v>3567</v>
      </c>
      <c r="J1084" s="40">
        <f>COUNTIF(System_configuration!B:B,A1084)</f>
        <v>0</v>
      </c>
    </row>
    <row r="1085" spans="1:10" s="29" customFormat="1" x14ac:dyDescent="0.2">
      <c r="A1085" s="83" t="s">
        <v>633</v>
      </c>
      <c r="B1085" s="39">
        <v>-90</v>
      </c>
      <c r="C1085" s="43" t="s">
        <v>1534</v>
      </c>
      <c r="D1085" s="37" t="s">
        <v>632</v>
      </c>
      <c r="E1085" s="37" t="s">
        <v>986</v>
      </c>
      <c r="F1085" s="39">
        <v>12</v>
      </c>
      <c r="G1085" s="49" t="s">
        <v>3567</v>
      </c>
      <c r="H1085" s="49" t="s">
        <v>3567</v>
      </c>
      <c r="I1085" s="49" t="s">
        <v>3567</v>
      </c>
      <c r="J1085" s="40">
        <f>COUNTIF(System_configuration!B:B,A1085)</f>
        <v>0</v>
      </c>
    </row>
    <row r="1086" spans="1:10" s="29" customFormat="1" x14ac:dyDescent="0.2">
      <c r="A1086" s="83" t="s">
        <v>635</v>
      </c>
      <c r="B1086" s="39">
        <v>-90</v>
      </c>
      <c r="C1086" s="43" t="s">
        <v>1534</v>
      </c>
      <c r="D1086" s="37" t="s">
        <v>634</v>
      </c>
      <c r="E1086" s="37" t="s">
        <v>987</v>
      </c>
      <c r="F1086" s="39">
        <v>12</v>
      </c>
      <c r="G1086" s="49" t="s">
        <v>3567</v>
      </c>
      <c r="H1086" s="49" t="s">
        <v>3567</v>
      </c>
      <c r="I1086" s="49" t="s">
        <v>3567</v>
      </c>
      <c r="J1086" s="40">
        <f>COUNTIF(System_configuration!B:B,A1086)</f>
        <v>0</v>
      </c>
    </row>
    <row r="1087" spans="1:10" s="29" customFormat="1" x14ac:dyDescent="0.2">
      <c r="A1087" s="83" t="s">
        <v>637</v>
      </c>
      <c r="B1087" s="39">
        <v>-90</v>
      </c>
      <c r="C1087" s="43" t="s">
        <v>1534</v>
      </c>
      <c r="D1087" s="37" t="s">
        <v>636</v>
      </c>
      <c r="E1087" s="37" t="s">
        <v>988</v>
      </c>
      <c r="F1087" s="39">
        <v>12</v>
      </c>
      <c r="G1087" s="49" t="s">
        <v>3567</v>
      </c>
      <c r="H1087" s="49" t="s">
        <v>3567</v>
      </c>
      <c r="I1087" s="49" t="s">
        <v>3567</v>
      </c>
      <c r="J1087" s="40">
        <f>COUNTIF(System_configuration!B:B,A1087)</f>
        <v>0</v>
      </c>
    </row>
    <row r="1088" spans="1:10" s="29" customFormat="1" x14ac:dyDescent="0.2">
      <c r="A1088" s="83" t="s">
        <v>638</v>
      </c>
      <c r="B1088" s="39">
        <v>-100</v>
      </c>
      <c r="C1088" s="43" t="s">
        <v>1534</v>
      </c>
      <c r="D1088" s="37" t="s">
        <v>207</v>
      </c>
      <c r="E1088" s="37" t="s">
        <v>989</v>
      </c>
      <c r="F1088" s="39">
        <v>12</v>
      </c>
      <c r="G1088" s="49" t="s">
        <v>3567</v>
      </c>
      <c r="H1088" s="49" t="s">
        <v>3567</v>
      </c>
      <c r="I1088" s="49"/>
      <c r="J1088" s="40">
        <f>COUNTIF(System_configuration!B:B,A1088)</f>
        <v>0</v>
      </c>
    </row>
    <row r="1089" spans="1:13" s="29" customFormat="1" x14ac:dyDescent="0.2">
      <c r="A1089" s="83" t="s">
        <v>641</v>
      </c>
      <c r="B1089" s="39">
        <v>0</v>
      </c>
      <c r="C1089" s="43" t="s">
        <v>1534</v>
      </c>
      <c r="D1089" s="37" t="s">
        <v>640</v>
      </c>
      <c r="E1089" s="37" t="s">
        <v>990</v>
      </c>
      <c r="F1089" s="39">
        <v>12</v>
      </c>
      <c r="G1089" s="49" t="s">
        <v>3568</v>
      </c>
      <c r="H1089" s="49" t="s">
        <v>3568</v>
      </c>
      <c r="I1089" s="49" t="s">
        <v>3568</v>
      </c>
      <c r="J1089" s="40">
        <f>COUNTIF(System_configuration!B:B,A1089)</f>
        <v>0</v>
      </c>
    </row>
    <row r="1090" spans="1:13" s="29" customFormat="1" x14ac:dyDescent="0.2">
      <c r="A1090" s="83" t="s">
        <v>644</v>
      </c>
      <c r="B1090" s="39">
        <v>0</v>
      </c>
      <c r="C1090" s="43" t="s">
        <v>1534</v>
      </c>
      <c r="D1090" s="37" t="s">
        <v>643</v>
      </c>
      <c r="E1090" s="37" t="s">
        <v>991</v>
      </c>
      <c r="F1090" s="39">
        <v>12</v>
      </c>
      <c r="G1090" s="49" t="s">
        <v>3567</v>
      </c>
      <c r="H1090" s="49" t="s">
        <v>3567</v>
      </c>
      <c r="I1090" s="49"/>
      <c r="J1090" s="40">
        <f>COUNTIF(System_configuration!B:B,A1090)</f>
        <v>0</v>
      </c>
    </row>
    <row r="1091" spans="1:13" s="29" customFormat="1" x14ac:dyDescent="0.2">
      <c r="A1091" s="83" t="s">
        <v>645</v>
      </c>
      <c r="B1091" s="39">
        <v>-90</v>
      </c>
      <c r="C1091" s="43" t="s">
        <v>1534</v>
      </c>
      <c r="D1091" s="37" t="s">
        <v>747</v>
      </c>
      <c r="E1091" s="37" t="s">
        <v>992</v>
      </c>
      <c r="F1091" s="39">
        <v>12</v>
      </c>
      <c r="G1091" s="49" t="s">
        <v>3567</v>
      </c>
      <c r="H1091" s="49" t="s">
        <v>3567</v>
      </c>
      <c r="I1091" s="49" t="s">
        <v>3567</v>
      </c>
      <c r="J1091" s="40">
        <f>COUNTIF(System_configuration!B:B,A1091)</f>
        <v>0</v>
      </c>
    </row>
    <row r="1092" spans="1:13" s="29" customFormat="1" x14ac:dyDescent="0.2">
      <c r="A1092" s="83" t="s">
        <v>648</v>
      </c>
      <c r="B1092" s="39">
        <v>0</v>
      </c>
      <c r="C1092" s="43" t="s">
        <v>1534</v>
      </c>
      <c r="D1092" s="37" t="s">
        <v>647</v>
      </c>
      <c r="E1092" s="37" t="s">
        <v>993</v>
      </c>
      <c r="F1092" s="39">
        <v>12</v>
      </c>
      <c r="G1092" s="49" t="s">
        <v>3568</v>
      </c>
      <c r="H1092" s="49" t="s">
        <v>3568</v>
      </c>
      <c r="I1092" s="49"/>
      <c r="J1092" s="40">
        <f>COUNTIF(System_configuration!B:B,A1092)</f>
        <v>0</v>
      </c>
    </row>
    <row r="1093" spans="1:13" s="29" customFormat="1" x14ac:dyDescent="0.2">
      <c r="A1093" s="83" t="s">
        <v>1148</v>
      </c>
      <c r="B1093" s="39">
        <v>-80</v>
      </c>
      <c r="C1093" s="43" t="s">
        <v>1534</v>
      </c>
      <c r="D1093" s="37" t="s">
        <v>1244</v>
      </c>
      <c r="E1093" s="37" t="s">
        <v>1182</v>
      </c>
      <c r="F1093" s="39">
        <v>12</v>
      </c>
      <c r="G1093" s="49" t="s">
        <v>3568</v>
      </c>
      <c r="H1093" s="49" t="s">
        <v>3568</v>
      </c>
      <c r="I1093" s="49"/>
      <c r="J1093" s="40">
        <f>COUNTIF(System_configuration!B:B,A1093)</f>
        <v>0</v>
      </c>
    </row>
    <row r="1094" spans="1:13" s="29" customFormat="1" x14ac:dyDescent="0.2">
      <c r="A1094" s="83" t="s">
        <v>3589</v>
      </c>
      <c r="B1094" s="43" t="s">
        <v>1534</v>
      </c>
      <c r="C1094" s="43" t="s">
        <v>1534</v>
      </c>
      <c r="D1094" s="37" t="s">
        <v>3590</v>
      </c>
      <c r="E1094" s="37" t="s">
        <v>3591</v>
      </c>
      <c r="F1094" s="39"/>
      <c r="G1094" s="49"/>
      <c r="H1094" s="49"/>
      <c r="I1094" s="49"/>
      <c r="J1094" s="40">
        <f>COUNTIF(System_configuration!B:B,A1094)</f>
        <v>0</v>
      </c>
    </row>
    <row r="1095" spans="1:13" s="29" customFormat="1" x14ac:dyDescent="0.2">
      <c r="A1095" s="83" t="s">
        <v>1573</v>
      </c>
      <c r="B1095" s="43" t="s">
        <v>1534</v>
      </c>
      <c r="C1095" s="39">
        <v>-3</v>
      </c>
      <c r="D1095" s="37" t="s">
        <v>727</v>
      </c>
      <c r="E1095" s="37" t="s">
        <v>1014</v>
      </c>
      <c r="F1095" s="39">
        <v>12</v>
      </c>
      <c r="G1095" s="49" t="s">
        <v>3568</v>
      </c>
      <c r="H1095" s="49" t="s">
        <v>3568</v>
      </c>
      <c r="I1095" s="49" t="s">
        <v>3568</v>
      </c>
      <c r="J1095" s="40">
        <f>COUNTIF(System_configuration!B:B,A1095)</f>
        <v>0</v>
      </c>
      <c r="K1095" s="60"/>
      <c r="L1095" s="60"/>
      <c r="M1095" s="60"/>
    </row>
    <row r="1096" spans="1:13" s="29" customFormat="1" x14ac:dyDescent="0.2">
      <c r="A1096" s="83" t="s">
        <v>1574</v>
      </c>
      <c r="B1096" s="43" t="s">
        <v>1534</v>
      </c>
      <c r="C1096" s="39">
        <v>-3</v>
      </c>
      <c r="D1096" s="37" t="s">
        <v>1575</v>
      </c>
      <c r="E1096" s="37" t="s">
        <v>1576</v>
      </c>
      <c r="F1096" s="39">
        <v>12</v>
      </c>
      <c r="G1096" s="49" t="s">
        <v>3568</v>
      </c>
      <c r="H1096" s="49" t="s">
        <v>3568</v>
      </c>
      <c r="I1096" s="49" t="s">
        <v>3568</v>
      </c>
      <c r="J1096" s="40">
        <f>COUNTIF(System_configuration!B:B,A1096)</f>
        <v>0</v>
      </c>
    </row>
    <row r="1097" spans="1:13" s="29" customFormat="1" x14ac:dyDescent="0.2">
      <c r="A1097" s="83" t="s">
        <v>1577</v>
      </c>
      <c r="B1097" s="43" t="s">
        <v>1534</v>
      </c>
      <c r="C1097" s="39">
        <v>-3</v>
      </c>
      <c r="D1097" s="37" t="s">
        <v>1578</v>
      </c>
      <c r="E1097" s="37" t="s">
        <v>1579</v>
      </c>
      <c r="F1097" s="39">
        <v>12</v>
      </c>
      <c r="G1097" s="49" t="s">
        <v>3568</v>
      </c>
      <c r="H1097" s="49" t="s">
        <v>3568</v>
      </c>
      <c r="I1097" s="49" t="s">
        <v>3568</v>
      </c>
      <c r="J1097" s="40">
        <f>COUNTIF(System_configuration!B:B,A1097)</f>
        <v>0</v>
      </c>
    </row>
    <row r="1098" spans="1:13" s="29" customFormat="1" x14ac:dyDescent="0.2">
      <c r="A1098" s="83" t="s">
        <v>1580</v>
      </c>
      <c r="B1098" s="43" t="s">
        <v>1534</v>
      </c>
      <c r="C1098" s="39">
        <v>-8</v>
      </c>
      <c r="D1098" s="37" t="s">
        <v>1581</v>
      </c>
      <c r="E1098" s="37" t="s">
        <v>1582</v>
      </c>
      <c r="F1098" s="39">
        <v>12</v>
      </c>
      <c r="G1098" s="49" t="s">
        <v>3568</v>
      </c>
      <c r="H1098" s="49" t="s">
        <v>3568</v>
      </c>
      <c r="I1098" s="49" t="s">
        <v>3568</v>
      </c>
      <c r="J1098" s="40">
        <f>COUNTIF(System_configuration!B:B,A1098)</f>
        <v>0</v>
      </c>
    </row>
    <row r="1099" spans="1:13" s="29" customFormat="1" ht="25.5" x14ac:dyDescent="0.2">
      <c r="A1099" s="83" t="s">
        <v>1252</v>
      </c>
      <c r="B1099" s="43" t="s">
        <v>1534</v>
      </c>
      <c r="C1099" s="39">
        <v>-5</v>
      </c>
      <c r="D1099" s="37" t="s">
        <v>730</v>
      </c>
      <c r="E1099" s="37" t="s">
        <v>1583</v>
      </c>
      <c r="F1099" s="39">
        <v>12</v>
      </c>
      <c r="G1099" s="49" t="s">
        <v>3568</v>
      </c>
      <c r="H1099" s="49" t="s">
        <v>3568</v>
      </c>
      <c r="I1099" s="49"/>
      <c r="J1099" s="40">
        <f>COUNTIF(System_configuration!B:B,A1099)</f>
        <v>0</v>
      </c>
    </row>
    <row r="1100" spans="1:13" s="29" customFormat="1" ht="25.5" x14ac:dyDescent="0.2">
      <c r="A1100" s="83" t="s">
        <v>1584</v>
      </c>
      <c r="B1100" s="43" t="s">
        <v>1534</v>
      </c>
      <c r="C1100" s="39">
        <v>-5</v>
      </c>
      <c r="D1100" s="37" t="s">
        <v>1585</v>
      </c>
      <c r="E1100" s="37" t="s">
        <v>1586</v>
      </c>
      <c r="F1100" s="39">
        <v>12</v>
      </c>
      <c r="G1100" s="49" t="s">
        <v>3568</v>
      </c>
      <c r="H1100" s="49" t="s">
        <v>3568</v>
      </c>
      <c r="I1100" s="49"/>
      <c r="J1100" s="40">
        <f>COUNTIF(System_configuration!B:B,A1100)</f>
        <v>0</v>
      </c>
    </row>
    <row r="1101" spans="1:13" s="29" customFormat="1" ht="25.5" x14ac:dyDescent="0.2">
      <c r="A1101" s="83" t="s">
        <v>1587</v>
      </c>
      <c r="B1101" s="43" t="s">
        <v>1534</v>
      </c>
      <c r="C1101" s="39">
        <v>-5</v>
      </c>
      <c r="D1101" s="37" t="s">
        <v>1588</v>
      </c>
      <c r="E1101" s="37" t="s">
        <v>1589</v>
      </c>
      <c r="F1101" s="39">
        <v>12</v>
      </c>
      <c r="G1101" s="49" t="s">
        <v>3568</v>
      </c>
      <c r="H1101" s="49" t="s">
        <v>3568</v>
      </c>
      <c r="I1101" s="49"/>
      <c r="J1101" s="40">
        <f>COUNTIF(System_configuration!B:B,A1101)</f>
        <v>0</v>
      </c>
    </row>
    <row r="1102" spans="1:13" s="29" customFormat="1" ht="25.5" x14ac:dyDescent="0.2">
      <c r="A1102" s="83" t="s">
        <v>1590</v>
      </c>
      <c r="B1102" s="43" t="s">
        <v>1534</v>
      </c>
      <c r="C1102" s="39">
        <v>-8</v>
      </c>
      <c r="D1102" s="37" t="s">
        <v>1591</v>
      </c>
      <c r="E1102" s="37" t="s">
        <v>1592</v>
      </c>
      <c r="F1102" s="39">
        <v>12</v>
      </c>
      <c r="G1102" s="49" t="s">
        <v>3568</v>
      </c>
      <c r="H1102" s="49" t="s">
        <v>3568</v>
      </c>
      <c r="I1102" s="49"/>
      <c r="J1102" s="40">
        <f>COUNTIF(System_configuration!B:B,A1102)</f>
        <v>0</v>
      </c>
    </row>
    <row r="1103" spans="1:13" s="29" customFormat="1" ht="25.5" x14ac:dyDescent="0.2">
      <c r="A1103" s="83" t="s">
        <v>1593</v>
      </c>
      <c r="B1103" s="43" t="s">
        <v>1534</v>
      </c>
      <c r="C1103" s="39">
        <v>-8</v>
      </c>
      <c r="D1103" s="37" t="s">
        <v>1594</v>
      </c>
      <c r="E1103" s="37" t="s">
        <v>1595</v>
      </c>
      <c r="F1103" s="39">
        <v>12</v>
      </c>
      <c r="G1103" s="49" t="s">
        <v>3568</v>
      </c>
      <c r="H1103" s="49" t="s">
        <v>3568</v>
      </c>
      <c r="I1103" s="49"/>
      <c r="J1103" s="40">
        <f>COUNTIF(System_configuration!B:B,A1103)</f>
        <v>0</v>
      </c>
    </row>
    <row r="1104" spans="1:13" s="29" customFormat="1" ht="25.5" x14ac:dyDescent="0.2">
      <c r="A1104" s="83" t="s">
        <v>1596</v>
      </c>
      <c r="B1104" s="43" t="s">
        <v>1534</v>
      </c>
      <c r="C1104" s="39">
        <v>-8</v>
      </c>
      <c r="D1104" s="37" t="s">
        <v>1597</v>
      </c>
      <c r="E1104" s="37" t="s">
        <v>1598</v>
      </c>
      <c r="F1104" s="39">
        <v>12</v>
      </c>
      <c r="G1104" s="49" t="s">
        <v>3568</v>
      </c>
      <c r="H1104" s="49" t="s">
        <v>3568</v>
      </c>
      <c r="I1104" s="49"/>
      <c r="J1104" s="40">
        <f>COUNTIF(System_configuration!B:B,A1104)</f>
        <v>0</v>
      </c>
    </row>
    <row r="1105" spans="1:10" s="29" customFormat="1" ht="25.5" x14ac:dyDescent="0.2">
      <c r="A1105" s="83" t="s">
        <v>1599</v>
      </c>
      <c r="B1105" s="43" t="s">
        <v>1534</v>
      </c>
      <c r="C1105" s="39">
        <v>-8</v>
      </c>
      <c r="D1105" s="37" t="s">
        <v>1600</v>
      </c>
      <c r="E1105" s="37" t="s">
        <v>1601</v>
      </c>
      <c r="F1105" s="39">
        <v>12</v>
      </c>
      <c r="G1105" s="49" t="s">
        <v>3568</v>
      </c>
      <c r="H1105" s="49" t="s">
        <v>3568</v>
      </c>
      <c r="I1105" s="49"/>
      <c r="J1105" s="40">
        <f>COUNTIF(System_configuration!B:B,A1105)</f>
        <v>0</v>
      </c>
    </row>
    <row r="1106" spans="1:10" s="29" customFormat="1" ht="25.5" x14ac:dyDescent="0.2">
      <c r="A1106" s="83" t="s">
        <v>1602</v>
      </c>
      <c r="B1106" s="43" t="s">
        <v>1534</v>
      </c>
      <c r="C1106" s="39">
        <v>-8</v>
      </c>
      <c r="D1106" s="37" t="s">
        <v>1603</v>
      </c>
      <c r="E1106" s="37" t="s">
        <v>1604</v>
      </c>
      <c r="F1106" s="39">
        <v>12</v>
      </c>
      <c r="G1106" s="49" t="s">
        <v>3568</v>
      </c>
      <c r="H1106" s="49" t="s">
        <v>3568</v>
      </c>
      <c r="I1106" s="49"/>
      <c r="J1106" s="40">
        <f>COUNTIF(System_configuration!B:B,A1106)</f>
        <v>0</v>
      </c>
    </row>
    <row r="1107" spans="1:10" s="29" customFormat="1" ht="25.5" x14ac:dyDescent="0.2">
      <c r="A1107" s="83" t="s">
        <v>1605</v>
      </c>
      <c r="B1107" s="43" t="s">
        <v>1534</v>
      </c>
      <c r="C1107" s="39">
        <v>-5</v>
      </c>
      <c r="D1107" s="37" t="s">
        <v>1606</v>
      </c>
      <c r="E1107" s="37" t="s">
        <v>1607</v>
      </c>
      <c r="F1107" s="39">
        <v>12</v>
      </c>
      <c r="G1107" s="49" t="s">
        <v>3568</v>
      </c>
      <c r="H1107" s="49" t="s">
        <v>3568</v>
      </c>
      <c r="I1107" s="49" t="s">
        <v>3568</v>
      </c>
      <c r="J1107" s="40">
        <f>COUNTIF(System_configuration!B:B,A1107)</f>
        <v>0</v>
      </c>
    </row>
    <row r="1108" spans="1:10" s="29" customFormat="1" ht="25.5" x14ac:dyDescent="0.2">
      <c r="A1108" s="83" t="s">
        <v>1608</v>
      </c>
      <c r="B1108" s="43" t="s">
        <v>1534</v>
      </c>
      <c r="C1108" s="39">
        <v>-3</v>
      </c>
      <c r="D1108" s="37" t="s">
        <v>1609</v>
      </c>
      <c r="E1108" s="37" t="s">
        <v>1610</v>
      </c>
      <c r="F1108" s="39">
        <v>12</v>
      </c>
      <c r="G1108" s="49" t="s">
        <v>3568</v>
      </c>
      <c r="H1108" s="49" t="s">
        <v>3568</v>
      </c>
      <c r="I1108" s="49" t="s">
        <v>3568</v>
      </c>
      <c r="J1108" s="40">
        <f>COUNTIF(System_configuration!B:B,A1108)</f>
        <v>0</v>
      </c>
    </row>
    <row r="1109" spans="1:10" s="29" customFormat="1" ht="25.5" x14ac:dyDescent="0.2">
      <c r="A1109" s="83" t="s">
        <v>1611</v>
      </c>
      <c r="B1109" s="43" t="s">
        <v>1534</v>
      </c>
      <c r="C1109" s="39">
        <v>-3</v>
      </c>
      <c r="D1109" s="37" t="s">
        <v>1612</v>
      </c>
      <c r="E1109" s="37" t="s">
        <v>1613</v>
      </c>
      <c r="F1109" s="39">
        <v>12</v>
      </c>
      <c r="G1109" s="49" t="s">
        <v>3568</v>
      </c>
      <c r="H1109" s="49" t="s">
        <v>3568</v>
      </c>
      <c r="I1109" s="49"/>
      <c r="J1109" s="40">
        <f>COUNTIF(System_configuration!B:B,A1109)</f>
        <v>0</v>
      </c>
    </row>
    <row r="1110" spans="1:10" s="29" customFormat="1" ht="25.5" x14ac:dyDescent="0.2">
      <c r="A1110" s="83" t="s">
        <v>1614</v>
      </c>
      <c r="B1110" s="43" t="s">
        <v>1534</v>
      </c>
      <c r="C1110" s="39">
        <v>-3</v>
      </c>
      <c r="D1110" s="37" t="s">
        <v>1615</v>
      </c>
      <c r="E1110" s="37" t="s">
        <v>1616</v>
      </c>
      <c r="F1110" s="39">
        <v>12</v>
      </c>
      <c r="G1110" s="49" t="s">
        <v>3568</v>
      </c>
      <c r="H1110" s="49" t="s">
        <v>3568</v>
      </c>
      <c r="I1110" s="49" t="s">
        <v>3568</v>
      </c>
      <c r="J1110" s="40">
        <f>COUNTIF(System_configuration!B:B,A1110)</f>
        <v>0</v>
      </c>
    </row>
    <row r="1111" spans="1:10" s="29" customFormat="1" ht="25.5" x14ac:dyDescent="0.2">
      <c r="A1111" s="83" t="s">
        <v>1617</v>
      </c>
      <c r="B1111" s="43" t="s">
        <v>1534</v>
      </c>
      <c r="C1111" s="39">
        <v>-3</v>
      </c>
      <c r="D1111" s="37" t="s">
        <v>1618</v>
      </c>
      <c r="E1111" s="37" t="s">
        <v>1619</v>
      </c>
      <c r="F1111" s="39">
        <v>12</v>
      </c>
      <c r="G1111" s="49" t="s">
        <v>3568</v>
      </c>
      <c r="H1111" s="49" t="s">
        <v>3568</v>
      </c>
      <c r="I1111" s="49"/>
      <c r="J1111" s="40">
        <f>COUNTIF(System_configuration!B:B,A1111)</f>
        <v>0</v>
      </c>
    </row>
    <row r="1112" spans="1:10" s="29" customFormat="1" ht="25.5" x14ac:dyDescent="0.2">
      <c r="A1112" s="83" t="s">
        <v>1620</v>
      </c>
      <c r="B1112" s="43" t="s">
        <v>1534</v>
      </c>
      <c r="C1112" s="39">
        <v>-70</v>
      </c>
      <c r="D1112" s="37" t="s">
        <v>1621</v>
      </c>
      <c r="E1112" s="37" t="s">
        <v>1622</v>
      </c>
      <c r="F1112" s="39">
        <v>12</v>
      </c>
      <c r="G1112" s="49" t="s">
        <v>3568</v>
      </c>
      <c r="H1112" s="49" t="s">
        <v>3568</v>
      </c>
      <c r="I1112" s="49"/>
      <c r="J1112" s="40">
        <f>COUNTIF(System_configuration!B:B,A1112)</f>
        <v>0</v>
      </c>
    </row>
    <row r="1113" spans="1:10" s="29" customFormat="1" x14ac:dyDescent="0.2">
      <c r="A1113" s="83" t="s">
        <v>1623</v>
      </c>
      <c r="B1113" s="43" t="s">
        <v>1534</v>
      </c>
      <c r="C1113" s="39">
        <v>-35</v>
      </c>
      <c r="D1113" s="37" t="s">
        <v>1624</v>
      </c>
      <c r="E1113" s="37" t="s">
        <v>1625</v>
      </c>
      <c r="F1113" s="39">
        <v>12</v>
      </c>
      <c r="G1113" s="49" t="s">
        <v>3568</v>
      </c>
      <c r="H1113" s="49" t="s">
        <v>3568</v>
      </c>
      <c r="I1113" s="49"/>
      <c r="J1113" s="40">
        <f>COUNTIF(System_configuration!B:B,A1113)</f>
        <v>0</v>
      </c>
    </row>
    <row r="1114" spans="1:10" s="29" customFormat="1" x14ac:dyDescent="0.2">
      <c r="A1114" s="83" t="s">
        <v>1626</v>
      </c>
      <c r="B1114" s="43" t="s">
        <v>1534</v>
      </c>
      <c r="C1114" s="39">
        <v>-60</v>
      </c>
      <c r="D1114" s="37" t="s">
        <v>1200</v>
      </c>
      <c r="E1114" s="37" t="s">
        <v>1156</v>
      </c>
      <c r="F1114" s="39">
        <v>12</v>
      </c>
      <c r="G1114" s="49" t="s">
        <v>3568</v>
      </c>
      <c r="H1114" s="49" t="s">
        <v>3568</v>
      </c>
      <c r="I1114" s="49"/>
      <c r="J1114" s="40">
        <f>COUNTIF(System_configuration!B:B,A1114)</f>
        <v>0</v>
      </c>
    </row>
    <row r="1115" spans="1:10" s="29" customFormat="1" ht="25.5" x14ac:dyDescent="0.2">
      <c r="A1115" s="83" t="s">
        <v>1627</v>
      </c>
      <c r="B1115" s="43" t="s">
        <v>1534</v>
      </c>
      <c r="C1115" s="39">
        <v>-3</v>
      </c>
      <c r="D1115" s="37" t="s">
        <v>1628</v>
      </c>
      <c r="E1115" s="37" t="s">
        <v>1629</v>
      </c>
      <c r="F1115" s="39">
        <v>12</v>
      </c>
      <c r="G1115" s="49" t="s">
        <v>3568</v>
      </c>
      <c r="H1115" s="49" t="s">
        <v>3568</v>
      </c>
      <c r="I1115" s="49" t="s">
        <v>3568</v>
      </c>
      <c r="J1115" s="40">
        <f>COUNTIF(System_configuration!B:B,A1115)</f>
        <v>0</v>
      </c>
    </row>
    <row r="1116" spans="1:10" s="29" customFormat="1" ht="25.5" x14ac:dyDescent="0.2">
      <c r="A1116" s="83" t="s">
        <v>1630</v>
      </c>
      <c r="B1116" s="43" t="s">
        <v>1534</v>
      </c>
      <c r="C1116" s="39">
        <v>-3</v>
      </c>
      <c r="D1116" s="37" t="s">
        <v>1631</v>
      </c>
      <c r="E1116" s="37" t="s">
        <v>1632</v>
      </c>
      <c r="F1116" s="39">
        <v>12</v>
      </c>
      <c r="G1116" s="49" t="s">
        <v>3568</v>
      </c>
      <c r="H1116" s="49" t="s">
        <v>3568</v>
      </c>
      <c r="I1116" s="49"/>
      <c r="J1116" s="40">
        <f>COUNTIF(System_configuration!B:B,A1116)</f>
        <v>0</v>
      </c>
    </row>
    <row r="1117" spans="1:10" s="29" customFormat="1" ht="25.5" x14ac:dyDescent="0.2">
      <c r="A1117" s="83" t="s">
        <v>1633</v>
      </c>
      <c r="B1117" s="43" t="s">
        <v>1534</v>
      </c>
      <c r="C1117" s="39">
        <v>-5</v>
      </c>
      <c r="D1117" s="37" t="s">
        <v>1634</v>
      </c>
      <c r="E1117" s="37" t="s">
        <v>1635</v>
      </c>
      <c r="F1117" s="39">
        <v>12</v>
      </c>
      <c r="G1117" s="49" t="s">
        <v>3568</v>
      </c>
      <c r="H1117" s="49" t="s">
        <v>3568</v>
      </c>
      <c r="I1117" s="49"/>
      <c r="J1117" s="40">
        <f>COUNTIF(System_configuration!B:B,A1117)</f>
        <v>0</v>
      </c>
    </row>
    <row r="1118" spans="1:10" s="29" customFormat="1" ht="25.5" x14ac:dyDescent="0.2">
      <c r="A1118" s="83" t="s">
        <v>1636</v>
      </c>
      <c r="B1118" s="43" t="s">
        <v>1534</v>
      </c>
      <c r="C1118" s="39">
        <v>-3</v>
      </c>
      <c r="D1118" s="37" t="s">
        <v>1637</v>
      </c>
      <c r="E1118" s="37" t="s">
        <v>1638</v>
      </c>
      <c r="F1118" s="39">
        <v>12</v>
      </c>
      <c r="G1118" s="49" t="s">
        <v>3568</v>
      </c>
      <c r="H1118" s="49" t="s">
        <v>3568</v>
      </c>
      <c r="I1118" s="49" t="s">
        <v>3568</v>
      </c>
      <c r="J1118" s="40">
        <f>COUNTIF(System_configuration!B:B,A1118)</f>
        <v>0</v>
      </c>
    </row>
    <row r="1119" spans="1:10" s="29" customFormat="1" ht="25.5" x14ac:dyDescent="0.2">
      <c r="A1119" s="83" t="s">
        <v>1639</v>
      </c>
      <c r="B1119" s="43" t="s">
        <v>1534</v>
      </c>
      <c r="C1119" s="39">
        <v>-3</v>
      </c>
      <c r="D1119" s="37" t="s">
        <v>1640</v>
      </c>
      <c r="E1119" s="37" t="s">
        <v>1641</v>
      </c>
      <c r="F1119" s="39">
        <v>12</v>
      </c>
      <c r="G1119" s="49" t="s">
        <v>3568</v>
      </c>
      <c r="H1119" s="49" t="s">
        <v>3568</v>
      </c>
      <c r="I1119" s="49"/>
      <c r="J1119" s="40">
        <f>COUNTIF(System_configuration!B:B,A1119)</f>
        <v>0</v>
      </c>
    </row>
    <row r="1120" spans="1:10" s="29" customFormat="1" ht="25.5" x14ac:dyDescent="0.2">
      <c r="A1120" s="83" t="s">
        <v>1642</v>
      </c>
      <c r="B1120" s="43" t="s">
        <v>1534</v>
      </c>
      <c r="C1120" s="39">
        <v>-5</v>
      </c>
      <c r="D1120" s="37" t="s">
        <v>1643</v>
      </c>
      <c r="E1120" s="37" t="s">
        <v>1644</v>
      </c>
      <c r="F1120" s="39">
        <v>12</v>
      </c>
      <c r="G1120" s="49" t="s">
        <v>3568</v>
      </c>
      <c r="H1120" s="49" t="s">
        <v>3568</v>
      </c>
      <c r="I1120" s="49"/>
      <c r="J1120" s="40">
        <f>COUNTIF(System_configuration!B:B,A1120)</f>
        <v>0</v>
      </c>
    </row>
    <row r="1121" spans="1:10" s="29" customFormat="1" ht="25.5" x14ac:dyDescent="0.2">
      <c r="A1121" s="83" t="s">
        <v>1645</v>
      </c>
      <c r="B1121" s="43" t="s">
        <v>1534</v>
      </c>
      <c r="C1121" s="39">
        <v>-3</v>
      </c>
      <c r="D1121" s="37" t="s">
        <v>1646</v>
      </c>
      <c r="E1121" s="37" t="s">
        <v>1647</v>
      </c>
      <c r="F1121" s="39">
        <v>12</v>
      </c>
      <c r="G1121" s="49" t="s">
        <v>3568</v>
      </c>
      <c r="H1121" s="49" t="s">
        <v>3568</v>
      </c>
      <c r="I1121" s="49"/>
      <c r="J1121" s="40">
        <f>COUNTIF(System_configuration!B:B,A1121)</f>
        <v>0</v>
      </c>
    </row>
    <row r="1122" spans="1:10" s="29" customFormat="1" x14ac:dyDescent="0.2">
      <c r="A1122" s="83" t="s">
        <v>1648</v>
      </c>
      <c r="B1122" s="43" t="s">
        <v>1534</v>
      </c>
      <c r="C1122" s="39">
        <v>-5</v>
      </c>
      <c r="D1122" s="37" t="s">
        <v>1649</v>
      </c>
      <c r="E1122" s="37" t="s">
        <v>1650</v>
      </c>
      <c r="F1122" s="39">
        <v>12</v>
      </c>
      <c r="G1122" s="49" t="s">
        <v>3568</v>
      </c>
      <c r="H1122" s="49" t="s">
        <v>3568</v>
      </c>
      <c r="I1122" s="49"/>
      <c r="J1122" s="40">
        <f>COUNTIF(System_configuration!B:B,A1122)</f>
        <v>0</v>
      </c>
    </row>
    <row r="1123" spans="1:10" s="29" customFormat="1" x14ac:dyDescent="0.2">
      <c r="A1123" s="83" t="s">
        <v>1651</v>
      </c>
      <c r="B1123" s="43" t="s">
        <v>1534</v>
      </c>
      <c r="C1123" s="39">
        <v>-5</v>
      </c>
      <c r="D1123" s="37" t="s">
        <v>1652</v>
      </c>
      <c r="E1123" s="37" t="s">
        <v>1653</v>
      </c>
      <c r="F1123" s="39">
        <v>12</v>
      </c>
      <c r="G1123" s="49" t="s">
        <v>3568</v>
      </c>
      <c r="H1123" s="49" t="s">
        <v>3568</v>
      </c>
      <c r="I1123" s="49"/>
      <c r="J1123" s="40">
        <f>COUNTIF(System_configuration!B:B,A1123)</f>
        <v>0</v>
      </c>
    </row>
    <row r="1124" spans="1:10" s="29" customFormat="1" x14ac:dyDescent="0.2">
      <c r="A1124" s="83" t="s">
        <v>1654</v>
      </c>
      <c r="B1124" s="43" t="s">
        <v>1534</v>
      </c>
      <c r="C1124" s="39">
        <v>-50</v>
      </c>
      <c r="D1124" s="37" t="s">
        <v>295</v>
      </c>
      <c r="E1124" s="37" t="s">
        <v>1655</v>
      </c>
      <c r="F1124" s="39">
        <v>12</v>
      </c>
      <c r="G1124" s="49" t="s">
        <v>3568</v>
      </c>
      <c r="H1124" s="49" t="s">
        <v>3568</v>
      </c>
      <c r="I1124" s="49"/>
      <c r="J1124" s="40">
        <f>COUNTIF(System_configuration!B:B,A1124)</f>
        <v>0</v>
      </c>
    </row>
    <row r="1125" spans="1:10" s="29" customFormat="1" x14ac:dyDescent="0.2">
      <c r="A1125" s="83" t="s">
        <v>1656</v>
      </c>
      <c r="B1125" s="43" t="s">
        <v>1534</v>
      </c>
      <c r="C1125" s="39">
        <v>-50</v>
      </c>
      <c r="D1125" s="37" t="s">
        <v>297</v>
      </c>
      <c r="E1125" s="37" t="s">
        <v>1037</v>
      </c>
      <c r="F1125" s="39">
        <v>12</v>
      </c>
      <c r="G1125" s="49" t="s">
        <v>3568</v>
      </c>
      <c r="H1125" s="49" t="s">
        <v>3568</v>
      </c>
      <c r="I1125" s="49"/>
      <c r="J1125" s="40">
        <f>COUNTIF(System_configuration!B:B,A1125)</f>
        <v>0</v>
      </c>
    </row>
    <row r="1126" spans="1:10" s="29" customFormat="1" x14ac:dyDescent="0.2">
      <c r="A1126" s="83" t="s">
        <v>1657</v>
      </c>
      <c r="B1126" s="43" t="s">
        <v>1534</v>
      </c>
      <c r="C1126" s="39">
        <v>-3</v>
      </c>
      <c r="D1126" s="37" t="s">
        <v>1658</v>
      </c>
      <c r="E1126" s="37" t="s">
        <v>1659</v>
      </c>
      <c r="F1126" s="39">
        <v>12</v>
      </c>
      <c r="G1126" s="49" t="s">
        <v>3568</v>
      </c>
      <c r="H1126" s="49" t="s">
        <v>3568</v>
      </c>
      <c r="I1126" s="49" t="s">
        <v>3568</v>
      </c>
      <c r="J1126" s="40">
        <f>COUNTIF(System_configuration!B:B,A1126)</f>
        <v>0</v>
      </c>
    </row>
    <row r="1127" spans="1:10" s="29" customFormat="1" x14ac:dyDescent="0.2">
      <c r="A1127" s="83" t="s">
        <v>1660</v>
      </c>
      <c r="B1127" s="43" t="s">
        <v>1534</v>
      </c>
      <c r="C1127" s="39">
        <v>-3</v>
      </c>
      <c r="D1127" s="37" t="s">
        <v>1661</v>
      </c>
      <c r="E1127" s="37" t="s">
        <v>1662</v>
      </c>
      <c r="F1127" s="39">
        <v>12</v>
      </c>
      <c r="G1127" s="49" t="s">
        <v>3568</v>
      </c>
      <c r="H1127" s="49" t="s">
        <v>3568</v>
      </c>
      <c r="I1127" s="49"/>
      <c r="J1127" s="40">
        <f>COUNTIF(System_configuration!B:B,A1127)</f>
        <v>0</v>
      </c>
    </row>
    <row r="1128" spans="1:10" s="29" customFormat="1" x14ac:dyDescent="0.2">
      <c r="A1128" s="83" t="s">
        <v>1663</v>
      </c>
      <c r="B1128" s="43" t="s">
        <v>1534</v>
      </c>
      <c r="C1128" s="39">
        <v>-3</v>
      </c>
      <c r="D1128" s="37" t="s">
        <v>301</v>
      </c>
      <c r="E1128" s="37" t="s">
        <v>1039</v>
      </c>
      <c r="F1128" s="39">
        <v>12</v>
      </c>
      <c r="G1128" s="49" t="s">
        <v>3568</v>
      </c>
      <c r="H1128" s="49" t="s">
        <v>3568</v>
      </c>
      <c r="I1128" s="49" t="s">
        <v>3568</v>
      </c>
      <c r="J1128" s="40">
        <f>COUNTIF(System_configuration!B:B,A1128)</f>
        <v>0</v>
      </c>
    </row>
    <row r="1129" spans="1:10" s="29" customFormat="1" x14ac:dyDescent="0.2">
      <c r="A1129" s="83" t="s">
        <v>1664</v>
      </c>
      <c r="B1129" s="43" t="s">
        <v>1534</v>
      </c>
      <c r="C1129" s="39">
        <v>-3</v>
      </c>
      <c r="D1129" s="37" t="s">
        <v>1665</v>
      </c>
      <c r="E1129" s="37" t="s">
        <v>1666</v>
      </c>
      <c r="F1129" s="39">
        <v>12</v>
      </c>
      <c r="G1129" s="49" t="s">
        <v>3568</v>
      </c>
      <c r="H1129" s="49" t="s">
        <v>3568</v>
      </c>
      <c r="I1129" s="49" t="s">
        <v>3568</v>
      </c>
      <c r="J1129" s="40">
        <f>COUNTIF(System_configuration!B:B,A1129)</f>
        <v>0</v>
      </c>
    </row>
    <row r="1130" spans="1:10" s="29" customFormat="1" x14ac:dyDescent="0.2">
      <c r="A1130" s="83" t="s">
        <v>1667</v>
      </c>
      <c r="B1130" s="43" t="s">
        <v>1534</v>
      </c>
      <c r="C1130" s="39">
        <v>-3</v>
      </c>
      <c r="D1130" s="37" t="s">
        <v>1668</v>
      </c>
      <c r="E1130" s="37" t="s">
        <v>1669</v>
      </c>
      <c r="F1130" s="39">
        <v>12</v>
      </c>
      <c r="G1130" s="49"/>
      <c r="H1130" s="49"/>
      <c r="I1130" s="49"/>
      <c r="J1130" s="40">
        <f>COUNTIF(System_configuration!B:B,A1130)</f>
        <v>0</v>
      </c>
    </row>
    <row r="1131" spans="1:10" s="29" customFormat="1" x14ac:dyDescent="0.2">
      <c r="A1131" s="83" t="s">
        <v>1670</v>
      </c>
      <c r="B1131" s="43" t="s">
        <v>1534</v>
      </c>
      <c r="C1131" s="39">
        <v>-10</v>
      </c>
      <c r="D1131" s="37" t="s">
        <v>306</v>
      </c>
      <c r="E1131" s="37" t="s">
        <v>1041</v>
      </c>
      <c r="F1131" s="39">
        <v>12</v>
      </c>
      <c r="G1131" s="49" t="s">
        <v>3568</v>
      </c>
      <c r="H1131" s="49" t="s">
        <v>3568</v>
      </c>
      <c r="I1131" s="49"/>
      <c r="J1131" s="40">
        <f>COUNTIF(System_configuration!B:B,A1131)</f>
        <v>0</v>
      </c>
    </row>
    <row r="1132" spans="1:10" s="29" customFormat="1" x14ac:dyDescent="0.2">
      <c r="A1132" s="83" t="s">
        <v>1671</v>
      </c>
      <c r="B1132" s="43" t="s">
        <v>1534</v>
      </c>
      <c r="C1132" s="39">
        <v>-15</v>
      </c>
      <c r="D1132" s="37" t="s">
        <v>308</v>
      </c>
      <c r="E1132" s="37" t="s">
        <v>1042</v>
      </c>
      <c r="F1132" s="39">
        <v>12</v>
      </c>
      <c r="G1132" s="49" t="s">
        <v>3568</v>
      </c>
      <c r="H1132" s="49" t="s">
        <v>3568</v>
      </c>
      <c r="I1132" s="49"/>
      <c r="J1132" s="40">
        <f>COUNTIF(System_configuration!B:B,A1132)</f>
        <v>0</v>
      </c>
    </row>
    <row r="1133" spans="1:10" s="29" customFormat="1" x14ac:dyDescent="0.2">
      <c r="A1133" s="83" t="s">
        <v>1672</v>
      </c>
      <c r="B1133" s="43" t="s">
        <v>1534</v>
      </c>
      <c r="C1133" s="39">
        <v>-20</v>
      </c>
      <c r="D1133" s="37" t="s">
        <v>310</v>
      </c>
      <c r="E1133" s="37" t="s">
        <v>1043</v>
      </c>
      <c r="F1133" s="39">
        <v>12</v>
      </c>
      <c r="G1133" s="49" t="s">
        <v>3568</v>
      </c>
      <c r="H1133" s="49" t="s">
        <v>3568</v>
      </c>
      <c r="I1133" s="49"/>
      <c r="J1133" s="40">
        <f>COUNTIF(System_configuration!B:B,A1133)</f>
        <v>0</v>
      </c>
    </row>
    <row r="1134" spans="1:10" s="29" customFormat="1" x14ac:dyDescent="0.2">
      <c r="A1134" s="83" t="s">
        <v>1673</v>
      </c>
      <c r="B1134" s="43" t="s">
        <v>1534</v>
      </c>
      <c r="C1134" s="39">
        <v>-10</v>
      </c>
      <c r="D1134" s="37" t="s">
        <v>1674</v>
      </c>
      <c r="E1134" s="37" t="s">
        <v>1675</v>
      </c>
      <c r="F1134" s="39">
        <v>12</v>
      </c>
      <c r="G1134" s="49" t="s">
        <v>3568</v>
      </c>
      <c r="H1134" s="49" t="s">
        <v>3568</v>
      </c>
      <c r="I1134" s="49"/>
      <c r="J1134" s="40">
        <f>COUNTIF(System_configuration!B:B,A1134)</f>
        <v>0</v>
      </c>
    </row>
    <row r="1135" spans="1:10" s="29" customFormat="1" x14ac:dyDescent="0.2">
      <c r="A1135" s="83" t="s">
        <v>1676</v>
      </c>
      <c r="B1135" s="43" t="s">
        <v>1534</v>
      </c>
      <c r="C1135" s="39">
        <v>-20</v>
      </c>
      <c r="D1135" s="37" t="s">
        <v>1677</v>
      </c>
      <c r="E1135" s="37" t="s">
        <v>1678</v>
      </c>
      <c r="F1135" s="39">
        <v>12</v>
      </c>
      <c r="G1135" s="49" t="s">
        <v>3568</v>
      </c>
      <c r="H1135" s="49" t="s">
        <v>3568</v>
      </c>
      <c r="I1135" s="49"/>
      <c r="J1135" s="40">
        <f>COUNTIF(System_configuration!B:B,A1135)</f>
        <v>0</v>
      </c>
    </row>
    <row r="1136" spans="1:10" s="29" customFormat="1" ht="25.5" x14ac:dyDescent="0.2">
      <c r="A1136" s="83" t="s">
        <v>1679</v>
      </c>
      <c r="B1136" s="43" t="s">
        <v>1534</v>
      </c>
      <c r="C1136" s="39">
        <v>-25</v>
      </c>
      <c r="D1136" s="37" t="s">
        <v>734</v>
      </c>
      <c r="E1136" s="37" t="s">
        <v>775</v>
      </c>
      <c r="F1136" s="39">
        <v>12</v>
      </c>
      <c r="G1136" s="49" t="s">
        <v>3568</v>
      </c>
      <c r="H1136" s="49" t="s">
        <v>3568</v>
      </c>
      <c r="I1136" s="49"/>
      <c r="J1136" s="40">
        <f>COUNTIF(System_configuration!B:B,A1136)</f>
        <v>0</v>
      </c>
    </row>
    <row r="1137" spans="1:13" s="29" customFormat="1" x14ac:dyDescent="0.2">
      <c r="A1137" s="83" t="s">
        <v>1680</v>
      </c>
      <c r="B1137" s="82" t="s">
        <v>1534</v>
      </c>
      <c r="C1137" s="39">
        <v>-3</v>
      </c>
      <c r="D1137" s="37" t="s">
        <v>317</v>
      </c>
      <c r="E1137" s="37" t="s">
        <v>776</v>
      </c>
      <c r="F1137" s="39">
        <v>12</v>
      </c>
      <c r="G1137" s="49"/>
      <c r="H1137" s="49"/>
      <c r="I1137" s="49"/>
      <c r="J1137" s="40">
        <f>COUNTIF(System_configuration!B:B,A1137)</f>
        <v>0</v>
      </c>
    </row>
    <row r="1138" spans="1:13" s="29" customFormat="1" ht="25.5" x14ac:dyDescent="0.2">
      <c r="A1138" s="83" t="s">
        <v>1681</v>
      </c>
      <c r="B1138" s="82" t="s">
        <v>1534</v>
      </c>
      <c r="C1138" s="39">
        <v>-3</v>
      </c>
      <c r="D1138" s="37" t="s">
        <v>319</v>
      </c>
      <c r="E1138" s="37" t="s">
        <v>777</v>
      </c>
      <c r="F1138" s="39">
        <v>12</v>
      </c>
      <c r="G1138" s="49"/>
      <c r="H1138" s="49"/>
      <c r="I1138" s="49"/>
      <c r="J1138" s="40">
        <f>COUNTIF(System_configuration!B:B,A1138)</f>
        <v>0</v>
      </c>
    </row>
    <row r="1139" spans="1:13" s="29" customFormat="1" x14ac:dyDescent="0.2">
      <c r="A1139" s="83" t="s">
        <v>1682</v>
      </c>
      <c r="B1139" s="82" t="s">
        <v>1534</v>
      </c>
      <c r="C1139" s="39">
        <v>-3</v>
      </c>
      <c r="D1139" s="37" t="s">
        <v>1683</v>
      </c>
      <c r="E1139" s="37" t="s">
        <v>1684</v>
      </c>
      <c r="F1139" s="39">
        <v>12</v>
      </c>
      <c r="G1139" s="49"/>
      <c r="H1139" s="49"/>
      <c r="I1139" s="49"/>
      <c r="J1139" s="40">
        <f>COUNTIF(System_configuration!B:B,A1139)</f>
        <v>0</v>
      </c>
    </row>
    <row r="1140" spans="1:13" s="29" customFormat="1" x14ac:dyDescent="0.2">
      <c r="A1140" s="83" t="s">
        <v>1685</v>
      </c>
      <c r="B1140" s="43" t="s">
        <v>1534</v>
      </c>
      <c r="C1140" s="39">
        <v>-20</v>
      </c>
      <c r="D1140" s="37" t="s">
        <v>323</v>
      </c>
      <c r="E1140" s="37" t="s">
        <v>779</v>
      </c>
      <c r="F1140" s="39">
        <v>12</v>
      </c>
      <c r="G1140" s="49" t="s">
        <v>3568</v>
      </c>
      <c r="H1140" s="49" t="s">
        <v>3568</v>
      </c>
      <c r="I1140" s="49"/>
      <c r="J1140" s="40">
        <f>COUNTIF(System_configuration!B:B,A1140)</f>
        <v>0</v>
      </c>
    </row>
    <row r="1141" spans="1:13" s="29" customFormat="1" x14ac:dyDescent="0.2">
      <c r="A1141" s="83" t="s">
        <v>1686</v>
      </c>
      <c r="B1141" s="43" t="s">
        <v>1534</v>
      </c>
      <c r="C1141" s="39">
        <v>-48</v>
      </c>
      <c r="D1141" s="37" t="s">
        <v>40</v>
      </c>
      <c r="E1141" s="37" t="s">
        <v>780</v>
      </c>
      <c r="F1141" s="39">
        <v>12</v>
      </c>
      <c r="G1141" s="49" t="s">
        <v>3568</v>
      </c>
      <c r="H1141" s="49" t="s">
        <v>3568</v>
      </c>
      <c r="I1141" s="49"/>
      <c r="J1141" s="40">
        <f>COUNTIF(System_configuration!B:B,A1141)</f>
        <v>0</v>
      </c>
      <c r="K1141" s="60"/>
      <c r="L1141" s="60"/>
      <c r="M1141" s="60"/>
    </row>
    <row r="1142" spans="1:13" s="29" customFormat="1" x14ac:dyDescent="0.2">
      <c r="A1142" s="83" t="s">
        <v>1687</v>
      </c>
      <c r="B1142" s="43" t="s">
        <v>1534</v>
      </c>
      <c r="C1142" s="39">
        <v>-5</v>
      </c>
      <c r="D1142" s="37" t="s">
        <v>735</v>
      </c>
      <c r="E1142" s="37" t="s">
        <v>781</v>
      </c>
      <c r="F1142" s="39">
        <v>12</v>
      </c>
      <c r="G1142" s="49" t="s">
        <v>3568</v>
      </c>
      <c r="H1142" s="49" t="s">
        <v>3568</v>
      </c>
      <c r="I1142" s="49" t="s">
        <v>3568</v>
      </c>
      <c r="J1142" s="40">
        <f>COUNTIF(System_configuration!B:B,A1142)</f>
        <v>0</v>
      </c>
    </row>
    <row r="1143" spans="1:13" s="29" customFormat="1" x14ac:dyDescent="0.2">
      <c r="A1143" s="83" t="s">
        <v>1688</v>
      </c>
      <c r="B1143" s="43" t="s">
        <v>1534</v>
      </c>
      <c r="C1143" s="39">
        <v>-5</v>
      </c>
      <c r="D1143" s="37" t="s">
        <v>1689</v>
      </c>
      <c r="E1143" s="37" t="s">
        <v>1690</v>
      </c>
      <c r="F1143" s="39">
        <v>12</v>
      </c>
      <c r="G1143" s="49" t="s">
        <v>3568</v>
      </c>
      <c r="H1143" s="49" t="s">
        <v>3568</v>
      </c>
      <c r="I1143" s="49" t="s">
        <v>3568</v>
      </c>
      <c r="J1143" s="40">
        <f>COUNTIF(System_configuration!B:B,A1143)</f>
        <v>0</v>
      </c>
    </row>
    <row r="1144" spans="1:13" s="29" customFormat="1" x14ac:dyDescent="0.2">
      <c r="A1144" s="83" t="s">
        <v>1691</v>
      </c>
      <c r="B1144" s="43" t="s">
        <v>1534</v>
      </c>
      <c r="C1144" s="39">
        <v>-5</v>
      </c>
      <c r="D1144" s="37" t="s">
        <v>1692</v>
      </c>
      <c r="E1144" s="37" t="s">
        <v>1693</v>
      </c>
      <c r="F1144" s="39">
        <v>12</v>
      </c>
      <c r="G1144" s="49" t="s">
        <v>3568</v>
      </c>
      <c r="H1144" s="49" t="s">
        <v>3568</v>
      </c>
      <c r="I1144" s="49" t="s">
        <v>3568</v>
      </c>
      <c r="J1144" s="40">
        <f>COUNTIF(System_configuration!B:B,A1144)</f>
        <v>0</v>
      </c>
    </row>
    <row r="1145" spans="1:13" s="29" customFormat="1" ht="25.5" x14ac:dyDescent="0.2">
      <c r="A1145" s="83" t="s">
        <v>1694</v>
      </c>
      <c r="B1145" s="43" t="s">
        <v>1534</v>
      </c>
      <c r="C1145" s="39">
        <v>-9</v>
      </c>
      <c r="D1145" s="37" t="s">
        <v>1695</v>
      </c>
      <c r="E1145" s="37" t="s">
        <v>1696</v>
      </c>
      <c r="F1145" s="39">
        <v>12</v>
      </c>
      <c r="G1145" s="49" t="s">
        <v>3568</v>
      </c>
      <c r="H1145" s="49" t="s">
        <v>3568</v>
      </c>
      <c r="I1145" s="49"/>
      <c r="J1145" s="40">
        <f>COUNTIF(System_configuration!B:B,A1145)</f>
        <v>0</v>
      </c>
    </row>
    <row r="1146" spans="1:13" s="29" customFormat="1" ht="25.5" x14ac:dyDescent="0.2">
      <c r="A1146" s="83" t="s">
        <v>1697</v>
      </c>
      <c r="B1146" s="43" t="s">
        <v>1534</v>
      </c>
      <c r="C1146" s="39">
        <v>-14</v>
      </c>
      <c r="D1146" s="37" t="s">
        <v>739</v>
      </c>
      <c r="E1146" s="37" t="s">
        <v>792</v>
      </c>
      <c r="F1146" s="39">
        <v>12</v>
      </c>
      <c r="G1146" s="49" t="s">
        <v>3568</v>
      </c>
      <c r="H1146" s="49" t="s">
        <v>3568</v>
      </c>
      <c r="I1146" s="49"/>
      <c r="J1146" s="40">
        <f>COUNTIF(System_configuration!B:B,A1146)</f>
        <v>0</v>
      </c>
    </row>
    <row r="1147" spans="1:13" s="29" customFormat="1" ht="25.5" x14ac:dyDescent="0.2">
      <c r="A1147" s="83" t="s">
        <v>1698</v>
      </c>
      <c r="B1147" s="43" t="s">
        <v>1534</v>
      </c>
      <c r="C1147" s="39">
        <v>-9</v>
      </c>
      <c r="D1147" s="37" t="s">
        <v>1699</v>
      </c>
      <c r="E1147" s="37" t="s">
        <v>1700</v>
      </c>
      <c r="F1147" s="39">
        <v>12</v>
      </c>
      <c r="G1147" s="49" t="s">
        <v>3568</v>
      </c>
      <c r="H1147" s="49" t="s">
        <v>3568</v>
      </c>
      <c r="I1147" s="49"/>
      <c r="J1147" s="40">
        <f>COUNTIF(System_configuration!B:B,A1147)</f>
        <v>0</v>
      </c>
    </row>
    <row r="1148" spans="1:13" s="29" customFormat="1" ht="25.5" x14ac:dyDescent="0.2">
      <c r="A1148" s="83" t="s">
        <v>1701</v>
      </c>
      <c r="B1148" s="43" t="s">
        <v>1534</v>
      </c>
      <c r="C1148" s="39">
        <v>-9</v>
      </c>
      <c r="D1148" s="37" t="s">
        <v>1702</v>
      </c>
      <c r="E1148" s="37" t="s">
        <v>1703</v>
      </c>
      <c r="F1148" s="39">
        <v>12</v>
      </c>
      <c r="G1148" s="49" t="s">
        <v>3568</v>
      </c>
      <c r="H1148" s="49" t="s">
        <v>3568</v>
      </c>
      <c r="I1148" s="49"/>
      <c r="J1148" s="40">
        <f>COUNTIF(System_configuration!B:B,A1148)</f>
        <v>0</v>
      </c>
    </row>
    <row r="1149" spans="1:13" s="29" customFormat="1" ht="25.5" x14ac:dyDescent="0.2">
      <c r="A1149" s="83" t="s">
        <v>1704</v>
      </c>
      <c r="B1149" s="43" t="s">
        <v>1534</v>
      </c>
      <c r="C1149" s="39">
        <v>-15</v>
      </c>
      <c r="D1149" s="37" t="s">
        <v>1705</v>
      </c>
      <c r="E1149" s="37" t="s">
        <v>1706</v>
      </c>
      <c r="F1149" s="39">
        <v>12</v>
      </c>
      <c r="G1149" s="49" t="s">
        <v>3568</v>
      </c>
      <c r="H1149" s="49" t="s">
        <v>3568</v>
      </c>
      <c r="I1149" s="49" t="s">
        <v>3568</v>
      </c>
      <c r="J1149" s="40">
        <f>COUNTIF(System_configuration!B:B,A1149)</f>
        <v>0</v>
      </c>
    </row>
    <row r="1150" spans="1:13" s="29" customFormat="1" x14ac:dyDescent="0.2">
      <c r="A1150" s="83" t="s">
        <v>1707</v>
      </c>
      <c r="B1150" s="43" t="s">
        <v>1534</v>
      </c>
      <c r="C1150" s="39">
        <v>-100</v>
      </c>
      <c r="D1150" s="37" t="s">
        <v>1708</v>
      </c>
      <c r="E1150" s="37" t="s">
        <v>1709</v>
      </c>
      <c r="F1150" s="39">
        <v>12</v>
      </c>
      <c r="G1150" s="49" t="s">
        <v>3568</v>
      </c>
      <c r="H1150" s="49" t="s">
        <v>3568</v>
      </c>
      <c r="I1150" s="49"/>
      <c r="J1150" s="40">
        <f>COUNTIF(System_configuration!B:B,A1150)</f>
        <v>0</v>
      </c>
    </row>
    <row r="1151" spans="1:13" s="29" customFormat="1" x14ac:dyDescent="0.2">
      <c r="A1151" s="83" t="s">
        <v>1250</v>
      </c>
      <c r="B1151" s="43" t="s">
        <v>1534</v>
      </c>
      <c r="C1151" s="39">
        <v>-9</v>
      </c>
      <c r="D1151" s="37" t="s">
        <v>1710</v>
      </c>
      <c r="E1151" s="37" t="s">
        <v>1711</v>
      </c>
      <c r="F1151" s="39">
        <v>12</v>
      </c>
      <c r="G1151" s="49" t="s">
        <v>3568</v>
      </c>
      <c r="H1151" s="49" t="s">
        <v>3568</v>
      </c>
      <c r="I1151" s="49"/>
      <c r="J1151" s="40">
        <f>COUNTIF(System_configuration!B:B,A1151)</f>
        <v>0</v>
      </c>
    </row>
    <row r="1152" spans="1:13" s="29" customFormat="1" x14ac:dyDescent="0.2">
      <c r="A1152" s="83" t="s">
        <v>1712</v>
      </c>
      <c r="B1152" s="43" t="s">
        <v>1534</v>
      </c>
      <c r="C1152" s="39">
        <v>-18</v>
      </c>
      <c r="D1152" s="37" t="s">
        <v>1713</v>
      </c>
      <c r="E1152" s="37" t="s">
        <v>1714</v>
      </c>
      <c r="F1152" s="39">
        <v>12</v>
      </c>
      <c r="G1152" s="49" t="s">
        <v>3568</v>
      </c>
      <c r="H1152" s="49" t="s">
        <v>3568</v>
      </c>
      <c r="I1152" s="49"/>
      <c r="J1152" s="40">
        <f>COUNTIF(System_configuration!B:B,A1152)</f>
        <v>0</v>
      </c>
    </row>
    <row r="1153" spans="1:10" s="29" customFormat="1" x14ac:dyDescent="0.2">
      <c r="A1153" s="83" t="s">
        <v>1715</v>
      </c>
      <c r="B1153" s="43" t="s">
        <v>1534</v>
      </c>
      <c r="C1153" s="39">
        <v>-9</v>
      </c>
      <c r="D1153" s="37" t="s">
        <v>1716</v>
      </c>
      <c r="E1153" s="37" t="s">
        <v>1717</v>
      </c>
      <c r="F1153" s="39">
        <v>12</v>
      </c>
      <c r="G1153" s="49" t="s">
        <v>3568</v>
      </c>
      <c r="H1153" s="49" t="s">
        <v>3568</v>
      </c>
      <c r="I1153" s="49"/>
      <c r="J1153" s="40">
        <f>COUNTIF(System_configuration!B:B,A1153)</f>
        <v>0</v>
      </c>
    </row>
    <row r="1154" spans="1:10" s="29" customFormat="1" x14ac:dyDescent="0.2">
      <c r="A1154" s="83" t="s">
        <v>1718</v>
      </c>
      <c r="B1154" s="43" t="s">
        <v>1534</v>
      </c>
      <c r="C1154" s="39">
        <v>-9</v>
      </c>
      <c r="D1154" s="37" t="s">
        <v>337</v>
      </c>
      <c r="E1154" s="37" t="s">
        <v>1719</v>
      </c>
      <c r="F1154" s="39">
        <v>12</v>
      </c>
      <c r="G1154" s="49" t="s">
        <v>3568</v>
      </c>
      <c r="H1154" s="49" t="s">
        <v>3568</v>
      </c>
      <c r="I1154" s="49"/>
      <c r="J1154" s="40">
        <f>COUNTIF(System_configuration!B:B,A1154)</f>
        <v>0</v>
      </c>
    </row>
    <row r="1155" spans="1:10" s="29" customFormat="1" x14ac:dyDescent="0.2">
      <c r="A1155" s="83" t="s">
        <v>1720</v>
      </c>
      <c r="B1155" s="43" t="s">
        <v>1534</v>
      </c>
      <c r="C1155" s="39">
        <v>-18</v>
      </c>
      <c r="D1155" s="37" t="s">
        <v>1721</v>
      </c>
      <c r="E1155" s="37" t="s">
        <v>1722</v>
      </c>
      <c r="F1155" s="39">
        <v>12</v>
      </c>
      <c r="G1155" s="49" t="s">
        <v>3568</v>
      </c>
      <c r="H1155" s="49" t="s">
        <v>3568</v>
      </c>
      <c r="I1155" s="49"/>
      <c r="J1155" s="40">
        <f>COUNTIF(System_configuration!B:B,A1155)</f>
        <v>0</v>
      </c>
    </row>
    <row r="1156" spans="1:10" s="29" customFormat="1" x14ac:dyDescent="0.2">
      <c r="A1156" s="83" t="s">
        <v>1723</v>
      </c>
      <c r="B1156" s="43" t="s">
        <v>1534</v>
      </c>
      <c r="C1156" s="39">
        <v>-18</v>
      </c>
      <c r="D1156" s="37" t="s">
        <v>1724</v>
      </c>
      <c r="E1156" s="37" t="s">
        <v>1725</v>
      </c>
      <c r="F1156" s="39">
        <v>12</v>
      </c>
      <c r="G1156" s="49" t="s">
        <v>3568</v>
      </c>
      <c r="H1156" s="49" t="s">
        <v>3568</v>
      </c>
      <c r="I1156" s="49" t="s">
        <v>3568</v>
      </c>
      <c r="J1156" s="40">
        <f>COUNTIF(System_configuration!B:B,A1156)</f>
        <v>0</v>
      </c>
    </row>
    <row r="1157" spans="1:10" s="29" customFormat="1" x14ac:dyDescent="0.2">
      <c r="A1157" s="83" t="s">
        <v>1726</v>
      </c>
      <c r="B1157" s="43" t="s">
        <v>1534</v>
      </c>
      <c r="C1157" s="39">
        <v>-18</v>
      </c>
      <c r="D1157" s="37" t="s">
        <v>1727</v>
      </c>
      <c r="E1157" s="37" t="s">
        <v>1728</v>
      </c>
      <c r="F1157" s="39">
        <v>12</v>
      </c>
      <c r="G1157" s="49" t="s">
        <v>3568</v>
      </c>
      <c r="H1157" s="49" t="s">
        <v>3568</v>
      </c>
      <c r="I1157" s="49" t="s">
        <v>3568</v>
      </c>
      <c r="J1157" s="40">
        <f>COUNTIF(System_configuration!B:B,A1157)</f>
        <v>0</v>
      </c>
    </row>
    <row r="1158" spans="1:10" s="29" customFormat="1" x14ac:dyDescent="0.2">
      <c r="A1158" s="83" t="s">
        <v>1729</v>
      </c>
      <c r="B1158" s="43" t="s">
        <v>1534</v>
      </c>
      <c r="C1158" s="39">
        <v>-120</v>
      </c>
      <c r="D1158" s="37" t="s">
        <v>239</v>
      </c>
      <c r="E1158" s="37" t="s">
        <v>799</v>
      </c>
      <c r="F1158" s="39">
        <v>12</v>
      </c>
      <c r="G1158" s="49"/>
      <c r="H1158" s="49"/>
      <c r="I1158" s="49"/>
      <c r="J1158" s="40">
        <f>COUNTIF(System_configuration!B:B,A1158)</f>
        <v>0</v>
      </c>
    </row>
    <row r="1159" spans="1:10" s="29" customFormat="1" x14ac:dyDescent="0.2">
      <c r="A1159" s="83" t="s">
        <v>1730</v>
      </c>
      <c r="B1159" s="43" t="s">
        <v>1534</v>
      </c>
      <c r="C1159" s="39">
        <v>-120</v>
      </c>
      <c r="D1159" s="37" t="s">
        <v>238</v>
      </c>
      <c r="E1159" s="37" t="s">
        <v>800</v>
      </c>
      <c r="F1159" s="39">
        <v>12</v>
      </c>
      <c r="G1159" s="49"/>
      <c r="H1159" s="49"/>
      <c r="I1159" s="49"/>
      <c r="J1159" s="40">
        <f>COUNTIF(System_configuration!B:B,A1159)</f>
        <v>0</v>
      </c>
    </row>
    <row r="1160" spans="1:10" s="29" customFormat="1" x14ac:dyDescent="0.2">
      <c r="A1160" s="83" t="s">
        <v>1731</v>
      </c>
      <c r="B1160" s="43" t="s">
        <v>1534</v>
      </c>
      <c r="C1160" s="39">
        <v>-60</v>
      </c>
      <c r="D1160" s="37" t="s">
        <v>1732</v>
      </c>
      <c r="E1160" s="37" t="s">
        <v>1733</v>
      </c>
      <c r="F1160" s="39">
        <v>12</v>
      </c>
      <c r="G1160" s="49" t="s">
        <v>3568</v>
      </c>
      <c r="H1160" s="49" t="s">
        <v>3568</v>
      </c>
      <c r="I1160" s="49"/>
      <c r="J1160" s="40">
        <f>COUNTIF(System_configuration!B:B,A1160)</f>
        <v>0</v>
      </c>
    </row>
    <row r="1161" spans="1:10" s="29" customFormat="1" x14ac:dyDescent="0.2">
      <c r="A1161" s="83" t="s">
        <v>1734</v>
      </c>
      <c r="B1161" s="43" t="s">
        <v>1534</v>
      </c>
      <c r="C1161" s="39">
        <v>-50</v>
      </c>
      <c r="D1161" s="37" t="s">
        <v>175</v>
      </c>
      <c r="E1161" s="37" t="s">
        <v>959</v>
      </c>
      <c r="F1161" s="39">
        <v>12</v>
      </c>
      <c r="G1161" s="49" t="s">
        <v>3568</v>
      </c>
      <c r="H1161" s="49" t="s">
        <v>3568</v>
      </c>
      <c r="I1161" s="49"/>
      <c r="J1161" s="40">
        <f>COUNTIF(System_configuration!B:B,A1161)</f>
        <v>0</v>
      </c>
    </row>
    <row r="1162" spans="1:10" s="29" customFormat="1" x14ac:dyDescent="0.2">
      <c r="A1162" s="83" t="s">
        <v>1735</v>
      </c>
      <c r="B1162" s="43" t="s">
        <v>1534</v>
      </c>
      <c r="C1162" s="39">
        <v>-60</v>
      </c>
      <c r="D1162" s="37" t="s">
        <v>354</v>
      </c>
      <c r="E1162" s="37" t="s">
        <v>802</v>
      </c>
      <c r="F1162" s="39">
        <v>12</v>
      </c>
      <c r="G1162" s="49" t="s">
        <v>3568</v>
      </c>
      <c r="H1162" s="49" t="s">
        <v>3568</v>
      </c>
      <c r="I1162" s="49"/>
      <c r="J1162" s="40">
        <f>COUNTIF(System_configuration!B:B,A1162)</f>
        <v>0</v>
      </c>
    </row>
    <row r="1163" spans="1:10" s="29" customFormat="1" ht="38.25" x14ac:dyDescent="0.2">
      <c r="A1163" s="83" t="s">
        <v>1736</v>
      </c>
      <c r="B1163" s="43" t="s">
        <v>1534</v>
      </c>
      <c r="C1163" s="39">
        <v>-100</v>
      </c>
      <c r="D1163" s="37" t="s">
        <v>601</v>
      </c>
      <c r="E1163" s="37" t="s">
        <v>1737</v>
      </c>
      <c r="F1163" s="39">
        <v>24</v>
      </c>
      <c r="G1163" s="49" t="s">
        <v>3568</v>
      </c>
      <c r="H1163" s="49" t="s">
        <v>3568</v>
      </c>
      <c r="I1163" s="49"/>
      <c r="J1163" s="40">
        <f>COUNTIF(System_configuration!B:B,A1163)</f>
        <v>0</v>
      </c>
    </row>
    <row r="1164" spans="1:10" s="29" customFormat="1" x14ac:dyDescent="0.2">
      <c r="A1164" s="83" t="s">
        <v>1738</v>
      </c>
      <c r="B1164" s="43" t="s">
        <v>1534</v>
      </c>
      <c r="C1164" s="39">
        <v>-100</v>
      </c>
      <c r="D1164" s="37" t="s">
        <v>356</v>
      </c>
      <c r="E1164" s="37" t="s">
        <v>805</v>
      </c>
      <c r="F1164" s="39">
        <v>24</v>
      </c>
      <c r="G1164" s="49" t="s">
        <v>3568</v>
      </c>
      <c r="H1164" s="49" t="s">
        <v>3568</v>
      </c>
      <c r="I1164" s="49"/>
      <c r="J1164" s="40">
        <f>COUNTIF(System_configuration!B:B,A1164)</f>
        <v>0</v>
      </c>
    </row>
    <row r="1165" spans="1:10" s="29" customFormat="1" x14ac:dyDescent="0.2">
      <c r="A1165" s="83" t="s">
        <v>1739</v>
      </c>
      <c r="B1165" s="43" t="s">
        <v>1534</v>
      </c>
      <c r="C1165" s="39">
        <v>-100</v>
      </c>
      <c r="D1165" s="37" t="s">
        <v>1740</v>
      </c>
      <c r="E1165" s="37" t="s">
        <v>1741</v>
      </c>
      <c r="F1165" s="39">
        <v>24</v>
      </c>
      <c r="G1165" s="49" t="s">
        <v>3568</v>
      </c>
      <c r="H1165" s="49" t="s">
        <v>3568</v>
      </c>
      <c r="I1165" s="49"/>
      <c r="J1165" s="40">
        <f>COUNTIF(System_configuration!B:B,A1165)</f>
        <v>0</v>
      </c>
    </row>
    <row r="1166" spans="1:10" s="29" customFormat="1" x14ac:dyDescent="0.2">
      <c r="A1166" s="83" t="s">
        <v>1742</v>
      </c>
      <c r="B1166" s="43" t="s">
        <v>1534</v>
      </c>
      <c r="C1166" s="39">
        <v>-80</v>
      </c>
      <c r="D1166" s="37" t="s">
        <v>1743</v>
      </c>
      <c r="E1166" s="37" t="s">
        <v>1744</v>
      </c>
      <c r="F1166" s="39">
        <v>12</v>
      </c>
      <c r="G1166" s="49" t="s">
        <v>3568</v>
      </c>
      <c r="H1166" s="49" t="s">
        <v>3568</v>
      </c>
      <c r="I1166" s="49" t="s">
        <v>3568</v>
      </c>
      <c r="J1166" s="40">
        <f>COUNTIF(System_configuration!B:B,A1166)</f>
        <v>0</v>
      </c>
    </row>
    <row r="1167" spans="1:10" s="29" customFormat="1" ht="25.5" x14ac:dyDescent="0.2">
      <c r="A1167" s="83" t="s">
        <v>1745</v>
      </c>
      <c r="B1167" s="43" t="s">
        <v>1534</v>
      </c>
      <c r="C1167" s="39">
        <v>-60</v>
      </c>
      <c r="D1167" s="37" t="s">
        <v>1746</v>
      </c>
      <c r="E1167" s="37" t="s">
        <v>1747</v>
      </c>
      <c r="F1167" s="39">
        <v>12</v>
      </c>
      <c r="G1167" s="49"/>
      <c r="H1167" s="49"/>
      <c r="I1167" s="49" t="s">
        <v>3568</v>
      </c>
      <c r="J1167" s="40">
        <f>COUNTIF(System_configuration!B:B,A1167)</f>
        <v>0</v>
      </c>
    </row>
    <row r="1168" spans="1:10" s="29" customFormat="1" ht="25.5" x14ac:dyDescent="0.2">
      <c r="A1168" s="83" t="s">
        <v>1748</v>
      </c>
      <c r="B1168" s="43" t="s">
        <v>1534</v>
      </c>
      <c r="C1168" s="39">
        <v>-85</v>
      </c>
      <c r="D1168" s="37" t="s">
        <v>1749</v>
      </c>
      <c r="E1168" s="37" t="s">
        <v>1750</v>
      </c>
      <c r="F1168" s="39">
        <v>12</v>
      </c>
      <c r="G1168" s="49"/>
      <c r="H1168" s="49"/>
      <c r="I1168" s="49" t="s">
        <v>3568</v>
      </c>
      <c r="J1168" s="40">
        <f>COUNTIF(System_configuration!B:B,A1168)</f>
        <v>0</v>
      </c>
    </row>
    <row r="1169" spans="1:10" s="29" customFormat="1" x14ac:dyDescent="0.2">
      <c r="A1169" s="83" t="s">
        <v>1751</v>
      </c>
      <c r="B1169" s="43" t="s">
        <v>1534</v>
      </c>
      <c r="C1169" s="39">
        <v>-80</v>
      </c>
      <c r="D1169" s="37" t="s">
        <v>1752</v>
      </c>
      <c r="E1169" s="37" t="s">
        <v>1753</v>
      </c>
      <c r="F1169" s="39">
        <v>12</v>
      </c>
      <c r="G1169" s="49" t="s">
        <v>3568</v>
      </c>
      <c r="H1169" s="49" t="s">
        <v>3568</v>
      </c>
      <c r="I1169" s="49" t="s">
        <v>3568</v>
      </c>
      <c r="J1169" s="40">
        <f>COUNTIF(System_configuration!B:B,A1169)</f>
        <v>0</v>
      </c>
    </row>
    <row r="1170" spans="1:10" s="29" customFormat="1" x14ac:dyDescent="0.2">
      <c r="A1170" s="83" t="s">
        <v>1754</v>
      </c>
      <c r="B1170" s="43" t="s">
        <v>1534</v>
      </c>
      <c r="C1170" s="39">
        <v>-5</v>
      </c>
      <c r="D1170" s="37" t="s">
        <v>1755</v>
      </c>
      <c r="E1170" s="37" t="s">
        <v>1756</v>
      </c>
      <c r="F1170" s="39">
        <v>24</v>
      </c>
      <c r="G1170" s="49" t="s">
        <v>3568</v>
      </c>
      <c r="H1170" s="49" t="s">
        <v>3568</v>
      </c>
      <c r="I1170" s="49"/>
      <c r="J1170" s="40">
        <f>COUNTIF(System_configuration!B:B,A1170)</f>
        <v>0</v>
      </c>
    </row>
    <row r="1171" spans="1:10" s="29" customFormat="1" x14ac:dyDescent="0.2">
      <c r="A1171" s="83" t="s">
        <v>1757</v>
      </c>
      <c r="B1171" s="43" t="s">
        <v>1534</v>
      </c>
      <c r="C1171" s="39">
        <v>-90</v>
      </c>
      <c r="D1171" s="37" t="s">
        <v>1758</v>
      </c>
      <c r="E1171" s="37" t="s">
        <v>1759</v>
      </c>
      <c r="F1171" s="39">
        <v>12</v>
      </c>
      <c r="G1171" s="49"/>
      <c r="H1171" s="49"/>
      <c r="I1171" s="49"/>
      <c r="J1171" s="40">
        <f>COUNTIF(System_configuration!B:B,A1171)</f>
        <v>0</v>
      </c>
    </row>
    <row r="1172" spans="1:10" s="29" customFormat="1" ht="38.25" x14ac:dyDescent="0.2">
      <c r="A1172" s="83" t="s">
        <v>1760</v>
      </c>
      <c r="B1172" s="43" t="s">
        <v>1534</v>
      </c>
      <c r="C1172" s="39">
        <v>-165</v>
      </c>
      <c r="D1172" s="37" t="s">
        <v>1761</v>
      </c>
      <c r="E1172" s="37" t="s">
        <v>1762</v>
      </c>
      <c r="F1172" s="39">
        <v>12</v>
      </c>
      <c r="G1172" s="49" t="s">
        <v>3568</v>
      </c>
      <c r="H1172" s="49" t="s">
        <v>3568</v>
      </c>
      <c r="I1172" s="49"/>
      <c r="J1172" s="40">
        <f>COUNTIF(System_configuration!B:B,A1172)</f>
        <v>0</v>
      </c>
    </row>
    <row r="1173" spans="1:10" s="29" customFormat="1" x14ac:dyDescent="0.2">
      <c r="A1173" s="83" t="s">
        <v>1763</v>
      </c>
      <c r="B1173" s="43" t="s">
        <v>1534</v>
      </c>
      <c r="C1173" s="39">
        <v>-65</v>
      </c>
      <c r="D1173" s="37" t="s">
        <v>1764</v>
      </c>
      <c r="E1173" s="37" t="s">
        <v>1765</v>
      </c>
      <c r="F1173" s="39">
        <v>12</v>
      </c>
      <c r="G1173" s="49" t="s">
        <v>3568</v>
      </c>
      <c r="H1173" s="49" t="s">
        <v>3568</v>
      </c>
      <c r="I1173" s="49" t="s">
        <v>3568</v>
      </c>
      <c r="J1173" s="40">
        <f>COUNTIF(System_configuration!B:B,A1173)</f>
        <v>0</v>
      </c>
    </row>
    <row r="1174" spans="1:10" s="29" customFormat="1" x14ac:dyDescent="0.2">
      <c r="A1174" s="83" t="s">
        <v>1766</v>
      </c>
      <c r="B1174" s="43" t="s">
        <v>1534</v>
      </c>
      <c r="C1174" s="39">
        <v>-10</v>
      </c>
      <c r="D1174" s="37" t="s">
        <v>1767</v>
      </c>
      <c r="E1174" s="37" t="s">
        <v>1768</v>
      </c>
      <c r="F1174" s="39">
        <v>12</v>
      </c>
      <c r="G1174" s="49" t="s">
        <v>3568</v>
      </c>
      <c r="H1174" s="49" t="s">
        <v>3568</v>
      </c>
      <c r="I1174" s="49" t="s">
        <v>3568</v>
      </c>
      <c r="J1174" s="40">
        <f>COUNTIF(System_configuration!B:B,A1174)</f>
        <v>0</v>
      </c>
    </row>
    <row r="1175" spans="1:10" s="29" customFormat="1" x14ac:dyDescent="0.2">
      <c r="A1175" s="83" t="s">
        <v>1769</v>
      </c>
      <c r="B1175" s="43" t="s">
        <v>1534</v>
      </c>
      <c r="C1175" s="39">
        <v>-50</v>
      </c>
      <c r="D1175" s="37" t="s">
        <v>1770</v>
      </c>
      <c r="E1175" s="37" t="s">
        <v>1771</v>
      </c>
      <c r="F1175" s="39">
        <v>12</v>
      </c>
      <c r="G1175" s="49" t="s">
        <v>3568</v>
      </c>
      <c r="H1175" s="49" t="s">
        <v>3568</v>
      </c>
      <c r="I1175" s="49" t="s">
        <v>3568</v>
      </c>
      <c r="J1175" s="40">
        <f>COUNTIF(System_configuration!B:B,A1175)</f>
        <v>0</v>
      </c>
    </row>
    <row r="1176" spans="1:10" s="29" customFormat="1" x14ac:dyDescent="0.2">
      <c r="A1176" s="83" t="s">
        <v>1772</v>
      </c>
      <c r="B1176" s="43" t="s">
        <v>1534</v>
      </c>
      <c r="C1176" s="39">
        <v>-50</v>
      </c>
      <c r="D1176" s="37" t="s">
        <v>1773</v>
      </c>
      <c r="E1176" s="37" t="s">
        <v>1774</v>
      </c>
      <c r="F1176" s="39">
        <v>12</v>
      </c>
      <c r="G1176" s="49" t="s">
        <v>3568</v>
      </c>
      <c r="H1176" s="49" t="s">
        <v>3568</v>
      </c>
      <c r="I1176" s="49" t="s">
        <v>3568</v>
      </c>
      <c r="J1176" s="40">
        <f>COUNTIF(System_configuration!B:B,A1176)</f>
        <v>0</v>
      </c>
    </row>
    <row r="1177" spans="1:10" s="29" customFormat="1" x14ac:dyDescent="0.2">
      <c r="A1177" s="83" t="s">
        <v>1775</v>
      </c>
      <c r="B1177" s="43" t="s">
        <v>1534</v>
      </c>
      <c r="C1177" s="39">
        <v>-10</v>
      </c>
      <c r="D1177" s="37" t="s">
        <v>364</v>
      </c>
      <c r="E1177" s="37" t="s">
        <v>812</v>
      </c>
      <c r="F1177" s="39">
        <v>12</v>
      </c>
      <c r="G1177" s="49" t="s">
        <v>3568</v>
      </c>
      <c r="H1177" s="49" t="s">
        <v>3568</v>
      </c>
      <c r="I1177" s="49" t="s">
        <v>3568</v>
      </c>
      <c r="J1177" s="40">
        <f>COUNTIF(System_configuration!B:B,A1177)</f>
        <v>0</v>
      </c>
    </row>
    <row r="1178" spans="1:10" s="29" customFormat="1" x14ac:dyDescent="0.2">
      <c r="A1178" s="83" t="s">
        <v>1776</v>
      </c>
      <c r="B1178" s="43" t="s">
        <v>1534</v>
      </c>
      <c r="C1178" s="39">
        <v>-10</v>
      </c>
      <c r="D1178" s="37" t="s">
        <v>366</v>
      </c>
      <c r="E1178" s="37" t="s">
        <v>813</v>
      </c>
      <c r="F1178" s="39">
        <v>12</v>
      </c>
      <c r="G1178" s="49" t="s">
        <v>3568</v>
      </c>
      <c r="H1178" s="49" t="s">
        <v>3568</v>
      </c>
      <c r="I1178" s="49" t="s">
        <v>3568</v>
      </c>
      <c r="J1178" s="40">
        <f>COUNTIF(System_configuration!B:B,A1178)</f>
        <v>0</v>
      </c>
    </row>
    <row r="1179" spans="1:10" s="29" customFormat="1" ht="25.5" x14ac:dyDescent="0.2">
      <c r="A1179" s="83" t="s">
        <v>1777</v>
      </c>
      <c r="B1179" s="43" t="s">
        <v>1534</v>
      </c>
      <c r="C1179" s="39">
        <v>-10</v>
      </c>
      <c r="D1179" s="37" t="s">
        <v>1778</v>
      </c>
      <c r="E1179" s="37" t="s">
        <v>1779</v>
      </c>
      <c r="F1179" s="39">
        <v>12</v>
      </c>
      <c r="G1179" s="49"/>
      <c r="H1179" s="49"/>
      <c r="I1179" s="49"/>
      <c r="J1179" s="40">
        <f>COUNTIF(System_configuration!B:B,A1179)</f>
        <v>0</v>
      </c>
    </row>
    <row r="1180" spans="1:10" s="29" customFormat="1" x14ac:dyDescent="0.2">
      <c r="A1180" s="83" t="s">
        <v>1780</v>
      </c>
      <c r="B1180" s="43" t="s">
        <v>1534</v>
      </c>
      <c r="C1180" s="39">
        <v>-95</v>
      </c>
      <c r="D1180" s="37" t="s">
        <v>1781</v>
      </c>
      <c r="E1180" s="37" t="s">
        <v>1782</v>
      </c>
      <c r="F1180" s="39">
        <v>12</v>
      </c>
      <c r="G1180" s="49" t="s">
        <v>3568</v>
      </c>
      <c r="H1180" s="49" t="s">
        <v>3568</v>
      </c>
      <c r="I1180" s="49" t="s">
        <v>3568</v>
      </c>
      <c r="J1180" s="40">
        <f>COUNTIF(System_configuration!B:B,A1180)</f>
        <v>0</v>
      </c>
    </row>
    <row r="1181" spans="1:10" s="29" customFormat="1" x14ac:dyDescent="0.2">
      <c r="A1181" s="83" t="s">
        <v>1783</v>
      </c>
      <c r="B1181" s="43" t="s">
        <v>1534</v>
      </c>
      <c r="C1181" s="39">
        <v>-95</v>
      </c>
      <c r="D1181" s="37" t="s">
        <v>1784</v>
      </c>
      <c r="E1181" s="37" t="s">
        <v>1785</v>
      </c>
      <c r="F1181" s="39">
        <v>12</v>
      </c>
      <c r="G1181" s="49"/>
      <c r="H1181" s="49"/>
      <c r="I1181" s="49"/>
      <c r="J1181" s="40">
        <f>COUNTIF(System_configuration!B:B,A1181)</f>
        <v>0</v>
      </c>
    </row>
    <row r="1182" spans="1:10" s="29" customFormat="1" x14ac:dyDescent="0.2">
      <c r="A1182" s="83" t="s">
        <v>1786</v>
      </c>
      <c r="B1182" s="43" t="s">
        <v>1534</v>
      </c>
      <c r="C1182" s="39">
        <v>-95</v>
      </c>
      <c r="D1182" s="37" t="s">
        <v>1787</v>
      </c>
      <c r="E1182" s="37" t="s">
        <v>1788</v>
      </c>
      <c r="F1182" s="39">
        <v>12</v>
      </c>
      <c r="G1182" s="49" t="s">
        <v>3568</v>
      </c>
      <c r="H1182" s="49" t="s">
        <v>3568</v>
      </c>
      <c r="I1182" s="49" t="s">
        <v>3568</v>
      </c>
      <c r="J1182" s="40">
        <f>COUNTIF(System_configuration!B:B,A1182)</f>
        <v>0</v>
      </c>
    </row>
    <row r="1183" spans="1:10" s="29" customFormat="1" x14ac:dyDescent="0.2">
      <c r="A1183" s="83" t="s">
        <v>1789</v>
      </c>
      <c r="B1183" s="43" t="s">
        <v>1534</v>
      </c>
      <c r="C1183" s="39">
        <v>-95</v>
      </c>
      <c r="D1183" s="37" t="s">
        <v>1790</v>
      </c>
      <c r="E1183" s="37" t="s">
        <v>1791</v>
      </c>
      <c r="F1183" s="39">
        <v>12</v>
      </c>
      <c r="G1183" s="49"/>
      <c r="H1183" s="49"/>
      <c r="I1183" s="49"/>
      <c r="J1183" s="40">
        <f>COUNTIF(System_configuration!B:B,A1183)</f>
        <v>0</v>
      </c>
    </row>
    <row r="1184" spans="1:10" s="29" customFormat="1" x14ac:dyDescent="0.2">
      <c r="A1184" s="83" t="s">
        <v>1792</v>
      </c>
      <c r="B1184" s="43" t="s">
        <v>1534</v>
      </c>
      <c r="C1184" s="39">
        <v>-80</v>
      </c>
      <c r="D1184" s="37" t="s">
        <v>1793</v>
      </c>
      <c r="E1184" s="37" t="s">
        <v>1158</v>
      </c>
      <c r="F1184" s="39">
        <v>12</v>
      </c>
      <c r="G1184" s="49" t="s">
        <v>3568</v>
      </c>
      <c r="H1184" s="49" t="s">
        <v>3568</v>
      </c>
      <c r="I1184" s="49"/>
      <c r="J1184" s="40">
        <f>COUNTIF(System_configuration!B:B,A1184)</f>
        <v>0</v>
      </c>
    </row>
    <row r="1185" spans="1:10" s="29" customFormat="1" x14ac:dyDescent="0.2">
      <c r="A1185" s="83" t="s">
        <v>1794</v>
      </c>
      <c r="B1185" s="43" t="s">
        <v>1534</v>
      </c>
      <c r="C1185" s="39">
        <v>-95</v>
      </c>
      <c r="D1185" s="37" t="s">
        <v>1795</v>
      </c>
      <c r="E1185" s="37" t="s">
        <v>1796</v>
      </c>
      <c r="F1185" s="39">
        <v>12</v>
      </c>
      <c r="G1185" s="49" t="s">
        <v>3568</v>
      </c>
      <c r="H1185" s="49" t="s">
        <v>3568</v>
      </c>
      <c r="I1185" s="49" t="s">
        <v>3568</v>
      </c>
      <c r="J1185" s="40">
        <f>COUNTIF(System_configuration!B:B,A1185)</f>
        <v>0</v>
      </c>
    </row>
    <row r="1186" spans="1:10" s="29" customFormat="1" ht="25.5" x14ac:dyDescent="0.2">
      <c r="A1186" s="83" t="s">
        <v>1797</v>
      </c>
      <c r="B1186" s="43" t="s">
        <v>1534</v>
      </c>
      <c r="C1186" s="39">
        <v>-80</v>
      </c>
      <c r="D1186" s="37" t="s">
        <v>1207</v>
      </c>
      <c r="E1186" s="37" t="s">
        <v>1160</v>
      </c>
      <c r="F1186" s="39">
        <v>12</v>
      </c>
      <c r="G1186" s="49" t="s">
        <v>3568</v>
      </c>
      <c r="H1186" s="49" t="s">
        <v>3568</v>
      </c>
      <c r="I1186" s="49"/>
      <c r="J1186" s="40">
        <f>COUNTIF(System_configuration!B:B,A1186)</f>
        <v>0</v>
      </c>
    </row>
    <row r="1187" spans="1:10" s="29" customFormat="1" ht="25.5" x14ac:dyDescent="0.2">
      <c r="A1187" s="83" t="s">
        <v>1798</v>
      </c>
      <c r="B1187" s="43" t="s">
        <v>1534</v>
      </c>
      <c r="C1187" s="39">
        <v>-80</v>
      </c>
      <c r="D1187" s="37" t="s">
        <v>1799</v>
      </c>
      <c r="E1187" s="37" t="s">
        <v>1543</v>
      </c>
      <c r="F1187" s="39">
        <v>12</v>
      </c>
      <c r="G1187" s="49" t="s">
        <v>3568</v>
      </c>
      <c r="H1187" s="49" t="s">
        <v>3568</v>
      </c>
      <c r="I1187" s="49"/>
      <c r="J1187" s="40">
        <f>COUNTIF(System_configuration!B:B,A1187)</f>
        <v>0</v>
      </c>
    </row>
    <row r="1188" spans="1:10" s="29" customFormat="1" x14ac:dyDescent="0.2">
      <c r="A1188" s="83" t="s">
        <v>1800</v>
      </c>
      <c r="B1188" s="43" t="s">
        <v>1534</v>
      </c>
      <c r="C1188" s="39">
        <v>-20</v>
      </c>
      <c r="D1188" s="37" t="s">
        <v>371</v>
      </c>
      <c r="E1188" s="37" t="s">
        <v>815</v>
      </c>
      <c r="F1188" s="39">
        <v>12</v>
      </c>
      <c r="G1188" s="49" t="s">
        <v>3568</v>
      </c>
      <c r="H1188" s="49" t="s">
        <v>3568</v>
      </c>
      <c r="I1188" s="49"/>
      <c r="J1188" s="40">
        <f>COUNTIF(System_configuration!B:B,A1188)</f>
        <v>0</v>
      </c>
    </row>
    <row r="1189" spans="1:10" s="29" customFormat="1" x14ac:dyDescent="0.2">
      <c r="A1189" s="83" t="s">
        <v>1801</v>
      </c>
      <c r="B1189" s="43" t="s">
        <v>1534</v>
      </c>
      <c r="C1189" s="39">
        <v>-35</v>
      </c>
      <c r="D1189" s="37" t="s">
        <v>373</v>
      </c>
      <c r="E1189" s="37" t="s">
        <v>816</v>
      </c>
      <c r="F1189" s="39">
        <v>12</v>
      </c>
      <c r="G1189" s="49" t="s">
        <v>3568</v>
      </c>
      <c r="H1189" s="49" t="s">
        <v>3568</v>
      </c>
      <c r="I1189" s="49"/>
      <c r="J1189" s="40">
        <f>COUNTIF(System_configuration!B:B,A1189)</f>
        <v>0</v>
      </c>
    </row>
    <row r="1190" spans="1:10" s="29" customFormat="1" x14ac:dyDescent="0.2">
      <c r="A1190" s="83" t="s">
        <v>1802</v>
      </c>
      <c r="B1190" s="43" t="s">
        <v>1534</v>
      </c>
      <c r="C1190" s="39">
        <v>-80</v>
      </c>
      <c r="D1190" s="37" t="s">
        <v>1803</v>
      </c>
      <c r="E1190" s="37" t="s">
        <v>1804</v>
      </c>
      <c r="F1190" s="39">
        <v>12</v>
      </c>
      <c r="G1190" s="49" t="s">
        <v>3568</v>
      </c>
      <c r="H1190" s="49" t="s">
        <v>3568</v>
      </c>
      <c r="I1190" s="49"/>
      <c r="J1190" s="40">
        <f>COUNTIF(System_configuration!B:B,A1190)</f>
        <v>0</v>
      </c>
    </row>
    <row r="1191" spans="1:10" s="29" customFormat="1" x14ac:dyDescent="0.2">
      <c r="A1191" s="83" t="s">
        <v>1805</v>
      </c>
      <c r="B1191" s="43" t="s">
        <v>1534</v>
      </c>
      <c r="C1191" s="39">
        <v>-18</v>
      </c>
      <c r="D1191" s="37" t="s">
        <v>761</v>
      </c>
      <c r="E1191" s="37" t="s">
        <v>818</v>
      </c>
      <c r="F1191" s="39">
        <v>12</v>
      </c>
      <c r="G1191" s="49" t="s">
        <v>3568</v>
      </c>
      <c r="H1191" s="49" t="s">
        <v>3568</v>
      </c>
      <c r="I1191" s="49"/>
      <c r="J1191" s="40">
        <f>COUNTIF(System_configuration!B:B,A1191)</f>
        <v>0</v>
      </c>
    </row>
    <row r="1192" spans="1:10" s="29" customFormat="1" x14ac:dyDescent="0.2">
      <c r="A1192" s="83" t="s">
        <v>1806</v>
      </c>
      <c r="B1192" s="43" t="s">
        <v>1534</v>
      </c>
      <c r="C1192" s="39">
        <v>-5</v>
      </c>
      <c r="D1192" s="37" t="s">
        <v>375</v>
      </c>
      <c r="E1192" s="37" t="s">
        <v>819</v>
      </c>
      <c r="F1192" s="39">
        <v>12</v>
      </c>
      <c r="G1192" s="49"/>
      <c r="H1192" s="49"/>
      <c r="I1192" s="49"/>
      <c r="J1192" s="40">
        <f>COUNTIF(System_configuration!B:B,A1192)</f>
        <v>0</v>
      </c>
    </row>
    <row r="1193" spans="1:10" s="29" customFormat="1" x14ac:dyDescent="0.2">
      <c r="A1193" s="83" t="s">
        <v>1807</v>
      </c>
      <c r="B1193" s="43" t="s">
        <v>1534</v>
      </c>
      <c r="C1193" s="39">
        <v>-5</v>
      </c>
      <c r="D1193" s="37" t="s">
        <v>377</v>
      </c>
      <c r="E1193" s="37" t="s">
        <v>820</v>
      </c>
      <c r="F1193" s="39">
        <v>12</v>
      </c>
      <c r="G1193" s="49"/>
      <c r="H1193" s="49"/>
      <c r="I1193" s="49"/>
      <c r="J1193" s="40">
        <f>COUNTIF(System_configuration!B:B,A1193)</f>
        <v>0</v>
      </c>
    </row>
    <row r="1194" spans="1:10" s="29" customFormat="1" x14ac:dyDescent="0.2">
      <c r="A1194" s="83" t="s">
        <v>1808</v>
      </c>
      <c r="B1194" s="43" t="s">
        <v>1534</v>
      </c>
      <c r="C1194" s="39">
        <v>-45</v>
      </c>
      <c r="D1194" s="37" t="s">
        <v>379</v>
      </c>
      <c r="E1194" s="37" t="s">
        <v>821</v>
      </c>
      <c r="F1194" s="39">
        <v>12</v>
      </c>
      <c r="G1194" s="49" t="s">
        <v>3568</v>
      </c>
      <c r="H1194" s="49" t="s">
        <v>3568</v>
      </c>
      <c r="I1194" s="49"/>
      <c r="J1194" s="40">
        <f>COUNTIF(System_configuration!B:B,A1194)</f>
        <v>0</v>
      </c>
    </row>
    <row r="1195" spans="1:10" s="29" customFormat="1" x14ac:dyDescent="0.2">
      <c r="A1195" s="83" t="s">
        <v>1809</v>
      </c>
      <c r="B1195" s="43" t="s">
        <v>1534</v>
      </c>
      <c r="C1195" s="39">
        <v>-250</v>
      </c>
      <c r="D1195" s="37" t="s">
        <v>382</v>
      </c>
      <c r="E1195" s="37" t="s">
        <v>824</v>
      </c>
      <c r="F1195" s="39">
        <v>24</v>
      </c>
      <c r="G1195" s="49" t="s">
        <v>3568</v>
      </c>
      <c r="H1195" s="49" t="s">
        <v>3568</v>
      </c>
      <c r="I1195" s="49"/>
      <c r="J1195" s="40">
        <f>COUNTIF(System_configuration!B:B,A1195)</f>
        <v>0</v>
      </c>
    </row>
    <row r="1196" spans="1:10" s="29" customFormat="1" x14ac:dyDescent="0.2">
      <c r="A1196" s="83" t="s">
        <v>1810</v>
      </c>
      <c r="B1196" s="43" t="s">
        <v>1534</v>
      </c>
      <c r="C1196" s="39">
        <v>-65</v>
      </c>
      <c r="D1196" s="37" t="s">
        <v>1811</v>
      </c>
      <c r="E1196" s="37" t="s">
        <v>1812</v>
      </c>
      <c r="F1196" s="39">
        <v>12</v>
      </c>
      <c r="G1196" s="49"/>
      <c r="H1196" s="49"/>
      <c r="I1196" s="49"/>
      <c r="J1196" s="40">
        <f>COUNTIF(System_configuration!B:B,A1196)</f>
        <v>0</v>
      </c>
    </row>
    <row r="1197" spans="1:10" s="29" customFormat="1" x14ac:dyDescent="0.2">
      <c r="A1197" s="83" t="s">
        <v>1813</v>
      </c>
      <c r="B1197" s="43" t="s">
        <v>1534</v>
      </c>
      <c r="C1197" s="39">
        <v>-65</v>
      </c>
      <c r="D1197" s="37" t="s">
        <v>1814</v>
      </c>
      <c r="E1197" s="37" t="s">
        <v>1815</v>
      </c>
      <c r="F1197" s="39">
        <v>12</v>
      </c>
      <c r="G1197" s="49"/>
      <c r="H1197" s="49"/>
      <c r="I1197" s="49"/>
      <c r="J1197" s="40">
        <f>COUNTIF(System_configuration!B:B,A1197)</f>
        <v>0</v>
      </c>
    </row>
    <row r="1198" spans="1:10" s="29" customFormat="1" x14ac:dyDescent="0.2">
      <c r="A1198" s="83" t="s">
        <v>1816</v>
      </c>
      <c r="B1198" s="43" t="s">
        <v>1534</v>
      </c>
      <c r="C1198" s="39">
        <v>-60</v>
      </c>
      <c r="D1198" s="37" t="s">
        <v>391</v>
      </c>
      <c r="E1198" s="37" t="s">
        <v>829</v>
      </c>
      <c r="F1198" s="39">
        <v>12</v>
      </c>
      <c r="G1198" s="49"/>
      <c r="H1198" s="49"/>
      <c r="I1198" s="49"/>
      <c r="J1198" s="40">
        <f>COUNTIF(System_configuration!B:B,A1198)</f>
        <v>0</v>
      </c>
    </row>
    <row r="1199" spans="1:10" s="29" customFormat="1" x14ac:dyDescent="0.2">
      <c r="A1199" s="83" t="s">
        <v>1817</v>
      </c>
      <c r="B1199" s="43" t="s">
        <v>1534</v>
      </c>
      <c r="C1199" s="39">
        <v>-60</v>
      </c>
      <c r="D1199" s="37" t="s">
        <v>1818</v>
      </c>
      <c r="E1199" s="37" t="s">
        <v>1819</v>
      </c>
      <c r="F1199" s="39">
        <v>12</v>
      </c>
      <c r="G1199" s="49"/>
      <c r="H1199" s="49"/>
      <c r="I1199" s="49"/>
      <c r="J1199" s="40">
        <f>COUNTIF(System_configuration!B:B,A1199)</f>
        <v>0</v>
      </c>
    </row>
    <row r="1200" spans="1:10" s="29" customFormat="1" x14ac:dyDescent="0.2">
      <c r="A1200" s="83" t="s">
        <v>1820</v>
      </c>
      <c r="B1200" s="43" t="s">
        <v>1534</v>
      </c>
      <c r="C1200" s="39">
        <v>-60</v>
      </c>
      <c r="D1200" s="37" t="s">
        <v>397</v>
      </c>
      <c r="E1200" s="37" t="s">
        <v>832</v>
      </c>
      <c r="F1200" s="39">
        <v>12</v>
      </c>
      <c r="G1200" s="49"/>
      <c r="H1200" s="49"/>
      <c r="I1200" s="49"/>
      <c r="J1200" s="40">
        <f>COUNTIF(System_configuration!B:B,A1200)</f>
        <v>0</v>
      </c>
    </row>
    <row r="1201" spans="1:10" s="29" customFormat="1" x14ac:dyDescent="0.2">
      <c r="A1201" s="83" t="s">
        <v>1821</v>
      </c>
      <c r="B1201" s="43" t="s">
        <v>1534</v>
      </c>
      <c r="C1201" s="39">
        <v>-60</v>
      </c>
      <c r="D1201" s="37" t="s">
        <v>1822</v>
      </c>
      <c r="E1201" s="37" t="s">
        <v>1823</v>
      </c>
      <c r="F1201" s="39">
        <v>12</v>
      </c>
      <c r="G1201" s="49"/>
      <c r="H1201" s="49"/>
      <c r="I1201" s="49"/>
      <c r="J1201" s="40">
        <f>COUNTIF(System_configuration!B:B,A1201)</f>
        <v>0</v>
      </c>
    </row>
    <row r="1202" spans="1:10" s="29" customFormat="1" ht="25.5" x14ac:dyDescent="0.2">
      <c r="A1202" s="83" t="s">
        <v>1824</v>
      </c>
      <c r="B1202" s="43" t="s">
        <v>1534</v>
      </c>
      <c r="C1202" s="39">
        <v>-65</v>
      </c>
      <c r="D1202" s="37" t="s">
        <v>1825</v>
      </c>
      <c r="E1202" s="37" t="s">
        <v>1826</v>
      </c>
      <c r="F1202" s="39">
        <v>12</v>
      </c>
      <c r="G1202" s="49" t="s">
        <v>3568</v>
      </c>
      <c r="H1202" s="49" t="s">
        <v>3568</v>
      </c>
      <c r="I1202" s="49"/>
      <c r="J1202" s="40">
        <f>COUNTIF(System_configuration!B:B,A1202)</f>
        <v>0</v>
      </c>
    </row>
    <row r="1203" spans="1:10" s="29" customFormat="1" ht="25.5" x14ac:dyDescent="0.2">
      <c r="A1203" s="83" t="s">
        <v>1827</v>
      </c>
      <c r="B1203" s="43" t="s">
        <v>1534</v>
      </c>
      <c r="C1203" s="39">
        <v>-65</v>
      </c>
      <c r="D1203" s="37" t="s">
        <v>1828</v>
      </c>
      <c r="E1203" s="37" t="s">
        <v>1829</v>
      </c>
      <c r="F1203" s="39">
        <v>12</v>
      </c>
      <c r="G1203" s="49" t="s">
        <v>3568</v>
      </c>
      <c r="H1203" s="49" t="s">
        <v>3568</v>
      </c>
      <c r="I1203" s="49"/>
      <c r="J1203" s="40">
        <f>COUNTIF(System_configuration!B:B,A1203)</f>
        <v>0</v>
      </c>
    </row>
    <row r="1204" spans="1:10" s="29" customFormat="1" x14ac:dyDescent="0.2">
      <c r="A1204" s="83" t="s">
        <v>1830</v>
      </c>
      <c r="B1204" s="43" t="s">
        <v>1534</v>
      </c>
      <c r="C1204" s="39">
        <v>-65</v>
      </c>
      <c r="D1204" s="37" t="s">
        <v>1831</v>
      </c>
      <c r="E1204" s="37" t="s">
        <v>1832</v>
      </c>
      <c r="F1204" s="39">
        <v>12</v>
      </c>
      <c r="G1204" s="49"/>
      <c r="H1204" s="49"/>
      <c r="I1204" s="49"/>
      <c r="J1204" s="40">
        <f>COUNTIF(System_configuration!B:B,A1204)</f>
        <v>0</v>
      </c>
    </row>
    <row r="1205" spans="1:10" s="29" customFormat="1" ht="25.5" x14ac:dyDescent="0.2">
      <c r="A1205" s="83" t="s">
        <v>1833</v>
      </c>
      <c r="B1205" s="43" t="s">
        <v>1534</v>
      </c>
      <c r="C1205" s="39">
        <v>-65</v>
      </c>
      <c r="D1205" s="37" t="s">
        <v>1834</v>
      </c>
      <c r="E1205" s="37" t="s">
        <v>1835</v>
      </c>
      <c r="F1205" s="39">
        <v>12</v>
      </c>
      <c r="G1205" s="49" t="s">
        <v>3568</v>
      </c>
      <c r="H1205" s="49" t="s">
        <v>3568</v>
      </c>
      <c r="I1205" s="49"/>
      <c r="J1205" s="40">
        <f>COUNTIF(System_configuration!B:B,A1205)</f>
        <v>0</v>
      </c>
    </row>
    <row r="1206" spans="1:10" s="29" customFormat="1" ht="25.5" x14ac:dyDescent="0.2">
      <c r="A1206" s="83" t="s">
        <v>1836</v>
      </c>
      <c r="B1206" s="43" t="s">
        <v>1534</v>
      </c>
      <c r="C1206" s="39">
        <v>-65</v>
      </c>
      <c r="D1206" s="37" t="s">
        <v>1837</v>
      </c>
      <c r="E1206" s="37" t="s">
        <v>1838</v>
      </c>
      <c r="F1206" s="39">
        <v>12</v>
      </c>
      <c r="G1206" s="49" t="s">
        <v>3568</v>
      </c>
      <c r="H1206" s="49" t="s">
        <v>3568</v>
      </c>
      <c r="I1206" s="49"/>
      <c r="J1206" s="40">
        <f>COUNTIF(System_configuration!B:B,A1206)</f>
        <v>0</v>
      </c>
    </row>
    <row r="1207" spans="1:10" s="29" customFormat="1" x14ac:dyDescent="0.2">
      <c r="A1207" s="83" t="s">
        <v>1839</v>
      </c>
      <c r="B1207" s="43" t="s">
        <v>1534</v>
      </c>
      <c r="C1207" s="39">
        <v>-75</v>
      </c>
      <c r="D1207" s="37" t="s">
        <v>1840</v>
      </c>
      <c r="E1207" s="37" t="s">
        <v>1841</v>
      </c>
      <c r="F1207" s="39">
        <v>12</v>
      </c>
      <c r="G1207" s="49"/>
      <c r="H1207" s="49"/>
      <c r="I1207" s="49"/>
      <c r="J1207" s="40">
        <f>COUNTIF(System_configuration!B:B,A1207)</f>
        <v>0</v>
      </c>
    </row>
    <row r="1208" spans="1:10" s="29" customFormat="1" x14ac:dyDescent="0.2">
      <c r="A1208" s="83" t="s">
        <v>1842</v>
      </c>
      <c r="B1208" s="43" t="s">
        <v>1534</v>
      </c>
      <c r="C1208" s="39">
        <v>-60</v>
      </c>
      <c r="D1208" s="37" t="s">
        <v>419</v>
      </c>
      <c r="E1208" s="37" t="s">
        <v>1843</v>
      </c>
      <c r="F1208" s="39">
        <v>12</v>
      </c>
      <c r="G1208" s="49"/>
      <c r="H1208" s="49"/>
      <c r="I1208" s="49"/>
      <c r="J1208" s="40">
        <f>COUNTIF(System_configuration!B:B,A1208)</f>
        <v>0</v>
      </c>
    </row>
    <row r="1209" spans="1:10" s="29" customFormat="1" x14ac:dyDescent="0.2">
      <c r="A1209" s="83" t="s">
        <v>1844</v>
      </c>
      <c r="B1209" s="43" t="s">
        <v>1534</v>
      </c>
      <c r="C1209" s="39">
        <v>-60</v>
      </c>
      <c r="D1209" s="37" t="s">
        <v>421</v>
      </c>
      <c r="E1209" s="37" t="s">
        <v>1845</v>
      </c>
      <c r="F1209" s="39">
        <v>12</v>
      </c>
      <c r="G1209" s="49"/>
      <c r="H1209" s="49"/>
      <c r="I1209" s="49"/>
      <c r="J1209" s="40">
        <f>COUNTIF(System_configuration!B:B,A1209)</f>
        <v>0</v>
      </c>
    </row>
    <row r="1210" spans="1:10" s="29" customFormat="1" x14ac:dyDescent="0.2">
      <c r="A1210" s="83" t="s">
        <v>1846</v>
      </c>
      <c r="B1210" s="43" t="s">
        <v>1534</v>
      </c>
      <c r="C1210" s="39">
        <v>-85</v>
      </c>
      <c r="D1210" s="37" t="s">
        <v>1847</v>
      </c>
      <c r="E1210" s="37" t="s">
        <v>1848</v>
      </c>
      <c r="F1210" s="39">
        <v>12</v>
      </c>
      <c r="G1210" s="49"/>
      <c r="H1210" s="49"/>
      <c r="I1210" s="49"/>
      <c r="J1210" s="40">
        <f>COUNTIF(System_configuration!B:B,A1210)</f>
        <v>0</v>
      </c>
    </row>
    <row r="1211" spans="1:10" s="29" customFormat="1" x14ac:dyDescent="0.2">
      <c r="A1211" s="83" t="s">
        <v>1849</v>
      </c>
      <c r="B1211" s="43" t="s">
        <v>1534</v>
      </c>
      <c r="C1211" s="39">
        <v>-65</v>
      </c>
      <c r="D1211" s="37" t="s">
        <v>1850</v>
      </c>
      <c r="E1211" s="37" t="s">
        <v>849</v>
      </c>
      <c r="F1211" s="39">
        <v>12</v>
      </c>
      <c r="G1211" s="49"/>
      <c r="H1211" s="49"/>
      <c r="I1211" s="49"/>
      <c r="J1211" s="40">
        <f>COUNTIF(System_configuration!B:B,A1211)</f>
        <v>0</v>
      </c>
    </row>
    <row r="1212" spans="1:10" s="29" customFormat="1" x14ac:dyDescent="0.2">
      <c r="A1212" s="83" t="s">
        <v>1851</v>
      </c>
      <c r="B1212" s="43" t="s">
        <v>1534</v>
      </c>
      <c r="C1212" s="39">
        <v>-60</v>
      </c>
      <c r="D1212" s="37" t="s">
        <v>1852</v>
      </c>
      <c r="E1212" s="37" t="s">
        <v>852</v>
      </c>
      <c r="F1212" s="39">
        <v>12</v>
      </c>
      <c r="G1212" s="49"/>
      <c r="H1212" s="49"/>
      <c r="I1212" s="49"/>
      <c r="J1212" s="40">
        <f>COUNTIF(System_configuration!B:B,A1212)</f>
        <v>0</v>
      </c>
    </row>
    <row r="1213" spans="1:10" s="29" customFormat="1" x14ac:dyDescent="0.2">
      <c r="A1213" s="83" t="s">
        <v>1853</v>
      </c>
      <c r="B1213" s="43" t="s">
        <v>1534</v>
      </c>
      <c r="C1213" s="39">
        <v>-60</v>
      </c>
      <c r="D1213" s="37" t="s">
        <v>1854</v>
      </c>
      <c r="E1213" s="37" t="s">
        <v>855</v>
      </c>
      <c r="F1213" s="39">
        <v>12</v>
      </c>
      <c r="G1213" s="49"/>
      <c r="H1213" s="49"/>
      <c r="I1213" s="49"/>
      <c r="J1213" s="40">
        <f>COUNTIF(System_configuration!B:B,A1213)</f>
        <v>0</v>
      </c>
    </row>
    <row r="1214" spans="1:10" s="29" customFormat="1" x14ac:dyDescent="0.2">
      <c r="A1214" s="83" t="s">
        <v>1855</v>
      </c>
      <c r="B1214" s="43" t="s">
        <v>1534</v>
      </c>
      <c r="C1214" s="39">
        <v>-85</v>
      </c>
      <c r="D1214" s="37" t="s">
        <v>1856</v>
      </c>
      <c r="E1214" s="37" t="s">
        <v>1857</v>
      </c>
      <c r="F1214" s="39">
        <v>12</v>
      </c>
      <c r="G1214" s="49" t="s">
        <v>3568</v>
      </c>
      <c r="H1214" s="49" t="s">
        <v>3568</v>
      </c>
      <c r="I1214" s="49"/>
      <c r="J1214" s="40">
        <f>COUNTIF(System_configuration!B:B,A1214)</f>
        <v>0</v>
      </c>
    </row>
    <row r="1215" spans="1:10" s="29" customFormat="1" x14ac:dyDescent="0.2">
      <c r="A1215" s="83" t="s">
        <v>1858</v>
      </c>
      <c r="B1215" s="43" t="s">
        <v>1534</v>
      </c>
      <c r="C1215" s="39">
        <v>-85</v>
      </c>
      <c r="D1215" s="37" t="s">
        <v>1859</v>
      </c>
      <c r="E1215" s="37" t="s">
        <v>1860</v>
      </c>
      <c r="F1215" s="39">
        <v>12</v>
      </c>
      <c r="G1215" s="49" t="s">
        <v>3568</v>
      </c>
      <c r="H1215" s="49" t="s">
        <v>3568</v>
      </c>
      <c r="I1215" s="49"/>
      <c r="J1215" s="40">
        <f>COUNTIF(System_configuration!B:B,A1215)</f>
        <v>0</v>
      </c>
    </row>
    <row r="1216" spans="1:10" s="29" customFormat="1" x14ac:dyDescent="0.2">
      <c r="A1216" s="83" t="s">
        <v>1861</v>
      </c>
      <c r="B1216" s="43" t="s">
        <v>1534</v>
      </c>
      <c r="C1216" s="39">
        <v>-85</v>
      </c>
      <c r="D1216" s="37" t="s">
        <v>1862</v>
      </c>
      <c r="E1216" s="37" t="s">
        <v>1863</v>
      </c>
      <c r="F1216" s="39">
        <v>12</v>
      </c>
      <c r="G1216" s="49" t="s">
        <v>3568</v>
      </c>
      <c r="H1216" s="49" t="s">
        <v>3568</v>
      </c>
      <c r="I1216" s="49"/>
      <c r="J1216" s="40">
        <f>COUNTIF(System_configuration!B:B,A1216)</f>
        <v>0</v>
      </c>
    </row>
    <row r="1217" spans="1:10" s="29" customFormat="1" x14ac:dyDescent="0.2">
      <c r="A1217" s="83" t="s">
        <v>1864</v>
      </c>
      <c r="B1217" s="43" t="s">
        <v>1534</v>
      </c>
      <c r="C1217" s="39">
        <v>-85</v>
      </c>
      <c r="D1217" s="37" t="s">
        <v>1865</v>
      </c>
      <c r="E1217" s="37" t="s">
        <v>1866</v>
      </c>
      <c r="F1217" s="39">
        <v>12</v>
      </c>
      <c r="G1217" s="49" t="s">
        <v>3568</v>
      </c>
      <c r="H1217" s="49" t="s">
        <v>3568</v>
      </c>
      <c r="I1217" s="49"/>
      <c r="J1217" s="40">
        <f>COUNTIF(System_configuration!B:B,A1217)</f>
        <v>0</v>
      </c>
    </row>
    <row r="1218" spans="1:10" s="29" customFormat="1" x14ac:dyDescent="0.2">
      <c r="A1218" s="83" t="s">
        <v>1867</v>
      </c>
      <c r="B1218" s="43" t="s">
        <v>1534</v>
      </c>
      <c r="C1218" s="39">
        <v>-85</v>
      </c>
      <c r="D1218" s="37" t="s">
        <v>1868</v>
      </c>
      <c r="E1218" s="37" t="s">
        <v>1869</v>
      </c>
      <c r="F1218" s="39">
        <v>12</v>
      </c>
      <c r="G1218" s="49" t="s">
        <v>3568</v>
      </c>
      <c r="H1218" s="49" t="s">
        <v>3568</v>
      </c>
      <c r="I1218" s="49"/>
      <c r="J1218" s="40">
        <f>COUNTIF(System_configuration!B:B,A1218)</f>
        <v>0</v>
      </c>
    </row>
    <row r="1219" spans="1:10" s="29" customFormat="1" x14ac:dyDescent="0.2">
      <c r="A1219" s="83" t="s">
        <v>1870</v>
      </c>
      <c r="B1219" s="43" t="s">
        <v>1534</v>
      </c>
      <c r="C1219" s="39">
        <v>-85</v>
      </c>
      <c r="D1219" s="37" t="s">
        <v>1871</v>
      </c>
      <c r="E1219" s="37" t="s">
        <v>1872</v>
      </c>
      <c r="F1219" s="39">
        <v>12</v>
      </c>
      <c r="G1219" s="49" t="s">
        <v>3568</v>
      </c>
      <c r="H1219" s="49" t="s">
        <v>3568</v>
      </c>
      <c r="I1219" s="49"/>
      <c r="J1219" s="40">
        <f>COUNTIF(System_configuration!B:B,A1219)</f>
        <v>0</v>
      </c>
    </row>
    <row r="1220" spans="1:10" s="29" customFormat="1" x14ac:dyDescent="0.2">
      <c r="A1220" s="83" t="s">
        <v>1873</v>
      </c>
      <c r="B1220" s="43" t="s">
        <v>1534</v>
      </c>
      <c r="C1220" s="39">
        <v>-60</v>
      </c>
      <c r="D1220" s="37" t="s">
        <v>1874</v>
      </c>
      <c r="E1220" s="37" t="s">
        <v>1875</v>
      </c>
      <c r="F1220" s="39">
        <v>12</v>
      </c>
      <c r="G1220" s="49"/>
      <c r="H1220" s="49"/>
      <c r="I1220" s="49"/>
      <c r="J1220" s="40">
        <f>COUNTIF(System_configuration!B:B,A1220)</f>
        <v>0</v>
      </c>
    </row>
    <row r="1221" spans="1:10" s="29" customFormat="1" x14ac:dyDescent="0.2">
      <c r="A1221" s="83" t="s">
        <v>1248</v>
      </c>
      <c r="B1221" s="43" t="s">
        <v>1534</v>
      </c>
      <c r="C1221" s="39">
        <v>-60</v>
      </c>
      <c r="D1221" s="37" t="s">
        <v>1876</v>
      </c>
      <c r="E1221" s="37" t="s">
        <v>1877</v>
      </c>
      <c r="F1221" s="39">
        <v>12</v>
      </c>
      <c r="G1221" s="49"/>
      <c r="H1221" s="49"/>
      <c r="I1221" s="49"/>
      <c r="J1221" s="40">
        <f>COUNTIF(System_configuration!B:B,A1221)</f>
        <v>0</v>
      </c>
    </row>
    <row r="1222" spans="1:10" s="29" customFormat="1" x14ac:dyDescent="0.2">
      <c r="A1222" s="83" t="s">
        <v>1878</v>
      </c>
      <c r="B1222" s="43" t="s">
        <v>1534</v>
      </c>
      <c r="C1222" s="39">
        <v>-60</v>
      </c>
      <c r="D1222" s="37" t="s">
        <v>469</v>
      </c>
      <c r="E1222" s="37" t="s">
        <v>872</v>
      </c>
      <c r="F1222" s="39">
        <v>12</v>
      </c>
      <c r="G1222" s="49"/>
      <c r="H1222" s="49"/>
      <c r="I1222" s="49"/>
      <c r="J1222" s="40">
        <f>COUNTIF(System_configuration!B:B,A1222)</f>
        <v>0</v>
      </c>
    </row>
    <row r="1223" spans="1:10" s="29" customFormat="1" x14ac:dyDescent="0.2">
      <c r="A1223" s="83" t="s">
        <v>1879</v>
      </c>
      <c r="B1223" s="43" t="s">
        <v>1534</v>
      </c>
      <c r="C1223" s="39">
        <v>-60</v>
      </c>
      <c r="D1223" s="37" t="s">
        <v>1880</v>
      </c>
      <c r="E1223" s="37" t="s">
        <v>1881</v>
      </c>
      <c r="F1223" s="39">
        <v>12</v>
      </c>
      <c r="G1223" s="49"/>
      <c r="H1223" s="49"/>
      <c r="I1223" s="49"/>
      <c r="J1223" s="40">
        <f>COUNTIF(System_configuration!B:B,A1223)</f>
        <v>0</v>
      </c>
    </row>
    <row r="1224" spans="1:10" s="29" customFormat="1" ht="38.25" x14ac:dyDescent="0.2">
      <c r="A1224" s="83" t="s">
        <v>1882</v>
      </c>
      <c r="B1224" s="43" t="s">
        <v>1534</v>
      </c>
      <c r="C1224" s="39">
        <v>-85</v>
      </c>
      <c r="D1224" s="37" t="s">
        <v>1883</v>
      </c>
      <c r="E1224" s="37" t="s">
        <v>1884</v>
      </c>
      <c r="F1224" s="39">
        <v>12</v>
      </c>
      <c r="G1224" s="49" t="s">
        <v>3568</v>
      </c>
      <c r="H1224" s="49" t="s">
        <v>3568</v>
      </c>
      <c r="I1224" s="49"/>
      <c r="J1224" s="40">
        <f>COUNTIF(System_configuration!B:B,A1224)</f>
        <v>0</v>
      </c>
    </row>
    <row r="1225" spans="1:10" s="29" customFormat="1" x14ac:dyDescent="0.2">
      <c r="A1225" s="83" t="s">
        <v>1885</v>
      </c>
      <c r="B1225" s="43" t="s">
        <v>1534</v>
      </c>
      <c r="C1225" s="39">
        <v>-120</v>
      </c>
      <c r="D1225" s="37" t="s">
        <v>1214</v>
      </c>
      <c r="E1225" s="37" t="s">
        <v>1164</v>
      </c>
      <c r="F1225" s="39">
        <v>12</v>
      </c>
      <c r="G1225" s="49" t="s">
        <v>3568</v>
      </c>
      <c r="H1225" s="49" t="s">
        <v>3568</v>
      </c>
      <c r="I1225" s="49"/>
      <c r="J1225" s="40">
        <f>COUNTIF(System_configuration!B:B,A1225)</f>
        <v>0</v>
      </c>
    </row>
    <row r="1226" spans="1:10" s="29" customFormat="1" x14ac:dyDescent="0.2">
      <c r="A1226" s="83" t="s">
        <v>1886</v>
      </c>
      <c r="B1226" s="43" t="s">
        <v>1534</v>
      </c>
      <c r="C1226" s="39">
        <v>-60</v>
      </c>
      <c r="D1226" s="37" t="s">
        <v>468</v>
      </c>
      <c r="E1226" s="37" t="s">
        <v>870</v>
      </c>
      <c r="F1226" s="39">
        <v>12</v>
      </c>
      <c r="G1226" s="49" t="s">
        <v>3568</v>
      </c>
      <c r="H1226" s="49" t="s">
        <v>3568</v>
      </c>
      <c r="I1226" s="49"/>
      <c r="J1226" s="40">
        <f>COUNTIF(System_configuration!B:B,A1226)</f>
        <v>0</v>
      </c>
    </row>
    <row r="1227" spans="1:10" s="29" customFormat="1" ht="25.5" x14ac:dyDescent="0.2">
      <c r="A1227" s="83" t="s">
        <v>1887</v>
      </c>
      <c r="B1227" s="43" t="s">
        <v>1534</v>
      </c>
      <c r="C1227" s="39">
        <v>-85</v>
      </c>
      <c r="D1227" s="37" t="s">
        <v>1888</v>
      </c>
      <c r="E1227" s="37" t="s">
        <v>1889</v>
      </c>
      <c r="F1227" s="39">
        <v>12</v>
      </c>
      <c r="G1227" s="49" t="s">
        <v>3568</v>
      </c>
      <c r="H1227" s="49" t="s">
        <v>3568</v>
      </c>
      <c r="I1227" s="49"/>
      <c r="J1227" s="40">
        <f>COUNTIF(System_configuration!B:B,A1227)</f>
        <v>0</v>
      </c>
    </row>
    <row r="1228" spans="1:10" s="29" customFormat="1" x14ac:dyDescent="0.2">
      <c r="A1228" s="83" t="s">
        <v>1890</v>
      </c>
      <c r="B1228" s="43" t="s">
        <v>1534</v>
      </c>
      <c r="C1228" s="39">
        <v>-65</v>
      </c>
      <c r="D1228" s="37" t="s">
        <v>472</v>
      </c>
      <c r="E1228" s="37" t="s">
        <v>874</v>
      </c>
      <c r="F1228" s="39">
        <v>12</v>
      </c>
      <c r="G1228" s="49"/>
      <c r="H1228" s="49"/>
      <c r="I1228" s="49"/>
      <c r="J1228" s="40">
        <f>COUNTIF(System_configuration!B:B,A1228)</f>
        <v>0</v>
      </c>
    </row>
    <row r="1229" spans="1:10" s="29" customFormat="1" x14ac:dyDescent="0.2">
      <c r="A1229" s="83" t="s">
        <v>1891</v>
      </c>
      <c r="B1229" s="43" t="s">
        <v>1534</v>
      </c>
      <c r="C1229" s="39">
        <v>-65</v>
      </c>
      <c r="D1229" s="37" t="s">
        <v>473</v>
      </c>
      <c r="E1229" s="37" t="s">
        <v>875</v>
      </c>
      <c r="F1229" s="39">
        <v>12</v>
      </c>
      <c r="G1229" s="49"/>
      <c r="H1229" s="49"/>
      <c r="I1229" s="49"/>
      <c r="J1229" s="40">
        <f>COUNTIF(System_configuration!B:B,A1229)</f>
        <v>0</v>
      </c>
    </row>
    <row r="1230" spans="1:10" s="29" customFormat="1" x14ac:dyDescent="0.2">
      <c r="A1230" s="83" t="s">
        <v>1892</v>
      </c>
      <c r="B1230" s="43" t="s">
        <v>1534</v>
      </c>
      <c r="C1230" s="39">
        <v>-75</v>
      </c>
      <c r="D1230" s="37" t="s">
        <v>474</v>
      </c>
      <c r="E1230" s="37" t="s">
        <v>876</v>
      </c>
      <c r="F1230" s="39">
        <v>12</v>
      </c>
      <c r="G1230" s="49"/>
      <c r="H1230" s="49"/>
      <c r="I1230" s="49"/>
      <c r="J1230" s="40">
        <f>COUNTIF(System_configuration!B:B,A1230)</f>
        <v>0</v>
      </c>
    </row>
    <row r="1231" spans="1:10" s="29" customFormat="1" x14ac:dyDescent="0.2">
      <c r="A1231" s="83" t="s">
        <v>1893</v>
      </c>
      <c r="B1231" s="43" t="s">
        <v>1534</v>
      </c>
      <c r="C1231" s="39">
        <v>-65</v>
      </c>
      <c r="D1231" s="37" t="s">
        <v>478</v>
      </c>
      <c r="E1231" s="37" t="s">
        <v>879</v>
      </c>
      <c r="F1231" s="39">
        <v>12</v>
      </c>
      <c r="G1231" s="49"/>
      <c r="H1231" s="49"/>
      <c r="I1231" s="49"/>
      <c r="J1231" s="40">
        <f>COUNTIF(System_configuration!B:B,A1231)</f>
        <v>0</v>
      </c>
    </row>
    <row r="1232" spans="1:10" s="29" customFormat="1" x14ac:dyDescent="0.2">
      <c r="A1232" s="83" t="s">
        <v>1894</v>
      </c>
      <c r="B1232" s="43" t="s">
        <v>1534</v>
      </c>
      <c r="C1232" s="39">
        <v>-85</v>
      </c>
      <c r="D1232" s="37" t="s">
        <v>1895</v>
      </c>
      <c r="E1232" s="37" t="s">
        <v>1896</v>
      </c>
      <c r="F1232" s="39">
        <v>12</v>
      </c>
      <c r="G1232" s="49" t="s">
        <v>3568</v>
      </c>
      <c r="H1232" s="49" t="s">
        <v>3568</v>
      </c>
      <c r="I1232" s="49"/>
      <c r="J1232" s="40">
        <f>COUNTIF(System_configuration!B:B,A1232)</f>
        <v>0</v>
      </c>
    </row>
    <row r="1233" spans="1:10" s="29" customFormat="1" ht="25.5" x14ac:dyDescent="0.2">
      <c r="A1233" s="83" t="s">
        <v>1897</v>
      </c>
      <c r="B1233" s="43" t="s">
        <v>1534</v>
      </c>
      <c r="C1233" s="39">
        <v>-140</v>
      </c>
      <c r="D1233" s="37" t="s">
        <v>1898</v>
      </c>
      <c r="E1233" s="37" t="s">
        <v>1899</v>
      </c>
      <c r="F1233" s="39">
        <v>12</v>
      </c>
      <c r="G1233" s="49"/>
      <c r="H1233" s="49"/>
      <c r="I1233" s="49"/>
      <c r="J1233" s="40">
        <f>COUNTIF(System_configuration!B:B,A1233)</f>
        <v>0</v>
      </c>
    </row>
    <row r="1234" spans="1:10" s="29" customFormat="1" ht="25.5" x14ac:dyDescent="0.2">
      <c r="A1234" s="83" t="s">
        <v>1900</v>
      </c>
      <c r="B1234" s="43" t="s">
        <v>1534</v>
      </c>
      <c r="C1234" s="39">
        <v>-120</v>
      </c>
      <c r="D1234" s="37" t="s">
        <v>1901</v>
      </c>
      <c r="E1234" s="37" t="s">
        <v>1902</v>
      </c>
      <c r="F1234" s="39">
        <v>12</v>
      </c>
      <c r="G1234" s="49"/>
      <c r="H1234" s="49"/>
      <c r="I1234" s="49"/>
      <c r="J1234" s="40">
        <f>COUNTIF(System_configuration!B:B,A1234)</f>
        <v>0</v>
      </c>
    </row>
    <row r="1235" spans="1:10" s="29" customFormat="1" ht="25.5" x14ac:dyDescent="0.2">
      <c r="A1235" s="83" t="s">
        <v>1903</v>
      </c>
      <c r="B1235" s="43" t="s">
        <v>1534</v>
      </c>
      <c r="C1235" s="39">
        <v>-115</v>
      </c>
      <c r="D1235" s="37" t="s">
        <v>482</v>
      </c>
      <c r="E1235" s="37" t="s">
        <v>882</v>
      </c>
      <c r="F1235" s="39">
        <v>12</v>
      </c>
      <c r="G1235" s="49"/>
      <c r="H1235" s="49"/>
      <c r="I1235" s="49"/>
      <c r="J1235" s="40">
        <f>COUNTIF(System_configuration!B:B,A1235)</f>
        <v>0</v>
      </c>
    </row>
    <row r="1236" spans="1:10" s="29" customFormat="1" x14ac:dyDescent="0.2">
      <c r="A1236" s="83" t="s">
        <v>1904</v>
      </c>
      <c r="B1236" s="43" t="s">
        <v>1534</v>
      </c>
      <c r="C1236" s="39">
        <v>-100</v>
      </c>
      <c r="D1236" s="37" t="s">
        <v>1905</v>
      </c>
      <c r="E1236" s="37" t="s">
        <v>1906</v>
      </c>
      <c r="F1236" s="39">
        <v>12</v>
      </c>
      <c r="G1236" s="49" t="s">
        <v>3568</v>
      </c>
      <c r="H1236" s="49" t="s">
        <v>3568</v>
      </c>
      <c r="I1236" s="49"/>
      <c r="J1236" s="40">
        <f>COUNTIF(System_configuration!B:B,A1236)</f>
        <v>0</v>
      </c>
    </row>
    <row r="1237" spans="1:10" s="29" customFormat="1" x14ac:dyDescent="0.2">
      <c r="A1237" s="83" t="s">
        <v>1907</v>
      </c>
      <c r="B1237" s="43" t="s">
        <v>1534</v>
      </c>
      <c r="C1237" s="39">
        <v>-140</v>
      </c>
      <c r="D1237" s="37" t="s">
        <v>1908</v>
      </c>
      <c r="E1237" s="37" t="s">
        <v>1909</v>
      </c>
      <c r="F1237" s="39">
        <v>12</v>
      </c>
      <c r="G1237" s="49" t="s">
        <v>3568</v>
      </c>
      <c r="H1237" s="49" t="s">
        <v>3568</v>
      </c>
      <c r="I1237" s="49"/>
      <c r="J1237" s="40">
        <f>COUNTIF(System_configuration!B:B,A1237)</f>
        <v>0</v>
      </c>
    </row>
    <row r="1238" spans="1:10" s="29" customFormat="1" x14ac:dyDescent="0.2">
      <c r="A1238" s="83" t="s">
        <v>1910</v>
      </c>
      <c r="B1238" s="43" t="s">
        <v>1534</v>
      </c>
      <c r="C1238" s="39">
        <v>-85</v>
      </c>
      <c r="D1238" s="37" t="s">
        <v>1911</v>
      </c>
      <c r="E1238" s="37" t="s">
        <v>1912</v>
      </c>
      <c r="F1238" s="39">
        <v>12</v>
      </c>
      <c r="G1238" s="49" t="s">
        <v>3568</v>
      </c>
      <c r="H1238" s="49" t="s">
        <v>3568</v>
      </c>
      <c r="I1238" s="49"/>
      <c r="J1238" s="40">
        <f>COUNTIF(System_configuration!B:B,A1238)</f>
        <v>0</v>
      </c>
    </row>
    <row r="1239" spans="1:10" s="29" customFormat="1" x14ac:dyDescent="0.2">
      <c r="A1239" s="83" t="s">
        <v>1913</v>
      </c>
      <c r="B1239" s="43" t="s">
        <v>1534</v>
      </c>
      <c r="C1239" s="39">
        <v>-105</v>
      </c>
      <c r="D1239" s="37" t="s">
        <v>1914</v>
      </c>
      <c r="E1239" s="37" t="s">
        <v>1915</v>
      </c>
      <c r="F1239" s="39">
        <v>12</v>
      </c>
      <c r="G1239" s="49" t="s">
        <v>3568</v>
      </c>
      <c r="H1239" s="49" t="s">
        <v>3568</v>
      </c>
      <c r="I1239" s="49"/>
      <c r="J1239" s="40">
        <f>COUNTIF(System_configuration!B:B,A1239)</f>
        <v>0</v>
      </c>
    </row>
    <row r="1240" spans="1:10" s="29" customFormat="1" x14ac:dyDescent="0.2">
      <c r="A1240" s="83" t="s">
        <v>1916</v>
      </c>
      <c r="B1240" s="43" t="s">
        <v>1534</v>
      </c>
      <c r="C1240" s="39">
        <v>-85</v>
      </c>
      <c r="D1240" s="37" t="s">
        <v>1917</v>
      </c>
      <c r="E1240" s="37" t="s">
        <v>1918</v>
      </c>
      <c r="F1240" s="39">
        <v>12</v>
      </c>
      <c r="G1240" s="49" t="s">
        <v>3568</v>
      </c>
      <c r="H1240" s="49" t="s">
        <v>3568</v>
      </c>
      <c r="I1240" s="49"/>
      <c r="J1240" s="40">
        <f>COUNTIF(System_configuration!B:B,A1240)</f>
        <v>0</v>
      </c>
    </row>
    <row r="1241" spans="1:10" s="29" customFormat="1" x14ac:dyDescent="0.2">
      <c r="A1241" s="83" t="s">
        <v>1919</v>
      </c>
      <c r="B1241" s="43" t="s">
        <v>1534</v>
      </c>
      <c r="C1241" s="39">
        <v>-105</v>
      </c>
      <c r="D1241" s="37" t="s">
        <v>1920</v>
      </c>
      <c r="E1241" s="37" t="s">
        <v>1921</v>
      </c>
      <c r="F1241" s="39">
        <v>12</v>
      </c>
      <c r="G1241" s="49" t="s">
        <v>3568</v>
      </c>
      <c r="H1241" s="49" t="s">
        <v>3568</v>
      </c>
      <c r="I1241" s="49"/>
      <c r="J1241" s="40">
        <f>COUNTIF(System_configuration!B:B,A1241)</f>
        <v>0</v>
      </c>
    </row>
    <row r="1242" spans="1:10" s="29" customFormat="1" x14ac:dyDescent="0.2">
      <c r="A1242" s="83" t="s">
        <v>1922</v>
      </c>
      <c r="B1242" s="43" t="s">
        <v>1534</v>
      </c>
      <c r="C1242" s="39">
        <v>-100</v>
      </c>
      <c r="D1242" s="37" t="s">
        <v>1923</v>
      </c>
      <c r="E1242" s="37" t="s">
        <v>1924</v>
      </c>
      <c r="F1242" s="39">
        <v>12</v>
      </c>
      <c r="G1242" s="49" t="s">
        <v>3568</v>
      </c>
      <c r="H1242" s="49" t="s">
        <v>3568</v>
      </c>
      <c r="I1242" s="49"/>
      <c r="J1242" s="40">
        <f>COUNTIF(System_configuration!B:B,A1242)</f>
        <v>0</v>
      </c>
    </row>
    <row r="1243" spans="1:10" s="29" customFormat="1" x14ac:dyDescent="0.2">
      <c r="A1243" s="83" t="s">
        <v>1925</v>
      </c>
      <c r="B1243" s="43" t="s">
        <v>1534</v>
      </c>
      <c r="C1243" s="39">
        <v>-140</v>
      </c>
      <c r="D1243" s="37" t="s">
        <v>1926</v>
      </c>
      <c r="E1243" s="37" t="s">
        <v>1927</v>
      </c>
      <c r="F1243" s="39">
        <v>12</v>
      </c>
      <c r="G1243" s="49" t="s">
        <v>3568</v>
      </c>
      <c r="H1243" s="49" t="s">
        <v>3568</v>
      </c>
      <c r="I1243" s="49"/>
      <c r="J1243" s="40">
        <f>COUNTIF(System_configuration!B:B,A1243)</f>
        <v>0</v>
      </c>
    </row>
    <row r="1244" spans="1:10" s="29" customFormat="1" x14ac:dyDescent="0.2">
      <c r="A1244" s="83" t="s">
        <v>1928</v>
      </c>
      <c r="B1244" s="43" t="s">
        <v>1534</v>
      </c>
      <c r="C1244" s="39">
        <v>-100</v>
      </c>
      <c r="D1244" s="37" t="s">
        <v>498</v>
      </c>
      <c r="E1244" s="37" t="s">
        <v>893</v>
      </c>
      <c r="F1244" s="39">
        <v>12</v>
      </c>
      <c r="G1244" s="49"/>
      <c r="H1244" s="49"/>
      <c r="I1244" s="49"/>
      <c r="J1244" s="40">
        <f>COUNTIF(System_configuration!B:B,A1244)</f>
        <v>0</v>
      </c>
    </row>
    <row r="1245" spans="1:10" s="29" customFormat="1" x14ac:dyDescent="0.2">
      <c r="A1245" s="83" t="s">
        <v>1929</v>
      </c>
      <c r="B1245" s="43" t="s">
        <v>1534</v>
      </c>
      <c r="C1245" s="39">
        <v>-75</v>
      </c>
      <c r="D1245" s="37" t="s">
        <v>506</v>
      </c>
      <c r="E1245" s="37" t="s">
        <v>1930</v>
      </c>
      <c r="F1245" s="39">
        <v>12</v>
      </c>
      <c r="G1245" s="49"/>
      <c r="H1245" s="49"/>
      <c r="I1245" s="49"/>
      <c r="J1245" s="40">
        <f>COUNTIF(System_configuration!B:B,A1245)</f>
        <v>0</v>
      </c>
    </row>
    <row r="1246" spans="1:10" s="29" customFormat="1" x14ac:dyDescent="0.2">
      <c r="A1246" s="83" t="s">
        <v>1931</v>
      </c>
      <c r="B1246" s="43" t="s">
        <v>1534</v>
      </c>
      <c r="C1246" s="39">
        <v>-75</v>
      </c>
      <c r="D1246" s="37" t="s">
        <v>508</v>
      </c>
      <c r="E1246" s="37" t="s">
        <v>1932</v>
      </c>
      <c r="F1246" s="39">
        <v>12</v>
      </c>
      <c r="G1246" s="49"/>
      <c r="H1246" s="49"/>
      <c r="I1246" s="49"/>
      <c r="J1246" s="40">
        <f>COUNTIF(System_configuration!B:B,A1246)</f>
        <v>0</v>
      </c>
    </row>
    <row r="1247" spans="1:10" s="29" customFormat="1" x14ac:dyDescent="0.2">
      <c r="A1247" s="83" t="s">
        <v>1933</v>
      </c>
      <c r="B1247" s="43" t="s">
        <v>1534</v>
      </c>
      <c r="C1247" s="39">
        <v>-85</v>
      </c>
      <c r="D1247" s="37" t="s">
        <v>1934</v>
      </c>
      <c r="E1247" s="37" t="s">
        <v>1935</v>
      </c>
      <c r="F1247" s="39">
        <v>12</v>
      </c>
      <c r="G1247" s="49"/>
      <c r="H1247" s="49"/>
      <c r="I1247" s="49"/>
      <c r="J1247" s="40">
        <f>COUNTIF(System_configuration!B:B,A1247)</f>
        <v>0</v>
      </c>
    </row>
    <row r="1248" spans="1:10" s="29" customFormat="1" x14ac:dyDescent="0.2">
      <c r="A1248" s="83" t="s">
        <v>1936</v>
      </c>
      <c r="B1248" s="43" t="s">
        <v>1534</v>
      </c>
      <c r="C1248" s="39">
        <v>-60</v>
      </c>
      <c r="D1248" s="37" t="s">
        <v>514</v>
      </c>
      <c r="E1248" s="37" t="s">
        <v>1937</v>
      </c>
      <c r="F1248" s="39">
        <v>12</v>
      </c>
      <c r="G1248" s="49" t="s">
        <v>3568</v>
      </c>
      <c r="H1248" s="49" t="s">
        <v>3568</v>
      </c>
      <c r="I1248" s="49"/>
      <c r="J1248" s="40">
        <f>COUNTIF(System_configuration!B:B,A1248)</f>
        <v>0</v>
      </c>
    </row>
    <row r="1249" spans="1:10" s="29" customFormat="1" x14ac:dyDescent="0.2">
      <c r="A1249" s="83" t="s">
        <v>1938</v>
      </c>
      <c r="B1249" s="43" t="s">
        <v>1534</v>
      </c>
      <c r="C1249" s="39">
        <v>-60</v>
      </c>
      <c r="D1249" s="37" t="s">
        <v>516</v>
      </c>
      <c r="E1249" s="37" t="s">
        <v>1939</v>
      </c>
      <c r="F1249" s="39">
        <v>12</v>
      </c>
      <c r="G1249" s="49" t="s">
        <v>3568</v>
      </c>
      <c r="H1249" s="49" t="s">
        <v>3568</v>
      </c>
      <c r="I1249" s="49"/>
      <c r="J1249" s="40">
        <f>COUNTIF(System_configuration!B:B,A1249)</f>
        <v>0</v>
      </c>
    </row>
    <row r="1250" spans="1:10" s="29" customFormat="1" x14ac:dyDescent="0.2">
      <c r="A1250" s="83" t="s">
        <v>1940</v>
      </c>
      <c r="B1250" s="43" t="s">
        <v>1534</v>
      </c>
      <c r="C1250" s="39">
        <v>-60</v>
      </c>
      <c r="D1250" s="37" t="s">
        <v>522</v>
      </c>
      <c r="E1250" s="37" t="s">
        <v>1941</v>
      </c>
      <c r="F1250" s="39">
        <v>12</v>
      </c>
      <c r="G1250" s="49" t="s">
        <v>3568</v>
      </c>
      <c r="H1250" s="49" t="s">
        <v>3568</v>
      </c>
      <c r="I1250" s="49"/>
      <c r="J1250" s="40">
        <f>COUNTIF(System_configuration!B:B,A1250)</f>
        <v>0</v>
      </c>
    </row>
    <row r="1251" spans="1:10" s="29" customFormat="1" x14ac:dyDescent="0.2">
      <c r="A1251" s="83" t="s">
        <v>1942</v>
      </c>
      <c r="B1251" s="43" t="s">
        <v>1534</v>
      </c>
      <c r="C1251" s="39">
        <v>-60</v>
      </c>
      <c r="D1251" s="37" t="s">
        <v>524</v>
      </c>
      <c r="E1251" s="37" t="s">
        <v>1943</v>
      </c>
      <c r="F1251" s="39">
        <v>12</v>
      </c>
      <c r="G1251" s="49" t="s">
        <v>3568</v>
      </c>
      <c r="H1251" s="49" t="s">
        <v>3568</v>
      </c>
      <c r="I1251" s="49"/>
      <c r="J1251" s="40">
        <f>COUNTIF(System_configuration!B:B,A1251)</f>
        <v>0</v>
      </c>
    </row>
    <row r="1252" spans="1:10" s="29" customFormat="1" x14ac:dyDescent="0.2">
      <c r="A1252" s="83" t="s">
        <v>1944</v>
      </c>
      <c r="B1252" s="43" t="s">
        <v>1534</v>
      </c>
      <c r="C1252" s="39">
        <v>-75</v>
      </c>
      <c r="D1252" s="37" t="s">
        <v>530</v>
      </c>
      <c r="E1252" s="37" t="s">
        <v>1945</v>
      </c>
      <c r="F1252" s="39">
        <v>12</v>
      </c>
      <c r="G1252" s="49"/>
      <c r="H1252" s="49"/>
      <c r="I1252" s="49"/>
      <c r="J1252" s="40">
        <f>COUNTIF(System_configuration!B:B,A1252)</f>
        <v>0</v>
      </c>
    </row>
    <row r="1253" spans="1:10" s="29" customFormat="1" x14ac:dyDescent="0.2">
      <c r="A1253" s="83" t="s">
        <v>1946</v>
      </c>
      <c r="B1253" s="43" t="s">
        <v>1534</v>
      </c>
      <c r="C1253" s="39">
        <v>-75</v>
      </c>
      <c r="D1253" s="37" t="s">
        <v>532</v>
      </c>
      <c r="E1253" s="37" t="s">
        <v>1947</v>
      </c>
      <c r="F1253" s="39">
        <v>12</v>
      </c>
      <c r="G1253" s="49"/>
      <c r="H1253" s="49"/>
      <c r="I1253" s="49"/>
      <c r="J1253" s="40">
        <f>COUNTIF(System_configuration!B:B,A1253)</f>
        <v>0</v>
      </c>
    </row>
    <row r="1254" spans="1:10" s="29" customFormat="1" x14ac:dyDescent="0.2">
      <c r="A1254" s="83" t="s">
        <v>1948</v>
      </c>
      <c r="B1254" s="43" t="s">
        <v>1534</v>
      </c>
      <c r="C1254" s="39">
        <v>-85</v>
      </c>
      <c r="D1254" s="37" t="s">
        <v>1949</v>
      </c>
      <c r="E1254" s="37" t="s">
        <v>1950</v>
      </c>
      <c r="F1254" s="39">
        <v>12</v>
      </c>
      <c r="G1254" s="49"/>
      <c r="H1254" s="49"/>
      <c r="I1254" s="49"/>
      <c r="J1254" s="40">
        <f>COUNTIF(System_configuration!B:B,A1254)</f>
        <v>0</v>
      </c>
    </row>
    <row r="1255" spans="1:10" s="29" customFormat="1" x14ac:dyDescent="0.2">
      <c r="A1255" s="83" t="s">
        <v>1951</v>
      </c>
      <c r="B1255" s="43" t="s">
        <v>1534</v>
      </c>
      <c r="C1255" s="39">
        <v>-60</v>
      </c>
      <c r="D1255" s="37" t="s">
        <v>542</v>
      </c>
      <c r="E1255" s="37" t="s">
        <v>916</v>
      </c>
      <c r="F1255" s="39">
        <v>12</v>
      </c>
      <c r="G1255" s="49" t="s">
        <v>3568</v>
      </c>
      <c r="H1255" s="49" t="s">
        <v>3568</v>
      </c>
      <c r="I1255" s="49"/>
      <c r="J1255" s="40">
        <f>COUNTIF(System_configuration!B:B,A1255)</f>
        <v>0</v>
      </c>
    </row>
    <row r="1256" spans="1:10" s="29" customFormat="1" x14ac:dyDescent="0.2">
      <c r="A1256" s="83" t="s">
        <v>1952</v>
      </c>
      <c r="B1256" s="43" t="s">
        <v>1534</v>
      </c>
      <c r="C1256" s="39">
        <v>-75</v>
      </c>
      <c r="D1256" s="37" t="s">
        <v>551</v>
      </c>
      <c r="E1256" s="37" t="s">
        <v>921</v>
      </c>
      <c r="F1256" s="39">
        <v>12</v>
      </c>
      <c r="G1256" s="49"/>
      <c r="H1256" s="49"/>
      <c r="I1256" s="49"/>
      <c r="J1256" s="40">
        <f>COUNTIF(System_configuration!B:B,A1256)</f>
        <v>0</v>
      </c>
    </row>
    <row r="1257" spans="1:10" s="29" customFormat="1" x14ac:dyDescent="0.2">
      <c r="A1257" s="83" t="s">
        <v>1953</v>
      </c>
      <c r="B1257" s="43" t="s">
        <v>1534</v>
      </c>
      <c r="C1257" s="39">
        <v>-20</v>
      </c>
      <c r="D1257" s="37" t="s">
        <v>510</v>
      </c>
      <c r="E1257" s="37" t="s">
        <v>900</v>
      </c>
      <c r="F1257" s="39">
        <v>12</v>
      </c>
      <c r="G1257" s="49" t="s">
        <v>3568</v>
      </c>
      <c r="H1257" s="49" t="s">
        <v>3568</v>
      </c>
      <c r="I1257" s="49"/>
      <c r="J1257" s="40">
        <f>COUNTIF(System_configuration!B:B,A1257)</f>
        <v>0</v>
      </c>
    </row>
    <row r="1258" spans="1:10" s="29" customFormat="1" x14ac:dyDescent="0.2">
      <c r="A1258" s="83" t="s">
        <v>1954</v>
      </c>
      <c r="B1258" s="43" t="s">
        <v>1534</v>
      </c>
      <c r="C1258" s="39">
        <v>-20</v>
      </c>
      <c r="D1258" s="37" t="s">
        <v>512</v>
      </c>
      <c r="E1258" s="37" t="s">
        <v>901</v>
      </c>
      <c r="F1258" s="39">
        <v>12</v>
      </c>
      <c r="G1258" s="49" t="s">
        <v>3568</v>
      </c>
      <c r="H1258" s="49" t="s">
        <v>3568</v>
      </c>
      <c r="I1258" s="49"/>
      <c r="J1258" s="40">
        <f>COUNTIF(System_configuration!B:B,A1258)</f>
        <v>0</v>
      </c>
    </row>
    <row r="1259" spans="1:10" s="29" customFormat="1" x14ac:dyDescent="0.2">
      <c r="A1259" s="83" t="s">
        <v>1955</v>
      </c>
      <c r="B1259" s="43" t="s">
        <v>1534</v>
      </c>
      <c r="C1259" s="39">
        <v>-20</v>
      </c>
      <c r="D1259" s="37" t="s">
        <v>518</v>
      </c>
      <c r="E1259" s="37" t="s">
        <v>904</v>
      </c>
      <c r="F1259" s="39">
        <v>12</v>
      </c>
      <c r="G1259" s="49" t="s">
        <v>3568</v>
      </c>
      <c r="H1259" s="49" t="s">
        <v>3568</v>
      </c>
      <c r="I1259" s="49"/>
      <c r="J1259" s="40">
        <f>COUNTIF(System_configuration!B:B,A1259)</f>
        <v>0</v>
      </c>
    </row>
    <row r="1260" spans="1:10" s="29" customFormat="1" x14ac:dyDescent="0.2">
      <c r="A1260" s="83" t="s">
        <v>1956</v>
      </c>
      <c r="B1260" s="43" t="s">
        <v>1534</v>
      </c>
      <c r="C1260" s="39">
        <v>-20</v>
      </c>
      <c r="D1260" s="37" t="s">
        <v>520</v>
      </c>
      <c r="E1260" s="37" t="s">
        <v>1957</v>
      </c>
      <c r="F1260" s="39">
        <v>12</v>
      </c>
      <c r="G1260" s="49" t="s">
        <v>3568</v>
      </c>
      <c r="H1260" s="49" t="s">
        <v>3568</v>
      </c>
      <c r="I1260" s="49"/>
      <c r="J1260" s="40">
        <f>COUNTIF(System_configuration!B:B,A1260)</f>
        <v>0</v>
      </c>
    </row>
    <row r="1261" spans="1:10" s="29" customFormat="1" x14ac:dyDescent="0.2">
      <c r="A1261" s="83" t="s">
        <v>1958</v>
      </c>
      <c r="B1261" s="43" t="s">
        <v>1534</v>
      </c>
      <c r="C1261" s="39">
        <v>-20</v>
      </c>
      <c r="D1261" s="37" t="s">
        <v>526</v>
      </c>
      <c r="E1261" s="37" t="s">
        <v>1959</v>
      </c>
      <c r="F1261" s="39">
        <v>12</v>
      </c>
      <c r="G1261" s="49" t="s">
        <v>3568</v>
      </c>
      <c r="H1261" s="49" t="s">
        <v>3568</v>
      </c>
      <c r="I1261" s="49"/>
      <c r="J1261" s="40">
        <f>COUNTIF(System_configuration!B:B,A1261)</f>
        <v>0</v>
      </c>
    </row>
    <row r="1262" spans="1:10" s="29" customFormat="1" x14ac:dyDescent="0.2">
      <c r="A1262" s="83" t="s">
        <v>1960</v>
      </c>
      <c r="B1262" s="43" t="s">
        <v>1534</v>
      </c>
      <c r="C1262" s="39">
        <v>-20</v>
      </c>
      <c r="D1262" s="37" t="s">
        <v>528</v>
      </c>
      <c r="E1262" s="37" t="s">
        <v>1961</v>
      </c>
      <c r="F1262" s="39">
        <v>12</v>
      </c>
      <c r="G1262" s="49" t="s">
        <v>3568</v>
      </c>
      <c r="H1262" s="49" t="s">
        <v>3568</v>
      </c>
      <c r="I1262" s="49"/>
      <c r="J1262" s="40">
        <f>COUNTIF(System_configuration!B:B,A1262)</f>
        <v>0</v>
      </c>
    </row>
    <row r="1263" spans="1:10" s="29" customFormat="1" x14ac:dyDescent="0.2">
      <c r="A1263" s="83" t="s">
        <v>1962</v>
      </c>
      <c r="B1263" s="43" t="s">
        <v>1534</v>
      </c>
      <c r="C1263" s="39">
        <v>-20</v>
      </c>
      <c r="D1263" s="37" t="s">
        <v>534</v>
      </c>
      <c r="E1263" s="37" t="s">
        <v>912</v>
      </c>
      <c r="F1263" s="39">
        <v>12</v>
      </c>
      <c r="G1263" s="49" t="s">
        <v>3568</v>
      </c>
      <c r="H1263" s="49" t="s">
        <v>3568</v>
      </c>
      <c r="I1263" s="49"/>
      <c r="J1263" s="40">
        <f>COUNTIF(System_configuration!B:B,A1263)</f>
        <v>0</v>
      </c>
    </row>
    <row r="1264" spans="1:10" s="29" customFormat="1" x14ac:dyDescent="0.2">
      <c r="A1264" s="83" t="s">
        <v>1963</v>
      </c>
      <c r="B1264" s="43" t="s">
        <v>1534</v>
      </c>
      <c r="C1264" s="39">
        <v>-20</v>
      </c>
      <c r="D1264" s="37" t="s">
        <v>536</v>
      </c>
      <c r="E1264" s="37" t="s">
        <v>1964</v>
      </c>
      <c r="F1264" s="39">
        <v>12</v>
      </c>
      <c r="G1264" s="49" t="s">
        <v>3568</v>
      </c>
      <c r="H1264" s="49" t="s">
        <v>3568</v>
      </c>
      <c r="I1264" s="49"/>
      <c r="J1264" s="40">
        <f>COUNTIF(System_configuration!B:B,A1264)</f>
        <v>0</v>
      </c>
    </row>
    <row r="1265" spans="1:13" s="29" customFormat="1" x14ac:dyDescent="0.2">
      <c r="A1265" s="83" t="s">
        <v>1965</v>
      </c>
      <c r="B1265" s="43" t="s">
        <v>1534</v>
      </c>
      <c r="C1265" s="39">
        <v>-70</v>
      </c>
      <c r="D1265" s="37" t="s">
        <v>1966</v>
      </c>
      <c r="E1265" s="37" t="s">
        <v>1967</v>
      </c>
      <c r="F1265" s="39">
        <v>12</v>
      </c>
      <c r="G1265" s="49" t="s">
        <v>3568</v>
      </c>
      <c r="H1265" s="49" t="s">
        <v>3568</v>
      </c>
      <c r="I1265" s="49"/>
      <c r="J1265" s="40">
        <f>COUNTIF(System_configuration!B:B,A1265)</f>
        <v>0</v>
      </c>
    </row>
    <row r="1266" spans="1:13" s="29" customFormat="1" x14ac:dyDescent="0.2">
      <c r="A1266" s="83" t="s">
        <v>1968</v>
      </c>
      <c r="B1266" s="43" t="s">
        <v>1534</v>
      </c>
      <c r="C1266" s="39">
        <v>-25</v>
      </c>
      <c r="D1266" s="37" t="s">
        <v>1969</v>
      </c>
      <c r="E1266" s="37" t="s">
        <v>1970</v>
      </c>
      <c r="F1266" s="39">
        <v>12</v>
      </c>
      <c r="G1266" s="49" t="s">
        <v>3568</v>
      </c>
      <c r="H1266" s="49" t="s">
        <v>3568</v>
      </c>
      <c r="I1266" s="49"/>
      <c r="J1266" s="40">
        <f>COUNTIF(System_configuration!B:B,A1266)</f>
        <v>0</v>
      </c>
      <c r="K1266" s="60"/>
      <c r="L1266" s="60"/>
      <c r="M1266" s="60"/>
    </row>
    <row r="1267" spans="1:13" s="29" customFormat="1" x14ac:dyDescent="0.2">
      <c r="A1267" s="83" t="s">
        <v>1971</v>
      </c>
      <c r="B1267" s="43" t="s">
        <v>1534</v>
      </c>
      <c r="C1267" s="39">
        <v>-75</v>
      </c>
      <c r="D1267" s="37" t="s">
        <v>1972</v>
      </c>
      <c r="E1267" s="37" t="s">
        <v>1973</v>
      </c>
      <c r="F1267" s="39">
        <v>12</v>
      </c>
      <c r="G1267" s="49" t="s">
        <v>3568</v>
      </c>
      <c r="H1267" s="49" t="s">
        <v>3568</v>
      </c>
      <c r="I1267" s="49"/>
      <c r="J1267" s="40">
        <f>COUNTIF(System_configuration!B:B,A1267)</f>
        <v>0</v>
      </c>
    </row>
    <row r="1268" spans="1:13" s="29" customFormat="1" x14ac:dyDescent="0.2">
      <c r="A1268" s="83" t="s">
        <v>1249</v>
      </c>
      <c r="B1268" s="43" t="s">
        <v>1534</v>
      </c>
      <c r="C1268" s="39">
        <v>-60</v>
      </c>
      <c r="D1268" s="37" t="s">
        <v>1974</v>
      </c>
      <c r="E1268" s="37" t="s">
        <v>1975</v>
      </c>
      <c r="F1268" s="39">
        <v>24</v>
      </c>
      <c r="G1268" s="49"/>
      <c r="H1268" s="49"/>
      <c r="I1268" s="49"/>
      <c r="J1268" s="40">
        <f>COUNTIF(System_configuration!B:B,A1268)</f>
        <v>0</v>
      </c>
    </row>
    <row r="1269" spans="1:13" s="29" customFormat="1" x14ac:dyDescent="0.2">
      <c r="A1269" s="83" t="s">
        <v>1976</v>
      </c>
      <c r="B1269" s="43" t="s">
        <v>1534</v>
      </c>
      <c r="C1269" s="39">
        <v>-40</v>
      </c>
      <c r="D1269" s="37" t="s">
        <v>1977</v>
      </c>
      <c r="E1269" s="37" t="s">
        <v>1978</v>
      </c>
      <c r="F1269" s="39">
        <v>12</v>
      </c>
      <c r="G1269" s="49" t="s">
        <v>3568</v>
      </c>
      <c r="H1269" s="49" t="s">
        <v>3568</v>
      </c>
      <c r="I1269" s="49"/>
      <c r="J1269" s="40">
        <f>COUNTIF(System_configuration!B:B,A1269)</f>
        <v>0</v>
      </c>
    </row>
    <row r="1270" spans="1:13" s="29" customFormat="1" x14ac:dyDescent="0.2">
      <c r="A1270" s="83" t="s">
        <v>1979</v>
      </c>
      <c r="B1270" s="43" t="s">
        <v>1534</v>
      </c>
      <c r="C1270" s="39">
        <v>-30</v>
      </c>
      <c r="D1270" s="37" t="s">
        <v>1980</v>
      </c>
      <c r="E1270" s="37" t="s">
        <v>1981</v>
      </c>
      <c r="F1270" s="39">
        <v>24</v>
      </c>
      <c r="G1270" s="49" t="s">
        <v>3568</v>
      </c>
      <c r="H1270" s="49" t="s">
        <v>3568</v>
      </c>
      <c r="I1270" s="49"/>
      <c r="J1270" s="40">
        <f>COUNTIF(System_configuration!B:B,A1270)</f>
        <v>0</v>
      </c>
    </row>
    <row r="1271" spans="1:13" s="29" customFormat="1" x14ac:dyDescent="0.2">
      <c r="A1271" s="83" t="s">
        <v>1982</v>
      </c>
      <c r="B1271" s="43" t="s">
        <v>1534</v>
      </c>
      <c r="C1271" s="39">
        <v>-40</v>
      </c>
      <c r="D1271" s="37" t="s">
        <v>572</v>
      </c>
      <c r="E1271" s="37" t="s">
        <v>932</v>
      </c>
      <c r="F1271" s="39">
        <v>12</v>
      </c>
      <c r="G1271" s="49" t="s">
        <v>3568</v>
      </c>
      <c r="H1271" s="49" t="s">
        <v>3568</v>
      </c>
      <c r="I1271" s="49"/>
      <c r="J1271" s="40">
        <f>COUNTIF(System_configuration!B:B,A1271)</f>
        <v>0</v>
      </c>
    </row>
    <row r="1272" spans="1:13" s="29" customFormat="1" x14ac:dyDescent="0.2">
      <c r="A1272" s="83" t="s">
        <v>1983</v>
      </c>
      <c r="B1272" s="43" t="s">
        <v>1534</v>
      </c>
      <c r="C1272" s="39">
        <v>-40</v>
      </c>
      <c r="D1272" s="37" t="s">
        <v>575</v>
      </c>
      <c r="E1272" s="37" t="s">
        <v>933</v>
      </c>
      <c r="F1272" s="39">
        <v>12</v>
      </c>
      <c r="G1272" s="49" t="s">
        <v>3568</v>
      </c>
      <c r="H1272" s="49" t="s">
        <v>3568</v>
      </c>
      <c r="I1272" s="49"/>
      <c r="J1272" s="40">
        <f>COUNTIF(System_configuration!B:B,A1272)</f>
        <v>0</v>
      </c>
    </row>
    <row r="1273" spans="1:13" s="29" customFormat="1" x14ac:dyDescent="0.2">
      <c r="A1273" s="83" t="s">
        <v>1984</v>
      </c>
      <c r="B1273" s="43" t="s">
        <v>1534</v>
      </c>
      <c r="C1273" s="39">
        <v>-55</v>
      </c>
      <c r="D1273" s="37" t="s">
        <v>1985</v>
      </c>
      <c r="E1273" s="37" t="s">
        <v>1986</v>
      </c>
      <c r="F1273" s="39">
        <v>12</v>
      </c>
      <c r="G1273" s="49"/>
      <c r="H1273" s="49"/>
      <c r="I1273" s="49"/>
      <c r="J1273" s="40">
        <f>COUNTIF(System_configuration!B:B,A1273)</f>
        <v>0</v>
      </c>
    </row>
    <row r="1274" spans="1:13" s="29" customFormat="1" x14ac:dyDescent="0.2">
      <c r="A1274" s="83" t="s">
        <v>1987</v>
      </c>
      <c r="B1274" s="43" t="s">
        <v>1534</v>
      </c>
      <c r="C1274" s="39">
        <v>-55</v>
      </c>
      <c r="D1274" s="37" t="s">
        <v>1988</v>
      </c>
      <c r="E1274" s="37" t="s">
        <v>1989</v>
      </c>
      <c r="F1274" s="39">
        <v>12</v>
      </c>
      <c r="G1274" s="49"/>
      <c r="H1274" s="49"/>
      <c r="I1274" s="49"/>
      <c r="J1274" s="40">
        <f>COUNTIF(System_configuration!B:B,A1274)</f>
        <v>0</v>
      </c>
    </row>
    <row r="1275" spans="1:13" s="29" customFormat="1" x14ac:dyDescent="0.2">
      <c r="A1275" s="83" t="s">
        <v>1990</v>
      </c>
      <c r="B1275" s="43" t="s">
        <v>1534</v>
      </c>
      <c r="C1275" s="39">
        <v>-65</v>
      </c>
      <c r="D1275" s="37" t="s">
        <v>1991</v>
      </c>
      <c r="E1275" s="37" t="s">
        <v>1992</v>
      </c>
      <c r="F1275" s="39">
        <v>12</v>
      </c>
      <c r="G1275" s="49"/>
      <c r="H1275" s="49"/>
      <c r="I1275" s="49"/>
      <c r="J1275" s="40">
        <f>COUNTIF(System_configuration!B:B,A1275)</f>
        <v>0</v>
      </c>
    </row>
    <row r="1276" spans="1:13" s="29" customFormat="1" x14ac:dyDescent="0.2">
      <c r="A1276" s="83" t="s">
        <v>1993</v>
      </c>
      <c r="B1276" s="43" t="s">
        <v>1534</v>
      </c>
      <c r="C1276" s="39">
        <v>-55</v>
      </c>
      <c r="D1276" s="37" t="s">
        <v>1994</v>
      </c>
      <c r="E1276" s="37" t="s">
        <v>1995</v>
      </c>
      <c r="F1276" s="39">
        <v>12</v>
      </c>
      <c r="G1276" s="49"/>
      <c r="H1276" s="49"/>
      <c r="I1276" s="49"/>
      <c r="J1276" s="40">
        <f>COUNTIF(System_configuration!B:B,A1276)</f>
        <v>0</v>
      </c>
    </row>
    <row r="1277" spans="1:13" s="29" customFormat="1" x14ac:dyDescent="0.2">
      <c r="A1277" s="83" t="s">
        <v>1996</v>
      </c>
      <c r="B1277" s="43" t="s">
        <v>1534</v>
      </c>
      <c r="C1277" s="39">
        <v>-65</v>
      </c>
      <c r="D1277" s="37" t="s">
        <v>1997</v>
      </c>
      <c r="E1277" s="37" t="s">
        <v>1998</v>
      </c>
      <c r="F1277" s="39">
        <v>12</v>
      </c>
      <c r="G1277" s="49"/>
      <c r="H1277" s="49"/>
      <c r="I1277" s="49"/>
      <c r="J1277" s="40">
        <f>COUNTIF(System_configuration!B:B,A1277)</f>
        <v>0</v>
      </c>
    </row>
    <row r="1278" spans="1:13" s="29" customFormat="1" x14ac:dyDescent="0.2">
      <c r="A1278" s="83" t="s">
        <v>1999</v>
      </c>
      <c r="B1278" s="43" t="s">
        <v>1534</v>
      </c>
      <c r="C1278" s="39">
        <v>-65</v>
      </c>
      <c r="D1278" s="37" t="s">
        <v>2000</v>
      </c>
      <c r="E1278" s="37" t="s">
        <v>2001</v>
      </c>
      <c r="F1278" s="39">
        <v>12</v>
      </c>
      <c r="G1278" s="49"/>
      <c r="H1278" s="49"/>
      <c r="I1278" s="49"/>
      <c r="J1278" s="40">
        <f>COUNTIF(System_configuration!B:B,A1278)</f>
        <v>0</v>
      </c>
    </row>
    <row r="1279" spans="1:13" s="29" customFormat="1" x14ac:dyDescent="0.2">
      <c r="A1279" s="83" t="s">
        <v>2002</v>
      </c>
      <c r="B1279" s="43" t="s">
        <v>1534</v>
      </c>
      <c r="C1279" s="39">
        <v>-55</v>
      </c>
      <c r="D1279" s="37" t="s">
        <v>152</v>
      </c>
      <c r="E1279" s="37" t="s">
        <v>2003</v>
      </c>
      <c r="F1279" s="39">
        <v>12</v>
      </c>
      <c r="G1279" s="49"/>
      <c r="H1279" s="49"/>
      <c r="I1279" s="49"/>
      <c r="J1279" s="40">
        <f>COUNTIF(System_configuration!B:B,A1279)</f>
        <v>0</v>
      </c>
    </row>
    <row r="1280" spans="1:13" s="29" customFormat="1" ht="25.5" x14ac:dyDescent="0.2">
      <c r="A1280" s="83" t="s">
        <v>2004</v>
      </c>
      <c r="B1280" s="43" t="s">
        <v>1534</v>
      </c>
      <c r="C1280" s="39">
        <v>-55</v>
      </c>
      <c r="D1280" s="37" t="s">
        <v>2005</v>
      </c>
      <c r="E1280" s="37" t="s">
        <v>2006</v>
      </c>
      <c r="F1280" s="39">
        <v>12</v>
      </c>
      <c r="G1280" s="49" t="s">
        <v>3568</v>
      </c>
      <c r="H1280" s="49" t="s">
        <v>3568</v>
      </c>
      <c r="I1280" s="49"/>
      <c r="J1280" s="40">
        <f>COUNTIF(System_configuration!B:B,A1280)</f>
        <v>0</v>
      </c>
    </row>
    <row r="1281" spans="1:10" s="29" customFormat="1" x14ac:dyDescent="0.2">
      <c r="A1281" s="83" t="s">
        <v>2007</v>
      </c>
      <c r="B1281" s="43" t="s">
        <v>1534</v>
      </c>
      <c r="C1281" s="39">
        <v>-85</v>
      </c>
      <c r="D1281" s="37" t="s">
        <v>154</v>
      </c>
      <c r="E1281" s="37" t="s">
        <v>941</v>
      </c>
      <c r="F1281" s="39">
        <v>12</v>
      </c>
      <c r="G1281" s="49" t="s">
        <v>3568</v>
      </c>
      <c r="H1281" s="49" t="s">
        <v>3568</v>
      </c>
      <c r="I1281" s="49"/>
      <c r="J1281" s="40">
        <f>COUNTIF(System_configuration!B:B,A1281)</f>
        <v>0</v>
      </c>
    </row>
    <row r="1282" spans="1:10" s="29" customFormat="1" x14ac:dyDescent="0.2">
      <c r="A1282" s="83" t="s">
        <v>2008</v>
      </c>
      <c r="B1282" s="43" t="s">
        <v>1534</v>
      </c>
      <c r="C1282" s="39">
        <v>-55</v>
      </c>
      <c r="D1282" s="37" t="s">
        <v>2009</v>
      </c>
      <c r="E1282" s="37" t="s">
        <v>2010</v>
      </c>
      <c r="F1282" s="39">
        <v>12</v>
      </c>
      <c r="G1282" s="49" t="s">
        <v>3568</v>
      </c>
      <c r="H1282" s="49" t="s">
        <v>3568</v>
      </c>
      <c r="I1282" s="49"/>
      <c r="J1282" s="40">
        <f>COUNTIF(System_configuration!B:B,A1282)</f>
        <v>0</v>
      </c>
    </row>
    <row r="1283" spans="1:10" s="29" customFormat="1" x14ac:dyDescent="0.2">
      <c r="A1283" s="83" t="s">
        <v>2011</v>
      </c>
      <c r="B1283" s="43" t="s">
        <v>1534</v>
      </c>
      <c r="C1283" s="39">
        <v>-55</v>
      </c>
      <c r="D1283" s="37" t="s">
        <v>2012</v>
      </c>
      <c r="E1283" s="37" t="s">
        <v>2013</v>
      </c>
      <c r="F1283" s="39">
        <v>12</v>
      </c>
      <c r="G1283" s="49" t="s">
        <v>3568</v>
      </c>
      <c r="H1283" s="49" t="s">
        <v>3568</v>
      </c>
      <c r="I1283" s="49"/>
      <c r="J1283" s="40">
        <f>COUNTIF(System_configuration!B:B,A1283)</f>
        <v>0</v>
      </c>
    </row>
    <row r="1284" spans="1:10" s="29" customFormat="1" x14ac:dyDescent="0.2">
      <c r="A1284" s="83" t="s">
        <v>2014</v>
      </c>
      <c r="B1284" s="43" t="s">
        <v>1534</v>
      </c>
      <c r="C1284" s="39">
        <v>-60</v>
      </c>
      <c r="D1284" s="37" t="s">
        <v>2015</v>
      </c>
      <c r="E1284" s="37" t="s">
        <v>2016</v>
      </c>
      <c r="F1284" s="39">
        <v>12</v>
      </c>
      <c r="G1284" s="49" t="s">
        <v>3568</v>
      </c>
      <c r="H1284" s="49" t="s">
        <v>3568</v>
      </c>
      <c r="I1284" s="49"/>
      <c r="J1284" s="40">
        <f>COUNTIF(System_configuration!B:B,A1284)</f>
        <v>0</v>
      </c>
    </row>
    <row r="1285" spans="1:10" s="29" customFormat="1" x14ac:dyDescent="0.2">
      <c r="A1285" s="83" t="s">
        <v>2017</v>
      </c>
      <c r="B1285" s="43" t="s">
        <v>1534</v>
      </c>
      <c r="C1285" s="39">
        <v>-55</v>
      </c>
      <c r="D1285" s="37" t="s">
        <v>2018</v>
      </c>
      <c r="E1285" s="37" t="s">
        <v>2019</v>
      </c>
      <c r="F1285" s="39">
        <v>12</v>
      </c>
      <c r="G1285" s="49" t="s">
        <v>3568</v>
      </c>
      <c r="H1285" s="49" t="s">
        <v>3568</v>
      </c>
      <c r="I1285" s="49"/>
      <c r="J1285" s="40">
        <f>COUNTIF(System_configuration!B:B,A1285)</f>
        <v>0</v>
      </c>
    </row>
    <row r="1286" spans="1:10" s="29" customFormat="1" x14ac:dyDescent="0.2">
      <c r="A1286" s="83" t="s">
        <v>2020</v>
      </c>
      <c r="B1286" s="43" t="s">
        <v>1534</v>
      </c>
      <c r="C1286" s="39">
        <v>-65</v>
      </c>
      <c r="D1286" s="37" t="s">
        <v>2021</v>
      </c>
      <c r="E1286" s="37" t="s">
        <v>2022</v>
      </c>
      <c r="F1286" s="39">
        <v>12</v>
      </c>
      <c r="G1286" s="49" t="s">
        <v>3568</v>
      </c>
      <c r="H1286" s="49" t="s">
        <v>3568</v>
      </c>
      <c r="I1286" s="49"/>
      <c r="J1286" s="40">
        <f>COUNTIF(System_configuration!B:B,A1286)</f>
        <v>0</v>
      </c>
    </row>
    <row r="1287" spans="1:10" s="29" customFormat="1" x14ac:dyDescent="0.2">
      <c r="A1287" s="83" t="s">
        <v>2023</v>
      </c>
      <c r="B1287" s="43" t="s">
        <v>1534</v>
      </c>
      <c r="C1287" s="39">
        <v>-55</v>
      </c>
      <c r="D1287" s="37" t="s">
        <v>2024</v>
      </c>
      <c r="E1287" s="37" t="s">
        <v>2025</v>
      </c>
      <c r="F1287" s="39">
        <v>12</v>
      </c>
      <c r="G1287" s="49" t="s">
        <v>3568</v>
      </c>
      <c r="H1287" s="49" t="s">
        <v>3568</v>
      </c>
      <c r="I1287" s="49"/>
      <c r="J1287" s="40">
        <f>COUNTIF(System_configuration!B:B,A1287)</f>
        <v>0</v>
      </c>
    </row>
    <row r="1288" spans="1:10" s="29" customFormat="1" x14ac:dyDescent="0.2">
      <c r="A1288" s="83" t="s">
        <v>2026</v>
      </c>
      <c r="B1288" s="43" t="s">
        <v>1534</v>
      </c>
      <c r="C1288" s="39">
        <v>-55</v>
      </c>
      <c r="D1288" s="37" t="s">
        <v>2027</v>
      </c>
      <c r="E1288" s="37" t="s">
        <v>2028</v>
      </c>
      <c r="F1288" s="39">
        <v>12</v>
      </c>
      <c r="G1288" s="49"/>
      <c r="H1288" s="49"/>
      <c r="I1288" s="49"/>
      <c r="J1288" s="40">
        <f>COUNTIF(System_configuration!B:B,A1288)</f>
        <v>0</v>
      </c>
    </row>
    <row r="1289" spans="1:10" s="29" customFormat="1" x14ac:dyDescent="0.2">
      <c r="A1289" s="83" t="s">
        <v>2029</v>
      </c>
      <c r="B1289" s="43" t="s">
        <v>1534</v>
      </c>
      <c r="C1289" s="39">
        <v>-55</v>
      </c>
      <c r="D1289" s="37" t="s">
        <v>2030</v>
      </c>
      <c r="E1289" s="37" t="s">
        <v>2031</v>
      </c>
      <c r="F1289" s="39">
        <v>12</v>
      </c>
      <c r="G1289" s="49"/>
      <c r="H1289" s="49"/>
      <c r="I1289" s="49"/>
      <c r="J1289" s="40">
        <f>COUNTIF(System_configuration!B:B,A1289)</f>
        <v>0</v>
      </c>
    </row>
    <row r="1290" spans="1:10" s="29" customFormat="1" x14ac:dyDescent="0.2">
      <c r="A1290" s="83" t="s">
        <v>2032</v>
      </c>
      <c r="B1290" s="43" t="s">
        <v>1534</v>
      </c>
      <c r="C1290" s="39">
        <v>-55</v>
      </c>
      <c r="D1290" s="37" t="s">
        <v>2033</v>
      </c>
      <c r="E1290" s="37" t="s">
        <v>2034</v>
      </c>
      <c r="F1290" s="39">
        <v>12</v>
      </c>
      <c r="G1290" s="49"/>
      <c r="H1290" s="49"/>
      <c r="I1290" s="49"/>
      <c r="J1290" s="40">
        <f>COUNTIF(System_configuration!B:B,A1290)</f>
        <v>0</v>
      </c>
    </row>
    <row r="1291" spans="1:10" s="29" customFormat="1" x14ac:dyDescent="0.2">
      <c r="A1291" s="83" t="s">
        <v>2035</v>
      </c>
      <c r="B1291" s="43" t="s">
        <v>1534</v>
      </c>
      <c r="C1291" s="39">
        <v>-250</v>
      </c>
      <c r="D1291" s="37" t="s">
        <v>2036</v>
      </c>
      <c r="E1291" s="37" t="s">
        <v>2037</v>
      </c>
      <c r="F1291" s="39">
        <v>24</v>
      </c>
      <c r="G1291" s="49" t="s">
        <v>3568</v>
      </c>
      <c r="H1291" s="49" t="s">
        <v>3568</v>
      </c>
      <c r="I1291" s="49"/>
      <c r="J1291" s="40">
        <f>COUNTIF(System_configuration!B:B,A1291)</f>
        <v>0</v>
      </c>
    </row>
    <row r="1292" spans="1:10" s="29" customFormat="1" x14ac:dyDescent="0.2">
      <c r="A1292" s="83" t="s">
        <v>2038</v>
      </c>
      <c r="B1292" s="43" t="s">
        <v>1534</v>
      </c>
      <c r="C1292" s="39">
        <v>-150</v>
      </c>
      <c r="D1292" s="37" t="s">
        <v>2039</v>
      </c>
      <c r="E1292" s="37" t="s">
        <v>2040</v>
      </c>
      <c r="F1292" s="43" t="s">
        <v>1534</v>
      </c>
      <c r="G1292" s="49"/>
      <c r="H1292" s="49"/>
      <c r="I1292" s="53"/>
      <c r="J1292" s="40">
        <f>COUNTIF(System_configuration!B:B,A1292)</f>
        <v>0</v>
      </c>
    </row>
    <row r="1293" spans="1:10" s="29" customFormat="1" x14ac:dyDescent="0.2">
      <c r="A1293" s="83" t="s">
        <v>2041</v>
      </c>
      <c r="B1293" s="43" t="s">
        <v>1534</v>
      </c>
      <c r="C1293" s="39">
        <v>0</v>
      </c>
      <c r="D1293" s="37" t="s">
        <v>2042</v>
      </c>
      <c r="E1293" s="37" t="s">
        <v>2043</v>
      </c>
      <c r="F1293" s="39">
        <v>71</v>
      </c>
      <c r="G1293" s="49"/>
      <c r="H1293" s="49"/>
      <c r="I1293" s="49"/>
      <c r="J1293" s="40">
        <f>COUNTIF(System_configuration!B:B,A1293)</f>
        <v>0</v>
      </c>
    </row>
    <row r="1294" spans="1:10" s="29" customFormat="1" x14ac:dyDescent="0.2">
      <c r="A1294" s="83" t="s">
        <v>2044</v>
      </c>
      <c r="B1294" s="43" t="s">
        <v>1534</v>
      </c>
      <c r="C1294" s="39">
        <v>-50</v>
      </c>
      <c r="D1294" s="37" t="s">
        <v>2045</v>
      </c>
      <c r="E1294" s="37" t="s">
        <v>2046</v>
      </c>
      <c r="F1294" s="39">
        <v>71</v>
      </c>
      <c r="G1294" s="49"/>
      <c r="H1294" s="49"/>
      <c r="I1294" s="49"/>
      <c r="J1294" s="40">
        <f>COUNTIF(System_configuration!B:B,A1294)</f>
        <v>0</v>
      </c>
    </row>
    <row r="1295" spans="1:10" s="29" customFormat="1" x14ac:dyDescent="0.2">
      <c r="A1295" s="83" t="s">
        <v>2047</v>
      </c>
      <c r="B1295" s="43" t="s">
        <v>1534</v>
      </c>
      <c r="C1295" s="39">
        <v>-40</v>
      </c>
      <c r="D1295" s="37" t="s">
        <v>2048</v>
      </c>
      <c r="E1295" s="37" t="s">
        <v>2049</v>
      </c>
      <c r="F1295" s="39">
        <v>71</v>
      </c>
      <c r="G1295" s="49"/>
      <c r="H1295" s="49"/>
      <c r="I1295" s="49"/>
      <c r="J1295" s="40">
        <f>COUNTIF(System_configuration!B:B,A1295)</f>
        <v>0</v>
      </c>
    </row>
    <row r="1296" spans="1:10" s="29" customFormat="1" x14ac:dyDescent="0.2">
      <c r="A1296" s="83" t="s">
        <v>2050</v>
      </c>
      <c r="B1296" s="43" t="s">
        <v>1534</v>
      </c>
      <c r="C1296" s="39">
        <v>-40</v>
      </c>
      <c r="D1296" s="37" t="s">
        <v>2051</v>
      </c>
      <c r="E1296" s="37" t="s">
        <v>2052</v>
      </c>
      <c r="F1296" s="39">
        <v>71</v>
      </c>
      <c r="G1296" s="49"/>
      <c r="H1296" s="49"/>
      <c r="I1296" s="49"/>
      <c r="J1296" s="40">
        <f>COUNTIF(System_configuration!B:B,A1296)</f>
        <v>0</v>
      </c>
    </row>
    <row r="1297" spans="1:10" s="29" customFormat="1" x14ac:dyDescent="0.2">
      <c r="A1297" s="83" t="s">
        <v>2053</v>
      </c>
      <c r="B1297" s="43" t="s">
        <v>1534</v>
      </c>
      <c r="C1297" s="39">
        <v>-95</v>
      </c>
      <c r="D1297" s="37" t="s">
        <v>2054</v>
      </c>
      <c r="E1297" s="37" t="s">
        <v>2055</v>
      </c>
      <c r="F1297" s="39">
        <v>71</v>
      </c>
      <c r="G1297" s="49"/>
      <c r="H1297" s="49"/>
      <c r="I1297" s="49"/>
      <c r="J1297" s="40">
        <f>COUNTIF(System_configuration!B:B,A1297)</f>
        <v>0</v>
      </c>
    </row>
    <row r="1298" spans="1:10" s="29" customFormat="1" x14ac:dyDescent="0.2">
      <c r="A1298" s="83" t="s">
        <v>2056</v>
      </c>
      <c r="B1298" s="43" t="s">
        <v>1534</v>
      </c>
      <c r="C1298" s="39">
        <v>-20</v>
      </c>
      <c r="D1298" s="37" t="s">
        <v>2057</v>
      </c>
      <c r="E1298" s="37" t="s">
        <v>2058</v>
      </c>
      <c r="F1298" s="43" t="s">
        <v>1534</v>
      </c>
      <c r="G1298" s="49"/>
      <c r="H1298" s="49"/>
      <c r="I1298" s="53"/>
      <c r="J1298" s="40">
        <f>COUNTIF(System_configuration!B:B,A1298)</f>
        <v>0</v>
      </c>
    </row>
    <row r="1299" spans="1:10" s="29" customFormat="1" x14ac:dyDescent="0.2">
      <c r="A1299" s="83" t="s">
        <v>2059</v>
      </c>
      <c r="B1299" s="43" t="s">
        <v>1534</v>
      </c>
      <c r="C1299" s="39">
        <v>-32</v>
      </c>
      <c r="D1299" s="37" t="s">
        <v>2060</v>
      </c>
      <c r="E1299" s="37" t="s">
        <v>2061</v>
      </c>
      <c r="F1299" s="39">
        <v>24</v>
      </c>
      <c r="G1299" s="49"/>
      <c r="H1299" s="49"/>
      <c r="I1299" s="49"/>
      <c r="J1299" s="40">
        <f>COUNTIF(System_configuration!B:B,A1299)</f>
        <v>0</v>
      </c>
    </row>
    <row r="1300" spans="1:10" s="29" customFormat="1" x14ac:dyDescent="0.2">
      <c r="A1300" s="83" t="s">
        <v>1251</v>
      </c>
      <c r="B1300" s="43" t="s">
        <v>1534</v>
      </c>
      <c r="C1300" s="43" t="s">
        <v>1534</v>
      </c>
      <c r="D1300" s="37" t="s">
        <v>2062</v>
      </c>
      <c r="E1300" s="37" t="s">
        <v>2063</v>
      </c>
      <c r="F1300" s="39">
        <v>12</v>
      </c>
      <c r="G1300" s="49" t="s">
        <v>1534</v>
      </c>
      <c r="H1300" s="49" t="s">
        <v>1534</v>
      </c>
      <c r="I1300" s="49" t="s">
        <v>1534</v>
      </c>
      <c r="J1300" s="40">
        <f>COUNTIF(System_configuration!B:B,A1300)</f>
        <v>0</v>
      </c>
    </row>
    <row r="1301" spans="1:10" s="29" customFormat="1" x14ac:dyDescent="0.2">
      <c r="A1301" s="83" t="s">
        <v>2064</v>
      </c>
      <c r="B1301" s="43" t="s">
        <v>1534</v>
      </c>
      <c r="C1301" s="39">
        <v>-70</v>
      </c>
      <c r="D1301" s="37" t="s">
        <v>2065</v>
      </c>
      <c r="E1301" s="37" t="s">
        <v>2066</v>
      </c>
      <c r="F1301" s="39">
        <v>24</v>
      </c>
      <c r="G1301" s="49" t="s">
        <v>1534</v>
      </c>
      <c r="H1301" s="49" t="s">
        <v>1534</v>
      </c>
      <c r="I1301" s="49" t="s">
        <v>1534</v>
      </c>
      <c r="J1301" s="40">
        <f>COUNTIF(System_configuration!B:B,A1301)</f>
        <v>0</v>
      </c>
    </row>
    <row r="1302" spans="1:10" s="29" customFormat="1" x14ac:dyDescent="0.2">
      <c r="A1302" s="83" t="s">
        <v>2067</v>
      </c>
      <c r="B1302" s="43" t="s">
        <v>1534</v>
      </c>
      <c r="C1302" s="39">
        <v>400</v>
      </c>
      <c r="D1302" s="37" t="s">
        <v>2068</v>
      </c>
      <c r="E1302" s="37" t="s">
        <v>2069</v>
      </c>
      <c r="F1302" s="39">
        <v>24</v>
      </c>
      <c r="G1302" s="49" t="s">
        <v>3567</v>
      </c>
      <c r="H1302" s="49" t="s">
        <v>3567</v>
      </c>
      <c r="I1302" s="49" t="s">
        <v>3567</v>
      </c>
      <c r="J1302" s="40">
        <f>COUNTIF(System_configuration!B:B,A1302)</f>
        <v>0</v>
      </c>
    </row>
    <row r="1303" spans="1:10" s="29" customFormat="1" x14ac:dyDescent="0.2">
      <c r="A1303" s="83" t="s">
        <v>2070</v>
      </c>
      <c r="B1303" s="43" t="s">
        <v>1534</v>
      </c>
      <c r="C1303" s="39">
        <v>0</v>
      </c>
      <c r="D1303" s="37" t="s">
        <v>2071</v>
      </c>
      <c r="E1303" s="37" t="s">
        <v>2072</v>
      </c>
      <c r="F1303" s="39">
        <v>36</v>
      </c>
      <c r="G1303" s="49" t="s">
        <v>1534</v>
      </c>
      <c r="H1303" s="49" t="s">
        <v>1534</v>
      </c>
      <c r="I1303" s="49" t="s">
        <v>1534</v>
      </c>
      <c r="J1303" s="40">
        <f>COUNTIF(System_configuration!B:B,A1303)</f>
        <v>0</v>
      </c>
    </row>
    <row r="1304" spans="1:10" s="29" customFormat="1" x14ac:dyDescent="0.2">
      <c r="A1304" s="83" t="s">
        <v>2073</v>
      </c>
      <c r="B1304" s="43" t="s">
        <v>1534</v>
      </c>
      <c r="C1304" s="39">
        <v>0</v>
      </c>
      <c r="D1304" s="37" t="s">
        <v>606</v>
      </c>
      <c r="E1304" s="37" t="s">
        <v>962</v>
      </c>
      <c r="F1304" s="39">
        <v>12</v>
      </c>
      <c r="G1304" s="49" t="s">
        <v>3568</v>
      </c>
      <c r="H1304" s="49" t="s">
        <v>3568</v>
      </c>
      <c r="I1304" s="49"/>
      <c r="J1304" s="40">
        <f>COUNTIF(System_configuration!B:B,A1304)</f>
        <v>0</v>
      </c>
    </row>
    <row r="1305" spans="1:10" s="29" customFormat="1" x14ac:dyDescent="0.2">
      <c r="A1305" s="83" t="s">
        <v>2074</v>
      </c>
      <c r="B1305" s="43" t="s">
        <v>1534</v>
      </c>
      <c r="C1305" s="39">
        <v>0</v>
      </c>
      <c r="D1305" s="37" t="s">
        <v>193</v>
      </c>
      <c r="E1305" s="37" t="s">
        <v>963</v>
      </c>
      <c r="F1305" s="39">
        <v>12</v>
      </c>
      <c r="G1305" s="49"/>
      <c r="H1305" s="49"/>
      <c r="I1305" s="49"/>
      <c r="J1305" s="40">
        <f>COUNTIF(System_configuration!B:B,A1305)</f>
        <v>0</v>
      </c>
    </row>
    <row r="1306" spans="1:10" s="29" customFormat="1" x14ac:dyDescent="0.2">
      <c r="A1306" s="83" t="s">
        <v>2075</v>
      </c>
      <c r="B1306" s="43" t="s">
        <v>1534</v>
      </c>
      <c r="C1306" s="39">
        <v>0</v>
      </c>
      <c r="D1306" s="37" t="s">
        <v>205</v>
      </c>
      <c r="E1306" s="37" t="s">
        <v>2076</v>
      </c>
      <c r="F1306" s="39">
        <v>12</v>
      </c>
      <c r="G1306" s="49" t="s">
        <v>3567</v>
      </c>
      <c r="H1306" s="49" t="s">
        <v>3567</v>
      </c>
      <c r="I1306" s="49" t="s">
        <v>3567</v>
      </c>
      <c r="J1306" s="40">
        <f>COUNTIF(System_configuration!B:B,A1306)</f>
        <v>0</v>
      </c>
    </row>
    <row r="1307" spans="1:10" s="29" customFormat="1" x14ac:dyDescent="0.2">
      <c r="A1307" s="83" t="s">
        <v>1255</v>
      </c>
      <c r="B1307" s="43" t="s">
        <v>1534</v>
      </c>
      <c r="C1307" s="39">
        <v>-10</v>
      </c>
      <c r="D1307" s="37" t="s">
        <v>184</v>
      </c>
      <c r="E1307" s="37" t="s">
        <v>965</v>
      </c>
      <c r="F1307" s="39">
        <v>12</v>
      </c>
      <c r="G1307" s="49" t="s">
        <v>3567</v>
      </c>
      <c r="H1307" s="49" t="s">
        <v>3567</v>
      </c>
      <c r="I1307" s="49" t="s">
        <v>3567</v>
      </c>
      <c r="J1307" s="40">
        <f>COUNTIF(System_configuration!B:B,A1307)</f>
        <v>0</v>
      </c>
    </row>
    <row r="1308" spans="1:10" s="29" customFormat="1" x14ac:dyDescent="0.2">
      <c r="A1308" s="83" t="s">
        <v>2077</v>
      </c>
      <c r="B1308" s="43" t="s">
        <v>1534</v>
      </c>
      <c r="C1308" s="39">
        <v>0</v>
      </c>
      <c r="D1308" s="37" t="s">
        <v>2078</v>
      </c>
      <c r="E1308" s="37" t="s">
        <v>966</v>
      </c>
      <c r="F1308" s="39">
        <v>12</v>
      </c>
      <c r="G1308" s="49" t="s">
        <v>3567</v>
      </c>
      <c r="H1308" s="49" t="s">
        <v>3567</v>
      </c>
      <c r="I1308" s="49" t="s">
        <v>3567</v>
      </c>
      <c r="J1308" s="40">
        <f>COUNTIF(System_configuration!B:B,A1308)</f>
        <v>0</v>
      </c>
    </row>
    <row r="1309" spans="1:10" s="29" customFormat="1" x14ac:dyDescent="0.2">
      <c r="A1309" s="83" t="s">
        <v>2079</v>
      </c>
      <c r="B1309" s="43" t="s">
        <v>1534</v>
      </c>
      <c r="C1309" s="39">
        <v>-10</v>
      </c>
      <c r="D1309" s="37" t="s">
        <v>183</v>
      </c>
      <c r="E1309" s="37" t="s">
        <v>967</v>
      </c>
      <c r="F1309" s="39">
        <v>12</v>
      </c>
      <c r="G1309" s="49" t="s">
        <v>3567</v>
      </c>
      <c r="H1309" s="49" t="s">
        <v>3567</v>
      </c>
      <c r="I1309" s="49" t="s">
        <v>3567</v>
      </c>
      <c r="J1309" s="40">
        <f>COUNTIF(System_configuration!B:B,A1309)</f>
        <v>0</v>
      </c>
    </row>
    <row r="1310" spans="1:10" s="29" customFormat="1" x14ac:dyDescent="0.2">
      <c r="A1310" s="83" t="s">
        <v>2080</v>
      </c>
      <c r="B1310" s="43" t="s">
        <v>1534</v>
      </c>
      <c r="C1310" s="39">
        <v>0</v>
      </c>
      <c r="D1310" s="37" t="s">
        <v>198</v>
      </c>
      <c r="E1310" s="37" t="s">
        <v>968</v>
      </c>
      <c r="F1310" s="39">
        <v>12</v>
      </c>
      <c r="G1310" s="49" t="s">
        <v>3568</v>
      </c>
      <c r="H1310" s="49" t="s">
        <v>3568</v>
      </c>
      <c r="I1310" s="49" t="s">
        <v>3568</v>
      </c>
      <c r="J1310" s="40">
        <f>COUNTIF(System_configuration!B:B,A1310)</f>
        <v>0</v>
      </c>
    </row>
    <row r="1311" spans="1:10" s="29" customFormat="1" ht="25.5" x14ac:dyDescent="0.2">
      <c r="A1311" s="83" t="s">
        <v>2081</v>
      </c>
      <c r="B1311" s="43" t="s">
        <v>1534</v>
      </c>
      <c r="C1311" s="39">
        <v>0</v>
      </c>
      <c r="D1311" s="37" t="s">
        <v>698</v>
      </c>
      <c r="E1311" s="37" t="s">
        <v>1570</v>
      </c>
      <c r="F1311" s="39">
        <v>12</v>
      </c>
      <c r="G1311" s="49" t="s">
        <v>3568</v>
      </c>
      <c r="H1311" s="49" t="s">
        <v>3568</v>
      </c>
      <c r="I1311" s="49"/>
      <c r="J1311" s="40">
        <f>COUNTIF(System_configuration!B:B,A1311)</f>
        <v>0</v>
      </c>
    </row>
    <row r="1312" spans="1:10" s="29" customFormat="1" ht="25.5" x14ac:dyDescent="0.2">
      <c r="A1312" s="83" t="s">
        <v>2082</v>
      </c>
      <c r="B1312" s="43" t="s">
        <v>1534</v>
      </c>
      <c r="C1312" s="39">
        <v>0</v>
      </c>
      <c r="D1312" s="37" t="s">
        <v>699</v>
      </c>
      <c r="E1312" s="37" t="s">
        <v>1571</v>
      </c>
      <c r="F1312" s="39">
        <v>12</v>
      </c>
      <c r="G1312" s="49" t="s">
        <v>3568</v>
      </c>
      <c r="H1312" s="49" t="s">
        <v>3568</v>
      </c>
      <c r="I1312" s="49"/>
      <c r="J1312" s="40">
        <f>COUNTIF(System_configuration!B:B,A1312)</f>
        <v>0</v>
      </c>
    </row>
    <row r="1313" spans="1:10" s="29" customFormat="1" ht="25.5" x14ac:dyDescent="0.2">
      <c r="A1313" s="83" t="s">
        <v>2083</v>
      </c>
      <c r="B1313" s="43" t="s">
        <v>1534</v>
      </c>
      <c r="C1313" s="39">
        <v>0</v>
      </c>
      <c r="D1313" s="37" t="s">
        <v>700</v>
      </c>
      <c r="E1313" s="37" t="s">
        <v>1572</v>
      </c>
      <c r="F1313" s="39">
        <v>12</v>
      </c>
      <c r="G1313" s="49" t="s">
        <v>3568</v>
      </c>
      <c r="H1313" s="49" t="s">
        <v>3568</v>
      </c>
      <c r="I1313" s="49"/>
      <c r="J1313" s="40">
        <f>COUNTIF(System_configuration!B:B,A1313)</f>
        <v>0</v>
      </c>
    </row>
    <row r="1314" spans="1:10" s="29" customFormat="1" x14ac:dyDescent="0.2">
      <c r="A1314" s="83" t="s">
        <v>2084</v>
      </c>
      <c r="B1314" s="43" t="s">
        <v>1534</v>
      </c>
      <c r="C1314" s="39">
        <v>0</v>
      </c>
      <c r="D1314" s="37" t="s">
        <v>613</v>
      </c>
      <c r="E1314" s="37" t="s">
        <v>969</v>
      </c>
      <c r="F1314" s="39">
        <v>12</v>
      </c>
      <c r="G1314" s="49" t="s">
        <v>3568</v>
      </c>
      <c r="H1314" s="49" t="s">
        <v>3568</v>
      </c>
      <c r="I1314" s="49"/>
      <c r="J1314" s="40">
        <f>COUNTIF(System_configuration!B:B,A1314)</f>
        <v>0</v>
      </c>
    </row>
    <row r="1315" spans="1:10" s="29" customFormat="1" x14ac:dyDescent="0.2">
      <c r="A1315" s="83" t="s">
        <v>2085</v>
      </c>
      <c r="B1315" s="43" t="s">
        <v>1534</v>
      </c>
      <c r="C1315" s="39">
        <v>0</v>
      </c>
      <c r="D1315" s="37" t="s">
        <v>199</v>
      </c>
      <c r="E1315" s="37" t="s">
        <v>970</v>
      </c>
      <c r="F1315" s="39">
        <v>12</v>
      </c>
      <c r="G1315" s="49" t="s">
        <v>3568</v>
      </c>
      <c r="H1315" s="49" t="s">
        <v>3568</v>
      </c>
      <c r="I1315" s="49"/>
      <c r="J1315" s="40">
        <f>COUNTIF(System_configuration!B:B,A1315)</f>
        <v>0</v>
      </c>
    </row>
    <row r="1316" spans="1:10" s="29" customFormat="1" x14ac:dyDescent="0.2">
      <c r="A1316" s="83" t="s">
        <v>2086</v>
      </c>
      <c r="B1316" s="43" t="s">
        <v>1534</v>
      </c>
      <c r="C1316" s="39">
        <v>0</v>
      </c>
      <c r="D1316" s="37" t="s">
        <v>203</v>
      </c>
      <c r="E1316" s="37" t="s">
        <v>971</v>
      </c>
      <c r="F1316" s="39">
        <v>12</v>
      </c>
      <c r="G1316" s="49" t="s">
        <v>3568</v>
      </c>
      <c r="H1316" s="49" t="s">
        <v>3568</v>
      </c>
      <c r="I1316" s="49"/>
      <c r="J1316" s="40">
        <f>COUNTIF(System_configuration!B:B,A1316)</f>
        <v>0</v>
      </c>
    </row>
    <row r="1317" spans="1:10" s="29" customFormat="1" x14ac:dyDescent="0.2">
      <c r="A1317" s="83" t="s">
        <v>2087</v>
      </c>
      <c r="B1317" s="43" t="s">
        <v>1534</v>
      </c>
      <c r="C1317" s="39">
        <v>0</v>
      </c>
      <c r="D1317" s="37" t="s">
        <v>204</v>
      </c>
      <c r="E1317" s="37" t="s">
        <v>972</v>
      </c>
      <c r="F1317" s="39">
        <v>12</v>
      </c>
      <c r="G1317" s="49" t="s">
        <v>3568</v>
      </c>
      <c r="H1317" s="49" t="s">
        <v>3568</v>
      </c>
      <c r="I1317" s="49"/>
      <c r="J1317" s="40">
        <f>COUNTIF(System_configuration!B:B,A1317)</f>
        <v>0</v>
      </c>
    </row>
    <row r="1318" spans="1:10" s="29" customFormat="1" x14ac:dyDescent="0.2">
      <c r="A1318" s="83" t="s">
        <v>2088</v>
      </c>
      <c r="B1318" s="43" t="s">
        <v>1534</v>
      </c>
      <c r="C1318" s="39">
        <v>0</v>
      </c>
      <c r="D1318" s="37" t="s">
        <v>618</v>
      </c>
      <c r="E1318" s="37" t="s">
        <v>973</v>
      </c>
      <c r="F1318" s="39">
        <v>12</v>
      </c>
      <c r="G1318" s="49" t="s">
        <v>3568</v>
      </c>
      <c r="H1318" s="49" t="s">
        <v>3568</v>
      </c>
      <c r="I1318" s="49"/>
      <c r="J1318" s="40">
        <f>COUNTIF(System_configuration!B:B,A1318)</f>
        <v>0</v>
      </c>
    </row>
    <row r="1319" spans="1:10" s="29" customFormat="1" x14ac:dyDescent="0.2">
      <c r="A1319" s="83" t="s">
        <v>2089</v>
      </c>
      <c r="B1319" s="43" t="s">
        <v>1534</v>
      </c>
      <c r="C1319" s="39">
        <v>0</v>
      </c>
      <c r="D1319" s="37" t="s">
        <v>620</v>
      </c>
      <c r="E1319" s="37" t="s">
        <v>974</v>
      </c>
      <c r="F1319" s="39">
        <v>12</v>
      </c>
      <c r="G1319" s="49" t="s">
        <v>3568</v>
      </c>
      <c r="H1319" s="49" t="s">
        <v>3568</v>
      </c>
      <c r="I1319" s="49"/>
      <c r="J1319" s="40">
        <f>COUNTIF(System_configuration!B:B,A1319)</f>
        <v>0</v>
      </c>
    </row>
    <row r="1320" spans="1:10" s="29" customFormat="1" x14ac:dyDescent="0.2">
      <c r="A1320" s="83" t="s">
        <v>2090</v>
      </c>
      <c r="B1320" s="43" t="s">
        <v>1534</v>
      </c>
      <c r="C1320" s="39">
        <v>0</v>
      </c>
      <c r="D1320" s="37" t="s">
        <v>621</v>
      </c>
      <c r="E1320" s="37" t="s">
        <v>975</v>
      </c>
      <c r="F1320" s="39">
        <v>12</v>
      </c>
      <c r="G1320" s="49" t="s">
        <v>3567</v>
      </c>
      <c r="H1320" s="49" t="s">
        <v>3567</v>
      </c>
      <c r="I1320" s="49" t="s">
        <v>3567</v>
      </c>
      <c r="J1320" s="40">
        <f>COUNTIF(System_configuration!B:B,A1320)</f>
        <v>0</v>
      </c>
    </row>
    <row r="1321" spans="1:10" s="29" customFormat="1" x14ac:dyDescent="0.2">
      <c r="A1321" s="83" t="s">
        <v>2091</v>
      </c>
      <c r="B1321" s="43" t="s">
        <v>1534</v>
      </c>
      <c r="C1321" s="39">
        <v>0</v>
      </c>
      <c r="D1321" s="37" t="s">
        <v>2092</v>
      </c>
      <c r="E1321" s="37" t="s">
        <v>2093</v>
      </c>
      <c r="F1321" s="39">
        <v>12</v>
      </c>
      <c r="G1321" s="49" t="s">
        <v>3568</v>
      </c>
      <c r="H1321" s="49" t="s">
        <v>3568</v>
      </c>
      <c r="I1321" s="49"/>
      <c r="J1321" s="40">
        <f>COUNTIF(System_configuration!B:B,A1321)</f>
        <v>0</v>
      </c>
    </row>
    <row r="1322" spans="1:10" s="29" customFormat="1" x14ac:dyDescent="0.2">
      <c r="A1322" s="83" t="s">
        <v>2094</v>
      </c>
      <c r="B1322" s="43" t="s">
        <v>1534</v>
      </c>
      <c r="C1322" s="39">
        <v>0</v>
      </c>
      <c r="D1322" s="37" t="s">
        <v>194</v>
      </c>
      <c r="E1322" s="37" t="s">
        <v>977</v>
      </c>
      <c r="F1322" s="39">
        <v>12</v>
      </c>
      <c r="G1322" s="49" t="s">
        <v>3567</v>
      </c>
      <c r="H1322" s="49" t="s">
        <v>3567</v>
      </c>
      <c r="I1322" s="49" t="s">
        <v>3567</v>
      </c>
      <c r="J1322" s="40">
        <f>COUNTIF(System_configuration!B:B,A1322)</f>
        <v>0</v>
      </c>
    </row>
    <row r="1323" spans="1:10" s="29" customFormat="1" x14ac:dyDescent="0.2">
      <c r="A1323" s="83" t="s">
        <v>2095</v>
      </c>
      <c r="B1323" s="43" t="s">
        <v>1534</v>
      </c>
      <c r="C1323" s="39">
        <v>-10</v>
      </c>
      <c r="D1323" s="37" t="s">
        <v>195</v>
      </c>
      <c r="E1323" s="37" t="s">
        <v>978</v>
      </c>
      <c r="F1323" s="39">
        <v>12</v>
      </c>
      <c r="G1323" s="49" t="s">
        <v>3567</v>
      </c>
      <c r="H1323" s="49" t="s">
        <v>3567</v>
      </c>
      <c r="I1323" s="49" t="s">
        <v>3567</v>
      </c>
      <c r="J1323" s="40">
        <f>COUNTIF(System_configuration!B:B,A1323)</f>
        <v>0</v>
      </c>
    </row>
    <row r="1324" spans="1:10" s="29" customFormat="1" x14ac:dyDescent="0.2">
      <c r="A1324" s="83" t="s">
        <v>2096</v>
      </c>
      <c r="B1324" s="43" t="s">
        <v>1534</v>
      </c>
      <c r="C1324" s="39">
        <v>0</v>
      </c>
      <c r="D1324" s="37" t="s">
        <v>196</v>
      </c>
      <c r="E1324" s="37" t="s">
        <v>2097</v>
      </c>
      <c r="F1324" s="39">
        <v>12</v>
      </c>
      <c r="G1324" s="49" t="s">
        <v>3567</v>
      </c>
      <c r="H1324" s="49" t="s">
        <v>3567</v>
      </c>
      <c r="I1324" s="49" t="s">
        <v>3567</v>
      </c>
      <c r="J1324" s="40">
        <f>COUNTIF(System_configuration!B:B,A1324)</f>
        <v>0</v>
      </c>
    </row>
    <row r="1325" spans="1:10" s="29" customFormat="1" x14ac:dyDescent="0.2">
      <c r="A1325" s="83" t="s">
        <v>2098</v>
      </c>
      <c r="B1325" s="43" t="s">
        <v>1534</v>
      </c>
      <c r="C1325" s="39">
        <v>-10</v>
      </c>
      <c r="D1325" s="37" t="s">
        <v>197</v>
      </c>
      <c r="E1325" s="37" t="s">
        <v>980</v>
      </c>
      <c r="F1325" s="39">
        <v>12</v>
      </c>
      <c r="G1325" s="49" t="s">
        <v>3567</v>
      </c>
      <c r="H1325" s="49" t="s">
        <v>3567</v>
      </c>
      <c r="I1325" s="49" t="s">
        <v>3567</v>
      </c>
      <c r="J1325" s="40">
        <f>COUNTIF(System_configuration!B:B,A1325)</f>
        <v>0</v>
      </c>
    </row>
    <row r="1326" spans="1:10" s="29" customFormat="1" x14ac:dyDescent="0.2">
      <c r="A1326" s="83" t="s">
        <v>2099</v>
      </c>
      <c r="B1326" s="43" t="s">
        <v>1534</v>
      </c>
      <c r="C1326" s="39">
        <v>0</v>
      </c>
      <c r="D1326" s="37" t="s">
        <v>243</v>
      </c>
      <c r="E1326" s="37" t="s">
        <v>981</v>
      </c>
      <c r="F1326" s="39">
        <v>12</v>
      </c>
      <c r="G1326" s="49" t="s">
        <v>3567</v>
      </c>
      <c r="H1326" s="49" t="s">
        <v>3567</v>
      </c>
      <c r="I1326" s="49" t="s">
        <v>3567</v>
      </c>
      <c r="J1326" s="40">
        <f>COUNTIF(System_configuration!B:B,A1326)</f>
        <v>0</v>
      </c>
    </row>
    <row r="1327" spans="1:10" s="29" customFormat="1" x14ac:dyDescent="0.2">
      <c r="A1327" s="83" t="s">
        <v>2100</v>
      </c>
      <c r="B1327" s="43" t="s">
        <v>1534</v>
      </c>
      <c r="C1327" s="39">
        <v>0</v>
      </c>
      <c r="D1327" s="37" t="s">
        <v>2101</v>
      </c>
      <c r="E1327" s="37" t="s">
        <v>2102</v>
      </c>
      <c r="F1327" s="39">
        <v>12</v>
      </c>
      <c r="G1327" s="49" t="s">
        <v>3568</v>
      </c>
      <c r="H1327" s="49" t="s">
        <v>3568</v>
      </c>
      <c r="I1327" s="49"/>
      <c r="J1327" s="40">
        <f>COUNTIF(System_configuration!B:B,A1327)</f>
        <v>0</v>
      </c>
    </row>
    <row r="1328" spans="1:10" s="29" customFormat="1" x14ac:dyDescent="0.2">
      <c r="A1328" s="83" t="s">
        <v>2103</v>
      </c>
      <c r="B1328" s="43" t="s">
        <v>1534</v>
      </c>
      <c r="C1328" s="39">
        <v>0</v>
      </c>
      <c r="D1328" s="37" t="s">
        <v>2104</v>
      </c>
      <c r="E1328" s="37" t="s">
        <v>2105</v>
      </c>
      <c r="F1328" s="39">
        <v>12</v>
      </c>
      <c r="G1328" s="49" t="s">
        <v>3568</v>
      </c>
      <c r="H1328" s="49" t="s">
        <v>3568</v>
      </c>
      <c r="I1328" s="49"/>
      <c r="J1328" s="40">
        <f>COUNTIF(System_configuration!B:B,A1328)</f>
        <v>0</v>
      </c>
    </row>
    <row r="1329" spans="1:10" s="29" customFormat="1" x14ac:dyDescent="0.2">
      <c r="A1329" s="83" t="s">
        <v>2106</v>
      </c>
      <c r="B1329" s="43" t="s">
        <v>1534</v>
      </c>
      <c r="C1329" s="39">
        <v>0</v>
      </c>
      <c r="D1329" s="37" t="s">
        <v>2107</v>
      </c>
      <c r="E1329" s="37" t="s">
        <v>2108</v>
      </c>
      <c r="F1329" s="39">
        <v>12</v>
      </c>
      <c r="G1329" s="49" t="s">
        <v>3568</v>
      </c>
      <c r="H1329" s="49" t="s">
        <v>3568</v>
      </c>
      <c r="I1329" s="49"/>
      <c r="J1329" s="40">
        <f>COUNTIF(System_configuration!B:B,A1329)</f>
        <v>0</v>
      </c>
    </row>
    <row r="1330" spans="1:10" s="29" customFormat="1" x14ac:dyDescent="0.2">
      <c r="A1330" s="83" t="s">
        <v>2109</v>
      </c>
      <c r="B1330" s="43" t="s">
        <v>1534</v>
      </c>
      <c r="C1330" s="39">
        <v>0</v>
      </c>
      <c r="D1330" s="37" t="s">
        <v>2110</v>
      </c>
      <c r="E1330" s="37" t="s">
        <v>2111</v>
      </c>
      <c r="F1330" s="39">
        <v>24</v>
      </c>
      <c r="G1330" s="49" t="s">
        <v>3567</v>
      </c>
      <c r="H1330" s="49" t="s">
        <v>3567</v>
      </c>
      <c r="I1330" s="49"/>
      <c r="J1330" s="40">
        <f>COUNTIF(System_configuration!B:B,A1330)</f>
        <v>0</v>
      </c>
    </row>
    <row r="1331" spans="1:10" s="29" customFormat="1" x14ac:dyDescent="0.2">
      <c r="A1331" s="83" t="s">
        <v>2112</v>
      </c>
      <c r="B1331" s="43" t="s">
        <v>1534</v>
      </c>
      <c r="C1331" s="39">
        <v>0</v>
      </c>
      <c r="D1331" s="37" t="s">
        <v>2113</v>
      </c>
      <c r="E1331" s="37" t="s">
        <v>2114</v>
      </c>
      <c r="F1331" s="39">
        <v>12</v>
      </c>
      <c r="G1331" s="49" t="s">
        <v>3568</v>
      </c>
      <c r="H1331" s="49" t="s">
        <v>3568</v>
      </c>
      <c r="I1331" s="49" t="s">
        <v>3568</v>
      </c>
      <c r="J1331" s="40">
        <f>COUNTIF(System_configuration!B:B,A1331)</f>
        <v>0</v>
      </c>
    </row>
    <row r="1332" spans="1:10" s="29" customFormat="1" x14ac:dyDescent="0.2">
      <c r="A1332" s="83" t="s">
        <v>1254</v>
      </c>
      <c r="B1332" s="43" t="s">
        <v>1534</v>
      </c>
      <c r="C1332" s="39">
        <v>2000</v>
      </c>
      <c r="D1332" s="37" t="s">
        <v>2115</v>
      </c>
      <c r="E1332" s="37" t="s">
        <v>2116</v>
      </c>
      <c r="F1332" s="39">
        <v>12</v>
      </c>
      <c r="G1332" s="49" t="s">
        <v>3567</v>
      </c>
      <c r="H1332" s="49" t="s">
        <v>3567</v>
      </c>
      <c r="I1332" s="49" t="s">
        <v>3567</v>
      </c>
      <c r="J1332" s="40">
        <f>COUNTIF(System_configuration!B:B,A1332)</f>
        <v>0</v>
      </c>
    </row>
    <row r="1333" spans="1:10" s="29" customFormat="1" x14ac:dyDescent="0.2">
      <c r="A1333" s="83" t="s">
        <v>2117</v>
      </c>
      <c r="B1333" s="43" t="s">
        <v>1534</v>
      </c>
      <c r="C1333" s="39">
        <v>0</v>
      </c>
      <c r="D1333" s="37" t="s">
        <v>628</v>
      </c>
      <c r="E1333" s="37" t="s">
        <v>984</v>
      </c>
      <c r="F1333" s="39">
        <v>12</v>
      </c>
      <c r="G1333" s="49" t="s">
        <v>3567</v>
      </c>
      <c r="H1333" s="49" t="s">
        <v>3567</v>
      </c>
      <c r="I1333" s="49" t="s">
        <v>3567</v>
      </c>
      <c r="J1333" s="40">
        <f>COUNTIF(System_configuration!B:B,A1333)</f>
        <v>0</v>
      </c>
    </row>
    <row r="1334" spans="1:10" s="29" customFormat="1" x14ac:dyDescent="0.2">
      <c r="A1334" s="83" t="s">
        <v>2118</v>
      </c>
      <c r="B1334" s="43" t="s">
        <v>1534</v>
      </c>
      <c r="C1334" s="39">
        <v>0</v>
      </c>
      <c r="D1334" s="37" t="s">
        <v>630</v>
      </c>
      <c r="E1334" s="37" t="s">
        <v>985</v>
      </c>
      <c r="F1334" s="39">
        <v>12</v>
      </c>
      <c r="G1334" s="49" t="s">
        <v>3567</v>
      </c>
      <c r="H1334" s="49" t="s">
        <v>3567</v>
      </c>
      <c r="I1334" s="49" t="s">
        <v>3567</v>
      </c>
      <c r="J1334" s="40">
        <f>COUNTIF(System_configuration!B:B,A1334)</f>
        <v>0</v>
      </c>
    </row>
    <row r="1335" spans="1:10" s="29" customFormat="1" x14ac:dyDescent="0.2">
      <c r="A1335" s="83" t="s">
        <v>2119</v>
      </c>
      <c r="B1335" s="43" t="s">
        <v>1534</v>
      </c>
      <c r="C1335" s="39">
        <v>0</v>
      </c>
      <c r="D1335" s="37" t="s">
        <v>632</v>
      </c>
      <c r="E1335" s="37" t="s">
        <v>986</v>
      </c>
      <c r="F1335" s="39">
        <v>12</v>
      </c>
      <c r="G1335" s="49" t="s">
        <v>3567</v>
      </c>
      <c r="H1335" s="49" t="s">
        <v>3567</v>
      </c>
      <c r="I1335" s="49" t="s">
        <v>3567</v>
      </c>
      <c r="J1335" s="40">
        <f>COUNTIF(System_configuration!B:B,A1335)</f>
        <v>0</v>
      </c>
    </row>
    <row r="1336" spans="1:10" s="29" customFormat="1" x14ac:dyDescent="0.2">
      <c r="A1336" s="83" t="s">
        <v>2120</v>
      </c>
      <c r="B1336" s="43" t="s">
        <v>1534</v>
      </c>
      <c r="C1336" s="39">
        <v>0</v>
      </c>
      <c r="D1336" s="37" t="s">
        <v>634</v>
      </c>
      <c r="E1336" s="37" t="s">
        <v>987</v>
      </c>
      <c r="F1336" s="39">
        <v>12</v>
      </c>
      <c r="G1336" s="49" t="s">
        <v>3567</v>
      </c>
      <c r="H1336" s="49" t="s">
        <v>3567</v>
      </c>
      <c r="I1336" s="49" t="s">
        <v>3567</v>
      </c>
      <c r="J1336" s="40">
        <f>COUNTIF(System_configuration!B:B,A1336)</f>
        <v>0</v>
      </c>
    </row>
    <row r="1337" spans="1:10" s="29" customFormat="1" x14ac:dyDescent="0.2">
      <c r="A1337" s="83" t="s">
        <v>2121</v>
      </c>
      <c r="B1337" s="43" t="s">
        <v>1534</v>
      </c>
      <c r="C1337" s="39">
        <v>0</v>
      </c>
      <c r="D1337" s="37" t="s">
        <v>636</v>
      </c>
      <c r="E1337" s="37" t="s">
        <v>988</v>
      </c>
      <c r="F1337" s="39">
        <v>12</v>
      </c>
      <c r="G1337" s="49" t="s">
        <v>3567</v>
      </c>
      <c r="H1337" s="49" t="s">
        <v>3567</v>
      </c>
      <c r="I1337" s="49" t="s">
        <v>3567</v>
      </c>
      <c r="J1337" s="40">
        <f>COUNTIF(System_configuration!B:B,A1337)</f>
        <v>0</v>
      </c>
    </row>
    <row r="1338" spans="1:10" s="29" customFormat="1" x14ac:dyDescent="0.2">
      <c r="A1338" s="83" t="s">
        <v>2122</v>
      </c>
      <c r="B1338" s="43" t="s">
        <v>1534</v>
      </c>
      <c r="C1338" s="39">
        <v>0</v>
      </c>
      <c r="D1338" s="37" t="s">
        <v>207</v>
      </c>
      <c r="E1338" s="37" t="s">
        <v>989</v>
      </c>
      <c r="F1338" s="39">
        <v>12</v>
      </c>
      <c r="G1338" s="49" t="s">
        <v>3567</v>
      </c>
      <c r="H1338" s="49" t="s">
        <v>3567</v>
      </c>
      <c r="I1338" s="49"/>
      <c r="J1338" s="40">
        <f>COUNTIF(System_configuration!B:B,A1338)</f>
        <v>0</v>
      </c>
    </row>
    <row r="1339" spans="1:10" s="29" customFormat="1" x14ac:dyDescent="0.2">
      <c r="A1339" s="83" t="s">
        <v>2123</v>
      </c>
      <c r="B1339" s="43" t="s">
        <v>1534</v>
      </c>
      <c r="C1339" s="39">
        <v>-10</v>
      </c>
      <c r="D1339" s="37" t="s">
        <v>2124</v>
      </c>
      <c r="E1339" s="37" t="s">
        <v>2125</v>
      </c>
      <c r="F1339" s="39">
        <v>24</v>
      </c>
      <c r="G1339" s="49" t="s">
        <v>3567</v>
      </c>
      <c r="H1339" s="49" t="s">
        <v>3567</v>
      </c>
      <c r="I1339" s="49"/>
      <c r="J1339" s="40">
        <f>COUNTIF(System_configuration!B:B,A1339)</f>
        <v>0</v>
      </c>
    </row>
    <row r="1340" spans="1:10" s="29" customFormat="1" x14ac:dyDescent="0.2">
      <c r="A1340" s="83" t="s">
        <v>2126</v>
      </c>
      <c r="B1340" s="43" t="s">
        <v>1534</v>
      </c>
      <c r="C1340" s="39">
        <v>0</v>
      </c>
      <c r="D1340" s="37" t="s">
        <v>640</v>
      </c>
      <c r="E1340" s="37" t="s">
        <v>990</v>
      </c>
      <c r="F1340" s="39">
        <v>12</v>
      </c>
      <c r="G1340" s="49" t="s">
        <v>3568</v>
      </c>
      <c r="H1340" s="49" t="s">
        <v>3568</v>
      </c>
      <c r="I1340" s="49" t="s">
        <v>3568</v>
      </c>
      <c r="J1340" s="40">
        <f>COUNTIF(System_configuration!B:B,A1340)</f>
        <v>0</v>
      </c>
    </row>
    <row r="1341" spans="1:10" s="29" customFormat="1" x14ac:dyDescent="0.2">
      <c r="A1341" s="83" t="s">
        <v>2127</v>
      </c>
      <c r="B1341" s="43" t="s">
        <v>1534</v>
      </c>
      <c r="C1341" s="39">
        <v>0</v>
      </c>
      <c r="D1341" s="37" t="s">
        <v>2128</v>
      </c>
      <c r="E1341" s="37" t="s">
        <v>2129</v>
      </c>
      <c r="F1341" s="39">
        <v>12</v>
      </c>
      <c r="G1341" s="49" t="s">
        <v>3567</v>
      </c>
      <c r="H1341" s="49" t="s">
        <v>3567</v>
      </c>
      <c r="I1341" s="49"/>
      <c r="J1341" s="40">
        <f>COUNTIF(System_configuration!B:B,A1341)</f>
        <v>0</v>
      </c>
    </row>
    <row r="1342" spans="1:10" s="29" customFormat="1" x14ac:dyDescent="0.2">
      <c r="A1342" s="83" t="s">
        <v>2130</v>
      </c>
      <c r="B1342" s="43" t="s">
        <v>1534</v>
      </c>
      <c r="C1342" s="39">
        <v>0</v>
      </c>
      <c r="D1342" s="37" t="s">
        <v>2131</v>
      </c>
      <c r="E1342" s="37" t="s">
        <v>991</v>
      </c>
      <c r="F1342" s="39">
        <v>12</v>
      </c>
      <c r="G1342" s="49" t="s">
        <v>3567</v>
      </c>
      <c r="H1342" s="49" t="s">
        <v>3567</v>
      </c>
      <c r="I1342" s="49"/>
      <c r="J1342" s="40">
        <f>COUNTIF(System_configuration!B:B,A1342)</f>
        <v>0</v>
      </c>
    </row>
    <row r="1343" spans="1:10" s="29" customFormat="1" x14ac:dyDescent="0.2">
      <c r="A1343" s="83" t="s">
        <v>2132</v>
      </c>
      <c r="B1343" s="43" t="s">
        <v>1534</v>
      </c>
      <c r="C1343" s="39">
        <v>0</v>
      </c>
      <c r="D1343" s="37" t="s">
        <v>2133</v>
      </c>
      <c r="E1343" s="37" t="s">
        <v>992</v>
      </c>
      <c r="F1343" s="39">
        <v>12</v>
      </c>
      <c r="G1343" s="49" t="s">
        <v>3567</v>
      </c>
      <c r="H1343" s="49" t="s">
        <v>3567</v>
      </c>
      <c r="I1343" s="49" t="s">
        <v>3567</v>
      </c>
      <c r="J1343" s="40">
        <f>COUNTIF(System_configuration!B:B,A1343)</f>
        <v>0</v>
      </c>
    </row>
    <row r="1344" spans="1:10" s="29" customFormat="1" x14ac:dyDescent="0.2">
      <c r="A1344" s="83" t="s">
        <v>2134</v>
      </c>
      <c r="B1344" s="43" t="s">
        <v>1534</v>
      </c>
      <c r="C1344" s="39">
        <v>0</v>
      </c>
      <c r="D1344" s="37" t="s">
        <v>647</v>
      </c>
      <c r="E1344" s="37" t="s">
        <v>993</v>
      </c>
      <c r="F1344" s="39">
        <v>12</v>
      </c>
      <c r="G1344" s="49" t="s">
        <v>3568</v>
      </c>
      <c r="H1344" s="49" t="s">
        <v>3568</v>
      </c>
      <c r="I1344" s="49"/>
      <c r="J1344" s="40">
        <f>COUNTIF(System_configuration!B:B,A1344)</f>
        <v>0</v>
      </c>
    </row>
    <row r="1345" spans="1:10" s="29" customFormat="1" x14ac:dyDescent="0.2">
      <c r="A1345" s="83" t="s">
        <v>2135</v>
      </c>
      <c r="B1345" s="43" t="s">
        <v>1534</v>
      </c>
      <c r="C1345" s="39">
        <v>-3</v>
      </c>
      <c r="D1345" s="37" t="s">
        <v>2136</v>
      </c>
      <c r="E1345" s="37" t="s">
        <v>2137</v>
      </c>
      <c r="F1345" s="39">
        <v>24</v>
      </c>
      <c r="G1345" s="49" t="s">
        <v>3570</v>
      </c>
      <c r="H1345" s="49" t="s">
        <v>3570</v>
      </c>
      <c r="I1345" s="49" t="s">
        <v>3570</v>
      </c>
      <c r="J1345" s="40">
        <f>COUNTIF(System_configuration!B:B,A1345)</f>
        <v>0</v>
      </c>
    </row>
    <row r="1346" spans="1:10" s="29" customFormat="1" x14ac:dyDescent="0.2">
      <c r="A1346" s="83" t="s">
        <v>2138</v>
      </c>
      <c r="B1346" s="43" t="s">
        <v>1534</v>
      </c>
      <c r="C1346" s="39">
        <v>-3</v>
      </c>
      <c r="D1346" s="37" t="s">
        <v>2139</v>
      </c>
      <c r="E1346" s="37" t="s">
        <v>2140</v>
      </c>
      <c r="F1346" s="39">
        <v>24</v>
      </c>
      <c r="G1346" s="49" t="s">
        <v>3570</v>
      </c>
      <c r="H1346" s="49" t="s">
        <v>3570</v>
      </c>
      <c r="I1346" s="49" t="s">
        <v>3570</v>
      </c>
      <c r="J1346" s="40">
        <f>COUNTIF(System_configuration!B:B,A1346)</f>
        <v>0</v>
      </c>
    </row>
    <row r="1347" spans="1:10" s="29" customFormat="1" x14ac:dyDescent="0.2">
      <c r="A1347" s="83" t="s">
        <v>2141</v>
      </c>
      <c r="B1347" s="43" t="s">
        <v>1534</v>
      </c>
      <c r="C1347" s="39">
        <v>-3</v>
      </c>
      <c r="D1347" s="37" t="s">
        <v>2142</v>
      </c>
      <c r="E1347" s="37" t="s">
        <v>2143</v>
      </c>
      <c r="F1347" s="39">
        <v>24</v>
      </c>
      <c r="G1347" s="49" t="s">
        <v>3570</v>
      </c>
      <c r="H1347" s="49" t="s">
        <v>3570</v>
      </c>
      <c r="I1347" s="49" t="s">
        <v>3570</v>
      </c>
      <c r="J1347" s="40">
        <f>COUNTIF(System_configuration!B:B,A1347)</f>
        <v>0</v>
      </c>
    </row>
    <row r="1348" spans="1:10" s="29" customFormat="1" x14ac:dyDescent="0.2">
      <c r="A1348" s="83" t="s">
        <v>2144</v>
      </c>
      <c r="B1348" s="43" t="s">
        <v>1534</v>
      </c>
      <c r="C1348" s="39">
        <v>-3</v>
      </c>
      <c r="D1348" s="37" t="s">
        <v>2145</v>
      </c>
      <c r="E1348" s="37" t="s">
        <v>2146</v>
      </c>
      <c r="F1348" s="39">
        <v>24</v>
      </c>
      <c r="G1348" s="49" t="s">
        <v>3570</v>
      </c>
      <c r="H1348" s="49" t="s">
        <v>3570</v>
      </c>
      <c r="I1348" s="49" t="s">
        <v>3570</v>
      </c>
      <c r="J1348" s="40">
        <f>COUNTIF(System_configuration!B:B,A1348)</f>
        <v>0</v>
      </c>
    </row>
    <row r="1349" spans="1:10" s="29" customFormat="1" x14ac:dyDescent="0.2">
      <c r="A1349" s="83" t="s">
        <v>2147</v>
      </c>
      <c r="B1349" s="43" t="s">
        <v>1534</v>
      </c>
      <c r="C1349" s="39">
        <v>-3</v>
      </c>
      <c r="D1349" s="37" t="s">
        <v>2148</v>
      </c>
      <c r="E1349" s="37" t="s">
        <v>2149</v>
      </c>
      <c r="F1349" s="39">
        <v>73</v>
      </c>
      <c r="G1349" s="49" t="s">
        <v>3570</v>
      </c>
      <c r="H1349" s="49" t="s">
        <v>3570</v>
      </c>
      <c r="I1349" s="49" t="s">
        <v>3570</v>
      </c>
      <c r="J1349" s="40">
        <f>COUNTIF(System_configuration!B:B,A1349)</f>
        <v>0</v>
      </c>
    </row>
    <row r="1350" spans="1:10" s="29" customFormat="1" x14ac:dyDescent="0.2">
      <c r="A1350" s="83" t="s">
        <v>2150</v>
      </c>
      <c r="B1350" s="43" t="s">
        <v>1534</v>
      </c>
      <c r="C1350" s="39">
        <v>-3</v>
      </c>
      <c r="D1350" s="37" t="s">
        <v>2151</v>
      </c>
      <c r="E1350" s="37" t="s">
        <v>2152</v>
      </c>
      <c r="F1350" s="39">
        <v>73</v>
      </c>
      <c r="G1350" s="49" t="s">
        <v>3570</v>
      </c>
      <c r="H1350" s="49" t="s">
        <v>3570</v>
      </c>
      <c r="I1350" s="49" t="s">
        <v>3570</v>
      </c>
      <c r="J1350" s="40">
        <f>COUNTIF(System_configuration!B:B,A1350)</f>
        <v>0</v>
      </c>
    </row>
    <row r="1351" spans="1:10" s="29" customFormat="1" x14ac:dyDescent="0.2">
      <c r="A1351" s="83" t="s">
        <v>2153</v>
      </c>
      <c r="B1351" s="43" t="s">
        <v>1534</v>
      </c>
      <c r="C1351" s="39">
        <v>-3</v>
      </c>
      <c r="D1351" s="37" t="s">
        <v>2154</v>
      </c>
      <c r="E1351" s="37" t="s">
        <v>2155</v>
      </c>
      <c r="F1351" s="39">
        <v>73</v>
      </c>
      <c r="G1351" s="49" t="s">
        <v>3570</v>
      </c>
      <c r="H1351" s="49" t="s">
        <v>3570</v>
      </c>
      <c r="I1351" s="49" t="s">
        <v>3570</v>
      </c>
      <c r="J1351" s="40">
        <f>COUNTIF(System_configuration!B:B,A1351)</f>
        <v>0</v>
      </c>
    </row>
    <row r="1352" spans="1:10" s="29" customFormat="1" x14ac:dyDescent="0.2">
      <c r="A1352" s="83" t="s">
        <v>2156</v>
      </c>
      <c r="B1352" s="43" t="s">
        <v>1534</v>
      </c>
      <c r="C1352" s="39">
        <v>-3</v>
      </c>
      <c r="D1352" s="37" t="s">
        <v>2157</v>
      </c>
      <c r="E1352" s="37" t="s">
        <v>2158</v>
      </c>
      <c r="F1352" s="39">
        <v>73</v>
      </c>
      <c r="G1352" s="49" t="s">
        <v>3570</v>
      </c>
      <c r="H1352" s="49" t="s">
        <v>3570</v>
      </c>
      <c r="I1352" s="49" t="s">
        <v>3570</v>
      </c>
      <c r="J1352" s="40">
        <f>COUNTIF(System_configuration!B:B,A1352)</f>
        <v>0</v>
      </c>
    </row>
    <row r="1353" spans="1:10" s="29" customFormat="1" x14ac:dyDescent="0.2">
      <c r="A1353" s="83" t="s">
        <v>2159</v>
      </c>
      <c r="B1353" s="43" t="s">
        <v>1534</v>
      </c>
      <c r="C1353" s="39">
        <v>-3</v>
      </c>
      <c r="D1353" s="37" t="s">
        <v>2160</v>
      </c>
      <c r="E1353" s="37" t="s">
        <v>2161</v>
      </c>
      <c r="F1353" s="39">
        <v>121</v>
      </c>
      <c r="G1353" s="49" t="s">
        <v>3570</v>
      </c>
      <c r="H1353" s="49" t="s">
        <v>3570</v>
      </c>
      <c r="I1353" s="49" t="s">
        <v>3570</v>
      </c>
      <c r="J1353" s="40">
        <f>COUNTIF(System_configuration!B:B,A1353)</f>
        <v>0</v>
      </c>
    </row>
    <row r="1354" spans="1:10" s="29" customFormat="1" x14ac:dyDescent="0.2">
      <c r="A1354" s="83" t="s">
        <v>2162</v>
      </c>
      <c r="B1354" s="43" t="s">
        <v>1534</v>
      </c>
      <c r="C1354" s="39">
        <v>-3</v>
      </c>
      <c r="D1354" s="37" t="s">
        <v>2163</v>
      </c>
      <c r="E1354" s="37" t="s">
        <v>2164</v>
      </c>
      <c r="F1354" s="39">
        <v>121</v>
      </c>
      <c r="G1354" s="49" t="s">
        <v>3570</v>
      </c>
      <c r="H1354" s="49" t="s">
        <v>3570</v>
      </c>
      <c r="I1354" s="49" t="s">
        <v>3570</v>
      </c>
      <c r="J1354" s="40">
        <f>COUNTIF(System_configuration!B:B,A1354)</f>
        <v>0</v>
      </c>
    </row>
    <row r="1355" spans="1:10" s="29" customFormat="1" x14ac:dyDescent="0.2">
      <c r="A1355" s="83" t="s">
        <v>2165</v>
      </c>
      <c r="B1355" s="43" t="s">
        <v>1534</v>
      </c>
      <c r="C1355" s="39">
        <v>-3</v>
      </c>
      <c r="D1355" s="37" t="s">
        <v>2166</v>
      </c>
      <c r="E1355" s="37" t="s">
        <v>2167</v>
      </c>
      <c r="F1355" s="39">
        <v>121</v>
      </c>
      <c r="G1355" s="49" t="s">
        <v>3570</v>
      </c>
      <c r="H1355" s="49" t="s">
        <v>3570</v>
      </c>
      <c r="I1355" s="49" t="s">
        <v>3570</v>
      </c>
      <c r="J1355" s="40">
        <f>COUNTIF(System_configuration!B:B,A1355)</f>
        <v>0</v>
      </c>
    </row>
    <row r="1356" spans="1:10" s="29" customFormat="1" x14ac:dyDescent="0.2">
      <c r="A1356" s="83" t="s">
        <v>2168</v>
      </c>
      <c r="B1356" s="43" t="s">
        <v>1534</v>
      </c>
      <c r="C1356" s="39">
        <v>-3</v>
      </c>
      <c r="D1356" s="37" t="s">
        <v>2169</v>
      </c>
      <c r="E1356" s="37" t="s">
        <v>2170</v>
      </c>
      <c r="F1356" s="39">
        <v>121</v>
      </c>
      <c r="G1356" s="49" t="s">
        <v>3570</v>
      </c>
      <c r="H1356" s="49" t="s">
        <v>3570</v>
      </c>
      <c r="I1356" s="49" t="s">
        <v>3570</v>
      </c>
      <c r="J1356" s="40">
        <f>COUNTIF(System_configuration!B:B,A1356)</f>
        <v>0</v>
      </c>
    </row>
    <row r="1357" spans="1:10" s="29" customFormat="1" x14ac:dyDescent="0.2">
      <c r="A1357" s="83" t="s">
        <v>2171</v>
      </c>
      <c r="B1357" s="43" t="s">
        <v>1534</v>
      </c>
      <c r="C1357" s="39">
        <v>-3</v>
      </c>
      <c r="D1357" s="37" t="s">
        <v>2172</v>
      </c>
      <c r="E1357" s="37" t="s">
        <v>2173</v>
      </c>
      <c r="F1357" s="39">
        <v>24</v>
      </c>
      <c r="G1357" s="49" t="s">
        <v>3570</v>
      </c>
      <c r="H1357" s="49" t="s">
        <v>3570</v>
      </c>
      <c r="I1357" s="49" t="s">
        <v>3570</v>
      </c>
      <c r="J1357" s="40">
        <f>COUNTIF(System_configuration!B:B,A1357)</f>
        <v>0</v>
      </c>
    </row>
    <row r="1358" spans="1:10" s="29" customFormat="1" x14ac:dyDescent="0.2">
      <c r="A1358" s="83" t="s">
        <v>2174</v>
      </c>
      <c r="B1358" s="43" t="s">
        <v>1534</v>
      </c>
      <c r="C1358" s="39">
        <v>-3</v>
      </c>
      <c r="D1358" s="37" t="s">
        <v>2175</v>
      </c>
      <c r="E1358" s="37" t="s">
        <v>2176</v>
      </c>
      <c r="F1358" s="39">
        <v>24</v>
      </c>
      <c r="G1358" s="49" t="s">
        <v>3570</v>
      </c>
      <c r="H1358" s="49" t="s">
        <v>3570</v>
      </c>
      <c r="I1358" s="49" t="s">
        <v>3570</v>
      </c>
      <c r="J1358" s="40">
        <f>COUNTIF(System_configuration!B:B,A1358)</f>
        <v>0</v>
      </c>
    </row>
    <row r="1359" spans="1:10" s="29" customFormat="1" x14ac:dyDescent="0.2">
      <c r="A1359" s="83" t="s">
        <v>2177</v>
      </c>
      <c r="B1359" s="43" t="s">
        <v>1534</v>
      </c>
      <c r="C1359" s="39">
        <v>-3</v>
      </c>
      <c r="D1359" s="37" t="s">
        <v>2178</v>
      </c>
      <c r="E1359" s="37" t="s">
        <v>2179</v>
      </c>
      <c r="F1359" s="39">
        <v>24</v>
      </c>
      <c r="G1359" s="49" t="s">
        <v>3570</v>
      </c>
      <c r="H1359" s="49" t="s">
        <v>3570</v>
      </c>
      <c r="I1359" s="49" t="s">
        <v>3570</v>
      </c>
      <c r="J1359" s="40">
        <f>COUNTIF(System_configuration!B:B,A1359)</f>
        <v>0</v>
      </c>
    </row>
    <row r="1360" spans="1:10" s="29" customFormat="1" x14ac:dyDescent="0.2">
      <c r="A1360" s="83" t="s">
        <v>2180</v>
      </c>
      <c r="B1360" s="43" t="s">
        <v>1534</v>
      </c>
      <c r="C1360" s="39">
        <v>-3</v>
      </c>
      <c r="D1360" s="37" t="s">
        <v>2181</v>
      </c>
      <c r="E1360" s="37" t="s">
        <v>2182</v>
      </c>
      <c r="F1360" s="39">
        <v>24</v>
      </c>
      <c r="G1360" s="49" t="s">
        <v>3570</v>
      </c>
      <c r="H1360" s="49" t="s">
        <v>3570</v>
      </c>
      <c r="I1360" s="49" t="s">
        <v>3570</v>
      </c>
      <c r="J1360" s="40">
        <f>COUNTIF(System_configuration!B:B,A1360)</f>
        <v>0</v>
      </c>
    </row>
    <row r="1361" spans="1:10" s="29" customFormat="1" x14ac:dyDescent="0.2">
      <c r="A1361" s="83" t="s">
        <v>2183</v>
      </c>
      <c r="B1361" s="43" t="s">
        <v>1534</v>
      </c>
      <c r="C1361" s="39">
        <v>-3</v>
      </c>
      <c r="D1361" s="37" t="s">
        <v>2184</v>
      </c>
      <c r="E1361" s="37" t="s">
        <v>2185</v>
      </c>
      <c r="F1361" s="39">
        <v>73</v>
      </c>
      <c r="G1361" s="49" t="s">
        <v>3570</v>
      </c>
      <c r="H1361" s="49" t="s">
        <v>3570</v>
      </c>
      <c r="I1361" s="49" t="s">
        <v>3570</v>
      </c>
      <c r="J1361" s="40">
        <f>COUNTIF(System_configuration!B:B,A1361)</f>
        <v>0</v>
      </c>
    </row>
    <row r="1362" spans="1:10" s="29" customFormat="1" x14ac:dyDescent="0.2">
      <c r="A1362" s="83" t="s">
        <v>2186</v>
      </c>
      <c r="B1362" s="43" t="s">
        <v>1534</v>
      </c>
      <c r="C1362" s="39">
        <v>-3</v>
      </c>
      <c r="D1362" s="37" t="s">
        <v>2187</v>
      </c>
      <c r="E1362" s="37" t="s">
        <v>2188</v>
      </c>
      <c r="F1362" s="39">
        <v>73</v>
      </c>
      <c r="G1362" s="49" t="s">
        <v>3570</v>
      </c>
      <c r="H1362" s="49" t="s">
        <v>3570</v>
      </c>
      <c r="I1362" s="49" t="s">
        <v>3570</v>
      </c>
      <c r="J1362" s="40">
        <f>COUNTIF(System_configuration!B:B,A1362)</f>
        <v>0</v>
      </c>
    </row>
    <row r="1363" spans="1:10" s="29" customFormat="1" x14ac:dyDescent="0.2">
      <c r="A1363" s="83" t="s">
        <v>2189</v>
      </c>
      <c r="B1363" s="43" t="s">
        <v>1534</v>
      </c>
      <c r="C1363" s="39">
        <v>-3</v>
      </c>
      <c r="D1363" s="37" t="s">
        <v>2190</v>
      </c>
      <c r="E1363" s="37" t="s">
        <v>2191</v>
      </c>
      <c r="F1363" s="39">
        <v>73</v>
      </c>
      <c r="G1363" s="49" t="s">
        <v>3570</v>
      </c>
      <c r="H1363" s="49" t="s">
        <v>3570</v>
      </c>
      <c r="I1363" s="49" t="s">
        <v>3570</v>
      </c>
      <c r="J1363" s="40">
        <f>COUNTIF(System_configuration!B:B,A1363)</f>
        <v>0</v>
      </c>
    </row>
    <row r="1364" spans="1:10" s="29" customFormat="1" x14ac:dyDescent="0.2">
      <c r="A1364" s="83" t="s">
        <v>2192</v>
      </c>
      <c r="B1364" s="43" t="s">
        <v>1534</v>
      </c>
      <c r="C1364" s="39">
        <v>-3</v>
      </c>
      <c r="D1364" s="37" t="s">
        <v>2193</v>
      </c>
      <c r="E1364" s="37" t="s">
        <v>2194</v>
      </c>
      <c r="F1364" s="39">
        <v>73</v>
      </c>
      <c r="G1364" s="49" t="s">
        <v>3570</v>
      </c>
      <c r="H1364" s="49" t="s">
        <v>3570</v>
      </c>
      <c r="I1364" s="49" t="s">
        <v>3570</v>
      </c>
      <c r="J1364" s="40">
        <f>COUNTIF(System_configuration!B:B,A1364)</f>
        <v>0</v>
      </c>
    </row>
    <row r="1365" spans="1:10" s="29" customFormat="1" x14ac:dyDescent="0.2">
      <c r="A1365" s="83" t="s">
        <v>2195</v>
      </c>
      <c r="B1365" s="43" t="s">
        <v>1534</v>
      </c>
      <c r="C1365" s="39">
        <v>-3</v>
      </c>
      <c r="D1365" s="37" t="s">
        <v>2196</v>
      </c>
      <c r="E1365" s="37" t="s">
        <v>2197</v>
      </c>
      <c r="F1365" s="39">
        <v>121</v>
      </c>
      <c r="G1365" s="49" t="s">
        <v>3570</v>
      </c>
      <c r="H1365" s="49" t="s">
        <v>3570</v>
      </c>
      <c r="I1365" s="49" t="s">
        <v>3570</v>
      </c>
      <c r="J1365" s="40">
        <f>COUNTIF(System_configuration!B:B,A1365)</f>
        <v>0</v>
      </c>
    </row>
    <row r="1366" spans="1:10" s="29" customFormat="1" x14ac:dyDescent="0.2">
      <c r="A1366" s="83" t="s">
        <v>2198</v>
      </c>
      <c r="B1366" s="43" t="s">
        <v>1534</v>
      </c>
      <c r="C1366" s="39">
        <v>-3</v>
      </c>
      <c r="D1366" s="37" t="s">
        <v>2199</v>
      </c>
      <c r="E1366" s="37" t="s">
        <v>2200</v>
      </c>
      <c r="F1366" s="39">
        <v>121</v>
      </c>
      <c r="G1366" s="49" t="s">
        <v>3570</v>
      </c>
      <c r="H1366" s="49" t="s">
        <v>3570</v>
      </c>
      <c r="I1366" s="49" t="s">
        <v>3570</v>
      </c>
      <c r="J1366" s="40">
        <f>COUNTIF(System_configuration!B:B,A1366)</f>
        <v>0</v>
      </c>
    </row>
    <row r="1367" spans="1:10" s="29" customFormat="1" x14ac:dyDescent="0.2">
      <c r="A1367" s="83" t="s">
        <v>2201</v>
      </c>
      <c r="B1367" s="43" t="s">
        <v>1534</v>
      </c>
      <c r="C1367" s="39">
        <v>-3</v>
      </c>
      <c r="D1367" s="37" t="s">
        <v>2202</v>
      </c>
      <c r="E1367" s="37" t="s">
        <v>2203</v>
      </c>
      <c r="F1367" s="39">
        <v>121</v>
      </c>
      <c r="G1367" s="49" t="s">
        <v>3570</v>
      </c>
      <c r="H1367" s="49" t="s">
        <v>3570</v>
      </c>
      <c r="I1367" s="49" t="s">
        <v>3570</v>
      </c>
      <c r="J1367" s="40">
        <f>COUNTIF(System_configuration!B:B,A1367)</f>
        <v>0</v>
      </c>
    </row>
    <row r="1368" spans="1:10" s="29" customFormat="1" x14ac:dyDescent="0.2">
      <c r="A1368" s="83" t="s">
        <v>2204</v>
      </c>
      <c r="B1368" s="43" t="s">
        <v>1534</v>
      </c>
      <c r="C1368" s="39">
        <v>-3</v>
      </c>
      <c r="D1368" s="37" t="s">
        <v>2205</v>
      </c>
      <c r="E1368" s="37" t="s">
        <v>2206</v>
      </c>
      <c r="F1368" s="39">
        <v>121</v>
      </c>
      <c r="G1368" s="49" t="s">
        <v>3570</v>
      </c>
      <c r="H1368" s="49" t="s">
        <v>3570</v>
      </c>
      <c r="I1368" s="49" t="s">
        <v>3570</v>
      </c>
      <c r="J1368" s="40">
        <f>COUNTIF(System_configuration!B:B,A1368)</f>
        <v>0</v>
      </c>
    </row>
    <row r="1369" spans="1:10" s="29" customFormat="1" x14ac:dyDescent="0.2">
      <c r="A1369" s="83" t="s">
        <v>2207</v>
      </c>
      <c r="B1369" s="43" t="s">
        <v>1534</v>
      </c>
      <c r="C1369" s="39">
        <v>-5</v>
      </c>
      <c r="D1369" s="37" t="s">
        <v>2208</v>
      </c>
      <c r="E1369" s="37" t="s">
        <v>2209</v>
      </c>
      <c r="F1369" s="39">
        <v>24</v>
      </c>
      <c r="G1369" s="49" t="s">
        <v>3570</v>
      </c>
      <c r="H1369" s="49" t="s">
        <v>3570</v>
      </c>
      <c r="I1369" s="49" t="s">
        <v>3570</v>
      </c>
      <c r="J1369" s="40">
        <f>COUNTIF(System_configuration!B:B,A1369)</f>
        <v>0</v>
      </c>
    </row>
    <row r="1370" spans="1:10" s="29" customFormat="1" x14ac:dyDescent="0.2">
      <c r="A1370" s="83" t="s">
        <v>2210</v>
      </c>
      <c r="B1370" s="43" t="s">
        <v>1534</v>
      </c>
      <c r="C1370" s="39">
        <v>-5</v>
      </c>
      <c r="D1370" s="37" t="s">
        <v>2211</v>
      </c>
      <c r="E1370" s="37" t="s">
        <v>2212</v>
      </c>
      <c r="F1370" s="39">
        <v>24</v>
      </c>
      <c r="G1370" s="49" t="s">
        <v>3570</v>
      </c>
      <c r="H1370" s="49" t="s">
        <v>3570</v>
      </c>
      <c r="I1370" s="49" t="s">
        <v>3570</v>
      </c>
      <c r="J1370" s="40">
        <f>COUNTIF(System_configuration!B:B,A1370)</f>
        <v>0</v>
      </c>
    </row>
    <row r="1371" spans="1:10" s="29" customFormat="1" x14ac:dyDescent="0.2">
      <c r="A1371" s="83" t="s">
        <v>2213</v>
      </c>
      <c r="B1371" s="43" t="s">
        <v>1534</v>
      </c>
      <c r="C1371" s="39">
        <v>-5</v>
      </c>
      <c r="D1371" s="37" t="s">
        <v>2214</v>
      </c>
      <c r="E1371" s="37" t="s">
        <v>2215</v>
      </c>
      <c r="F1371" s="39">
        <v>24</v>
      </c>
      <c r="G1371" s="49" t="s">
        <v>3570</v>
      </c>
      <c r="H1371" s="49" t="s">
        <v>3570</v>
      </c>
      <c r="I1371" s="49" t="s">
        <v>3570</v>
      </c>
      <c r="J1371" s="40">
        <f>COUNTIF(System_configuration!B:B,A1371)</f>
        <v>0</v>
      </c>
    </row>
    <row r="1372" spans="1:10" s="29" customFormat="1" x14ac:dyDescent="0.2">
      <c r="A1372" s="83" t="s">
        <v>2216</v>
      </c>
      <c r="B1372" s="43" t="s">
        <v>1534</v>
      </c>
      <c r="C1372" s="39">
        <v>-5</v>
      </c>
      <c r="D1372" s="37" t="s">
        <v>2217</v>
      </c>
      <c r="E1372" s="37" t="s">
        <v>2218</v>
      </c>
      <c r="F1372" s="39">
        <v>24</v>
      </c>
      <c r="G1372" s="49" t="s">
        <v>3570</v>
      </c>
      <c r="H1372" s="49" t="s">
        <v>3570</v>
      </c>
      <c r="I1372" s="49" t="s">
        <v>3570</v>
      </c>
      <c r="J1372" s="40">
        <f>COUNTIF(System_configuration!B:B,A1372)</f>
        <v>0</v>
      </c>
    </row>
    <row r="1373" spans="1:10" s="29" customFormat="1" x14ac:dyDescent="0.2">
      <c r="A1373" s="83" t="s">
        <v>2219</v>
      </c>
      <c r="B1373" s="43" t="s">
        <v>1534</v>
      </c>
      <c r="C1373" s="39">
        <v>-5</v>
      </c>
      <c r="D1373" s="37" t="s">
        <v>2220</v>
      </c>
      <c r="E1373" s="37" t="s">
        <v>2221</v>
      </c>
      <c r="F1373" s="39">
        <v>24</v>
      </c>
      <c r="G1373" s="49" t="s">
        <v>3570</v>
      </c>
      <c r="H1373" s="49" t="s">
        <v>3570</v>
      </c>
      <c r="I1373" s="49" t="s">
        <v>3570</v>
      </c>
      <c r="J1373" s="40">
        <f>COUNTIF(System_configuration!B:B,A1373)</f>
        <v>0</v>
      </c>
    </row>
    <row r="1374" spans="1:10" s="29" customFormat="1" x14ac:dyDescent="0.2">
      <c r="A1374" s="83" t="s">
        <v>2222</v>
      </c>
      <c r="B1374" s="43" t="s">
        <v>1534</v>
      </c>
      <c r="C1374" s="39">
        <v>-5</v>
      </c>
      <c r="D1374" s="37" t="s">
        <v>2223</v>
      </c>
      <c r="E1374" s="37" t="s">
        <v>2224</v>
      </c>
      <c r="F1374" s="39">
        <v>73</v>
      </c>
      <c r="G1374" s="49" t="s">
        <v>3570</v>
      </c>
      <c r="H1374" s="49" t="s">
        <v>3570</v>
      </c>
      <c r="I1374" s="49" t="s">
        <v>3570</v>
      </c>
      <c r="J1374" s="40">
        <f>COUNTIF(System_configuration!B:B,A1374)</f>
        <v>0</v>
      </c>
    </row>
    <row r="1375" spans="1:10" s="29" customFormat="1" x14ac:dyDescent="0.2">
      <c r="A1375" s="83" t="s">
        <v>2225</v>
      </c>
      <c r="B1375" s="43" t="s">
        <v>1534</v>
      </c>
      <c r="C1375" s="39">
        <v>-5</v>
      </c>
      <c r="D1375" s="37" t="s">
        <v>2226</v>
      </c>
      <c r="E1375" s="37" t="s">
        <v>2227</v>
      </c>
      <c r="F1375" s="39">
        <v>73</v>
      </c>
      <c r="G1375" s="49" t="s">
        <v>3570</v>
      </c>
      <c r="H1375" s="49" t="s">
        <v>3570</v>
      </c>
      <c r="I1375" s="49" t="s">
        <v>3570</v>
      </c>
      <c r="J1375" s="40">
        <f>COUNTIF(System_configuration!B:B,A1375)</f>
        <v>0</v>
      </c>
    </row>
    <row r="1376" spans="1:10" s="29" customFormat="1" x14ac:dyDescent="0.2">
      <c r="A1376" s="83" t="s">
        <v>2228</v>
      </c>
      <c r="B1376" s="43" t="s">
        <v>1534</v>
      </c>
      <c r="C1376" s="39">
        <v>-5</v>
      </c>
      <c r="D1376" s="37" t="s">
        <v>2229</v>
      </c>
      <c r="E1376" s="37" t="s">
        <v>2230</v>
      </c>
      <c r="F1376" s="39">
        <v>73</v>
      </c>
      <c r="G1376" s="49" t="s">
        <v>3570</v>
      </c>
      <c r="H1376" s="49" t="s">
        <v>3570</v>
      </c>
      <c r="I1376" s="49" t="s">
        <v>3570</v>
      </c>
      <c r="J1376" s="40">
        <f>COUNTIF(System_configuration!B:B,A1376)</f>
        <v>0</v>
      </c>
    </row>
    <row r="1377" spans="1:10" s="29" customFormat="1" x14ac:dyDescent="0.2">
      <c r="A1377" s="83" t="s">
        <v>2231</v>
      </c>
      <c r="B1377" s="43" t="s">
        <v>1534</v>
      </c>
      <c r="C1377" s="39">
        <v>-5</v>
      </c>
      <c r="D1377" s="37" t="s">
        <v>2232</v>
      </c>
      <c r="E1377" s="37" t="s">
        <v>2233</v>
      </c>
      <c r="F1377" s="39">
        <v>73</v>
      </c>
      <c r="G1377" s="49" t="s">
        <v>3570</v>
      </c>
      <c r="H1377" s="49" t="s">
        <v>3570</v>
      </c>
      <c r="I1377" s="49" t="s">
        <v>3570</v>
      </c>
      <c r="J1377" s="40">
        <f>COUNTIF(System_configuration!B:B,A1377)</f>
        <v>0</v>
      </c>
    </row>
    <row r="1378" spans="1:10" s="29" customFormat="1" x14ac:dyDescent="0.2">
      <c r="A1378" s="83" t="s">
        <v>2234</v>
      </c>
      <c r="B1378" s="43" t="s">
        <v>1534</v>
      </c>
      <c r="C1378" s="39">
        <v>-5</v>
      </c>
      <c r="D1378" s="37" t="s">
        <v>2235</v>
      </c>
      <c r="E1378" s="37" t="s">
        <v>2236</v>
      </c>
      <c r="F1378" s="39">
        <v>121</v>
      </c>
      <c r="G1378" s="49" t="s">
        <v>3570</v>
      </c>
      <c r="H1378" s="49" t="s">
        <v>3570</v>
      </c>
      <c r="I1378" s="49" t="s">
        <v>3570</v>
      </c>
      <c r="J1378" s="40">
        <f>COUNTIF(System_configuration!B:B,A1378)</f>
        <v>0</v>
      </c>
    </row>
    <row r="1379" spans="1:10" s="29" customFormat="1" x14ac:dyDescent="0.2">
      <c r="A1379" s="83" t="s">
        <v>2237</v>
      </c>
      <c r="B1379" s="43" t="s">
        <v>1534</v>
      </c>
      <c r="C1379" s="39">
        <v>-5</v>
      </c>
      <c r="D1379" s="37" t="s">
        <v>2238</v>
      </c>
      <c r="E1379" s="37" t="s">
        <v>2239</v>
      </c>
      <c r="F1379" s="39">
        <v>121</v>
      </c>
      <c r="G1379" s="49" t="s">
        <v>3570</v>
      </c>
      <c r="H1379" s="49" t="s">
        <v>3570</v>
      </c>
      <c r="I1379" s="49" t="s">
        <v>3570</v>
      </c>
      <c r="J1379" s="40">
        <f>COUNTIF(System_configuration!B:B,A1379)</f>
        <v>0</v>
      </c>
    </row>
    <row r="1380" spans="1:10" s="29" customFormat="1" x14ac:dyDescent="0.2">
      <c r="A1380" s="83" t="s">
        <v>2240</v>
      </c>
      <c r="B1380" s="43" t="s">
        <v>1534</v>
      </c>
      <c r="C1380" s="39">
        <v>-5</v>
      </c>
      <c r="D1380" s="37" t="s">
        <v>2241</v>
      </c>
      <c r="E1380" s="37" t="s">
        <v>2242</v>
      </c>
      <c r="F1380" s="39">
        <v>121</v>
      </c>
      <c r="G1380" s="49" t="s">
        <v>3570</v>
      </c>
      <c r="H1380" s="49" t="s">
        <v>3570</v>
      </c>
      <c r="I1380" s="49" t="s">
        <v>3570</v>
      </c>
      <c r="J1380" s="40">
        <f>COUNTIF(System_configuration!B:B,A1380)</f>
        <v>0</v>
      </c>
    </row>
    <row r="1381" spans="1:10" s="29" customFormat="1" x14ac:dyDescent="0.2">
      <c r="A1381" s="83" t="s">
        <v>2243</v>
      </c>
      <c r="B1381" s="43" t="s">
        <v>1534</v>
      </c>
      <c r="C1381" s="39">
        <v>-5</v>
      </c>
      <c r="D1381" s="37" t="s">
        <v>2244</v>
      </c>
      <c r="E1381" s="37" t="s">
        <v>2245</v>
      </c>
      <c r="F1381" s="39">
        <v>121</v>
      </c>
      <c r="G1381" s="49" t="s">
        <v>3570</v>
      </c>
      <c r="H1381" s="49" t="s">
        <v>3570</v>
      </c>
      <c r="I1381" s="49" t="s">
        <v>3570</v>
      </c>
      <c r="J1381" s="40">
        <f>COUNTIF(System_configuration!B:B,A1381)</f>
        <v>0</v>
      </c>
    </row>
    <row r="1382" spans="1:10" s="29" customFormat="1" x14ac:dyDescent="0.2">
      <c r="A1382" s="83" t="s">
        <v>2246</v>
      </c>
      <c r="B1382" s="43" t="s">
        <v>1534</v>
      </c>
      <c r="C1382" s="39">
        <v>-5</v>
      </c>
      <c r="D1382" s="37" t="s">
        <v>2247</v>
      </c>
      <c r="E1382" s="37" t="s">
        <v>2248</v>
      </c>
      <c r="F1382" s="39">
        <v>24</v>
      </c>
      <c r="G1382" s="49" t="s">
        <v>3570</v>
      </c>
      <c r="H1382" s="49" t="s">
        <v>3570</v>
      </c>
      <c r="I1382" s="49" t="s">
        <v>3570</v>
      </c>
      <c r="J1382" s="40">
        <f>COUNTIF(System_configuration!B:B,A1382)</f>
        <v>0</v>
      </c>
    </row>
    <row r="1383" spans="1:10" s="29" customFormat="1" x14ac:dyDescent="0.2">
      <c r="A1383" s="83" t="s">
        <v>2249</v>
      </c>
      <c r="B1383" s="43" t="s">
        <v>1534</v>
      </c>
      <c r="C1383" s="39">
        <v>-15</v>
      </c>
      <c r="D1383" s="37" t="s">
        <v>2250</v>
      </c>
      <c r="E1383" s="37" t="s">
        <v>2251</v>
      </c>
      <c r="F1383" s="39">
        <v>99</v>
      </c>
      <c r="G1383" s="49" t="s">
        <v>3570</v>
      </c>
      <c r="H1383" s="49" t="s">
        <v>3570</v>
      </c>
      <c r="I1383" s="49" t="s">
        <v>3570</v>
      </c>
      <c r="J1383" s="40">
        <f>COUNTIF(System_configuration!B:B,A1383)</f>
        <v>0</v>
      </c>
    </row>
    <row r="1384" spans="1:10" s="29" customFormat="1" x14ac:dyDescent="0.2">
      <c r="A1384" s="83" t="s">
        <v>2252</v>
      </c>
      <c r="B1384" s="43" t="s">
        <v>1534</v>
      </c>
      <c r="C1384" s="39">
        <v>-15</v>
      </c>
      <c r="D1384" s="37" t="s">
        <v>2253</v>
      </c>
      <c r="E1384" s="37" t="s">
        <v>2254</v>
      </c>
      <c r="F1384" s="39">
        <v>99</v>
      </c>
      <c r="G1384" s="49" t="s">
        <v>3570</v>
      </c>
      <c r="H1384" s="49" t="s">
        <v>3570</v>
      </c>
      <c r="I1384" s="49" t="s">
        <v>3570</v>
      </c>
      <c r="J1384" s="40">
        <f>COUNTIF(System_configuration!B:B,A1384)</f>
        <v>0</v>
      </c>
    </row>
    <row r="1385" spans="1:10" s="29" customFormat="1" x14ac:dyDescent="0.2">
      <c r="A1385" s="83" t="s">
        <v>2255</v>
      </c>
      <c r="B1385" s="43" t="s">
        <v>1534</v>
      </c>
      <c r="C1385" s="39">
        <v>-130</v>
      </c>
      <c r="D1385" s="37" t="s">
        <v>2256</v>
      </c>
      <c r="E1385" s="37" t="s">
        <v>2257</v>
      </c>
      <c r="F1385" s="39">
        <v>24</v>
      </c>
      <c r="G1385" s="49" t="s">
        <v>3570</v>
      </c>
      <c r="H1385" s="49" t="s">
        <v>3570</v>
      </c>
      <c r="I1385" s="49" t="s">
        <v>3570</v>
      </c>
      <c r="J1385" s="40">
        <f>COUNTIF(System_configuration!B:B,A1385)</f>
        <v>0</v>
      </c>
    </row>
    <row r="1386" spans="1:10" s="29" customFormat="1" x14ac:dyDescent="0.2">
      <c r="A1386" s="83" t="s">
        <v>2258</v>
      </c>
      <c r="B1386" s="43" t="s">
        <v>1534</v>
      </c>
      <c r="C1386" s="39">
        <v>-130</v>
      </c>
      <c r="D1386" s="37" t="s">
        <v>2259</v>
      </c>
      <c r="E1386" s="37" t="s">
        <v>2260</v>
      </c>
      <c r="F1386" s="39">
        <v>24</v>
      </c>
      <c r="G1386" s="49" t="s">
        <v>3570</v>
      </c>
      <c r="H1386" s="49" t="s">
        <v>3570</v>
      </c>
      <c r="I1386" s="49" t="s">
        <v>3570</v>
      </c>
      <c r="J1386" s="40">
        <f>COUNTIF(System_configuration!B:B,A1386)</f>
        <v>0</v>
      </c>
    </row>
    <row r="1387" spans="1:10" s="29" customFormat="1" x14ac:dyDescent="0.2">
      <c r="A1387" s="83" t="s">
        <v>2261</v>
      </c>
      <c r="B1387" s="43" t="s">
        <v>1534</v>
      </c>
      <c r="C1387" s="39">
        <v>-30</v>
      </c>
      <c r="D1387" s="37" t="s">
        <v>2262</v>
      </c>
      <c r="E1387" s="37" t="s">
        <v>2263</v>
      </c>
      <c r="F1387" s="39">
        <v>132</v>
      </c>
      <c r="G1387" s="49" t="s">
        <v>3570</v>
      </c>
      <c r="H1387" s="49" t="s">
        <v>3570</v>
      </c>
      <c r="I1387" s="49" t="s">
        <v>3570</v>
      </c>
      <c r="J1387" s="40">
        <f>COUNTIF(System_configuration!B:B,A1387)</f>
        <v>0</v>
      </c>
    </row>
    <row r="1388" spans="1:10" s="29" customFormat="1" x14ac:dyDescent="0.2">
      <c r="A1388" s="83" t="s">
        <v>2264</v>
      </c>
      <c r="B1388" s="43" t="s">
        <v>1534</v>
      </c>
      <c r="C1388" s="39">
        <v>-15</v>
      </c>
      <c r="D1388" s="37" t="s">
        <v>1245</v>
      </c>
      <c r="E1388" s="37" t="s">
        <v>1183</v>
      </c>
      <c r="F1388" s="39">
        <v>24</v>
      </c>
      <c r="G1388" s="49" t="s">
        <v>3570</v>
      </c>
      <c r="H1388" s="49" t="s">
        <v>3570</v>
      </c>
      <c r="I1388" s="49" t="s">
        <v>3570</v>
      </c>
      <c r="J1388" s="40">
        <f>COUNTIF(System_configuration!B:B,A1388)</f>
        <v>0</v>
      </c>
    </row>
    <row r="1389" spans="1:10" s="29" customFormat="1" x14ac:dyDescent="0.2">
      <c r="A1389" s="83" t="s">
        <v>2265</v>
      </c>
      <c r="B1389" s="43" t="s">
        <v>1534</v>
      </c>
      <c r="C1389" s="39">
        <v>-15</v>
      </c>
      <c r="D1389" s="37" t="s">
        <v>2266</v>
      </c>
      <c r="E1389" s="37" t="s">
        <v>2267</v>
      </c>
      <c r="F1389" s="39">
        <v>24</v>
      </c>
      <c r="G1389" s="49" t="s">
        <v>3570</v>
      </c>
      <c r="H1389" s="49" t="s">
        <v>3570</v>
      </c>
      <c r="I1389" s="49" t="s">
        <v>3570</v>
      </c>
      <c r="J1389" s="40">
        <f>COUNTIF(System_configuration!B:B,A1389)</f>
        <v>0</v>
      </c>
    </row>
    <row r="1390" spans="1:10" s="29" customFormat="1" x14ac:dyDescent="0.2">
      <c r="A1390" s="83" t="s">
        <v>2268</v>
      </c>
      <c r="B1390" s="43" t="s">
        <v>1534</v>
      </c>
      <c r="C1390" s="39">
        <v>-15</v>
      </c>
      <c r="D1390" s="37" t="s">
        <v>2269</v>
      </c>
      <c r="E1390" s="37" t="s">
        <v>2270</v>
      </c>
      <c r="F1390" s="39">
        <v>24</v>
      </c>
      <c r="G1390" s="49" t="s">
        <v>3570</v>
      </c>
      <c r="H1390" s="49" t="s">
        <v>3570</v>
      </c>
      <c r="I1390" s="49" t="s">
        <v>3570</v>
      </c>
      <c r="J1390" s="40">
        <f>COUNTIF(System_configuration!B:B,A1390)</f>
        <v>0</v>
      </c>
    </row>
    <row r="1391" spans="1:10" s="29" customFormat="1" x14ac:dyDescent="0.2">
      <c r="A1391" s="83" t="s">
        <v>2271</v>
      </c>
      <c r="B1391" s="43" t="s">
        <v>1534</v>
      </c>
      <c r="C1391" s="39">
        <v>-175</v>
      </c>
      <c r="D1391" s="37" t="s">
        <v>2272</v>
      </c>
      <c r="E1391" s="37" t="s">
        <v>2273</v>
      </c>
      <c r="F1391" s="39">
        <v>24</v>
      </c>
      <c r="G1391" s="49" t="s">
        <v>3570</v>
      </c>
      <c r="H1391" s="49" t="s">
        <v>3570</v>
      </c>
      <c r="I1391" s="49" t="s">
        <v>3570</v>
      </c>
      <c r="J1391" s="40">
        <f>COUNTIF(System_configuration!B:B,A1391)</f>
        <v>0</v>
      </c>
    </row>
    <row r="1392" spans="1:10" s="29" customFormat="1" x14ac:dyDescent="0.2">
      <c r="A1392" s="83" t="s">
        <v>2274</v>
      </c>
      <c r="B1392" s="43" t="s">
        <v>1534</v>
      </c>
      <c r="C1392" s="39">
        <v>-135</v>
      </c>
      <c r="D1392" s="37" t="s">
        <v>2275</v>
      </c>
      <c r="E1392" s="37" t="s">
        <v>2276</v>
      </c>
      <c r="F1392" s="39">
        <v>24</v>
      </c>
      <c r="G1392" s="49" t="s">
        <v>3570</v>
      </c>
      <c r="H1392" s="49" t="s">
        <v>3570</v>
      </c>
      <c r="I1392" s="49" t="s">
        <v>3570</v>
      </c>
      <c r="J1392" s="40">
        <f>COUNTIF(System_configuration!B:B,A1392)</f>
        <v>0</v>
      </c>
    </row>
    <row r="1393" spans="1:13" s="29" customFormat="1" x14ac:dyDescent="0.2">
      <c r="A1393" s="83" t="s">
        <v>2277</v>
      </c>
      <c r="B1393" s="43" t="s">
        <v>1534</v>
      </c>
      <c r="C1393" s="39">
        <v>-3</v>
      </c>
      <c r="D1393" s="37" t="s">
        <v>727</v>
      </c>
      <c r="E1393" s="37" t="s">
        <v>1014</v>
      </c>
      <c r="F1393" s="39">
        <v>12</v>
      </c>
      <c r="G1393" s="49" t="s">
        <v>3568</v>
      </c>
      <c r="H1393" s="49" t="s">
        <v>3568</v>
      </c>
      <c r="I1393" s="49" t="s">
        <v>3568</v>
      </c>
      <c r="J1393" s="40">
        <f>COUNTIF(System_configuration!B:B,A1393)</f>
        <v>0</v>
      </c>
      <c r="K1393" s="60"/>
      <c r="L1393" s="60"/>
      <c r="M1393" s="60"/>
    </row>
    <row r="1394" spans="1:13" s="29" customFormat="1" x14ac:dyDescent="0.2">
      <c r="A1394" s="83" t="s">
        <v>2278</v>
      </c>
      <c r="B1394" s="43" t="s">
        <v>1534</v>
      </c>
      <c r="C1394" s="39">
        <v>-3</v>
      </c>
      <c r="D1394" s="37" t="s">
        <v>1575</v>
      </c>
      <c r="E1394" s="37" t="s">
        <v>1576</v>
      </c>
      <c r="F1394" s="39">
        <v>12</v>
      </c>
      <c r="G1394" s="49" t="s">
        <v>3568</v>
      </c>
      <c r="H1394" s="49" t="s">
        <v>3568</v>
      </c>
      <c r="I1394" s="49" t="s">
        <v>3568</v>
      </c>
      <c r="J1394" s="40">
        <f>COUNTIF(System_configuration!B:B,A1394)</f>
        <v>0</v>
      </c>
    </row>
    <row r="1395" spans="1:13" s="29" customFormat="1" x14ac:dyDescent="0.2">
      <c r="A1395" s="83" t="s">
        <v>2279</v>
      </c>
      <c r="B1395" s="43" t="s">
        <v>1534</v>
      </c>
      <c r="C1395" s="39">
        <v>-3</v>
      </c>
      <c r="D1395" s="37" t="s">
        <v>1578</v>
      </c>
      <c r="E1395" s="37" t="s">
        <v>1579</v>
      </c>
      <c r="F1395" s="39">
        <v>12</v>
      </c>
      <c r="G1395" s="49" t="s">
        <v>3568</v>
      </c>
      <c r="H1395" s="49" t="s">
        <v>3568</v>
      </c>
      <c r="I1395" s="49" t="s">
        <v>3568</v>
      </c>
      <c r="J1395" s="40">
        <f>COUNTIF(System_configuration!B:B,A1395)</f>
        <v>0</v>
      </c>
    </row>
    <row r="1396" spans="1:13" s="29" customFormat="1" x14ac:dyDescent="0.2">
      <c r="A1396" s="83" t="s">
        <v>2280</v>
      </c>
      <c r="B1396" s="43" t="s">
        <v>1534</v>
      </c>
      <c r="C1396" s="39">
        <v>-8</v>
      </c>
      <c r="D1396" s="37" t="s">
        <v>1581</v>
      </c>
      <c r="E1396" s="37" t="s">
        <v>1582</v>
      </c>
      <c r="F1396" s="39">
        <v>12</v>
      </c>
      <c r="G1396" s="49" t="s">
        <v>3568</v>
      </c>
      <c r="H1396" s="49" t="s">
        <v>3568</v>
      </c>
      <c r="I1396" s="49" t="s">
        <v>3568</v>
      </c>
      <c r="J1396" s="40">
        <f>COUNTIF(System_configuration!B:B,A1396)</f>
        <v>0</v>
      </c>
    </row>
    <row r="1397" spans="1:13" s="29" customFormat="1" ht="25.5" x14ac:dyDescent="0.2">
      <c r="A1397" s="83" t="s">
        <v>2281</v>
      </c>
      <c r="B1397" s="43" t="s">
        <v>1534</v>
      </c>
      <c r="C1397" s="39">
        <v>-5</v>
      </c>
      <c r="D1397" s="37" t="s">
        <v>730</v>
      </c>
      <c r="E1397" s="37" t="s">
        <v>1583</v>
      </c>
      <c r="F1397" s="39">
        <v>12</v>
      </c>
      <c r="G1397" s="49" t="s">
        <v>3568</v>
      </c>
      <c r="H1397" s="49" t="s">
        <v>3568</v>
      </c>
      <c r="I1397" s="49"/>
      <c r="J1397" s="40">
        <f>COUNTIF(System_configuration!B:B,A1397)</f>
        <v>0</v>
      </c>
    </row>
    <row r="1398" spans="1:13" s="29" customFormat="1" ht="25.5" x14ac:dyDescent="0.2">
      <c r="A1398" s="83" t="s">
        <v>2282</v>
      </c>
      <c r="B1398" s="43" t="s">
        <v>1534</v>
      </c>
      <c r="C1398" s="39">
        <v>-5</v>
      </c>
      <c r="D1398" s="37" t="s">
        <v>1585</v>
      </c>
      <c r="E1398" s="37" t="s">
        <v>1586</v>
      </c>
      <c r="F1398" s="39">
        <v>12</v>
      </c>
      <c r="G1398" s="49" t="s">
        <v>3568</v>
      </c>
      <c r="H1398" s="49" t="s">
        <v>3568</v>
      </c>
      <c r="I1398" s="49"/>
      <c r="J1398" s="40">
        <f>COUNTIF(System_configuration!B:B,A1398)</f>
        <v>0</v>
      </c>
    </row>
    <row r="1399" spans="1:13" s="29" customFormat="1" ht="25.5" x14ac:dyDescent="0.2">
      <c r="A1399" s="83" t="s">
        <v>2283</v>
      </c>
      <c r="B1399" s="43" t="s">
        <v>1534</v>
      </c>
      <c r="C1399" s="39">
        <v>-5</v>
      </c>
      <c r="D1399" s="37" t="s">
        <v>1588</v>
      </c>
      <c r="E1399" s="37" t="s">
        <v>1589</v>
      </c>
      <c r="F1399" s="39">
        <v>12</v>
      </c>
      <c r="G1399" s="49" t="s">
        <v>3568</v>
      </c>
      <c r="H1399" s="49" t="s">
        <v>3568</v>
      </c>
      <c r="I1399" s="49"/>
      <c r="J1399" s="40">
        <f>COUNTIF(System_configuration!B:B,A1399)</f>
        <v>0</v>
      </c>
    </row>
    <row r="1400" spans="1:13" s="29" customFormat="1" ht="25.5" x14ac:dyDescent="0.2">
      <c r="A1400" s="83" t="s">
        <v>2284</v>
      </c>
      <c r="B1400" s="43" t="s">
        <v>1534</v>
      </c>
      <c r="C1400" s="39">
        <v>-8</v>
      </c>
      <c r="D1400" s="37" t="s">
        <v>1591</v>
      </c>
      <c r="E1400" s="37" t="s">
        <v>1592</v>
      </c>
      <c r="F1400" s="39">
        <v>12</v>
      </c>
      <c r="G1400" s="49" t="s">
        <v>3568</v>
      </c>
      <c r="H1400" s="49" t="s">
        <v>3568</v>
      </c>
      <c r="I1400" s="49"/>
      <c r="J1400" s="40">
        <f>COUNTIF(System_configuration!B:B,A1400)</f>
        <v>0</v>
      </c>
    </row>
    <row r="1401" spans="1:13" s="29" customFormat="1" ht="25.5" x14ac:dyDescent="0.2">
      <c r="A1401" s="83" t="s">
        <v>2285</v>
      </c>
      <c r="B1401" s="43" t="s">
        <v>1534</v>
      </c>
      <c r="C1401" s="39">
        <v>-8</v>
      </c>
      <c r="D1401" s="37" t="s">
        <v>1594</v>
      </c>
      <c r="E1401" s="37" t="s">
        <v>1595</v>
      </c>
      <c r="F1401" s="39">
        <v>12</v>
      </c>
      <c r="G1401" s="49" t="s">
        <v>3568</v>
      </c>
      <c r="H1401" s="49" t="s">
        <v>3568</v>
      </c>
      <c r="I1401" s="49"/>
      <c r="J1401" s="40">
        <f>COUNTIF(System_configuration!B:B,A1401)</f>
        <v>0</v>
      </c>
    </row>
    <row r="1402" spans="1:13" s="29" customFormat="1" ht="25.5" x14ac:dyDescent="0.2">
      <c r="A1402" s="83" t="s">
        <v>2286</v>
      </c>
      <c r="B1402" s="43" t="s">
        <v>1534</v>
      </c>
      <c r="C1402" s="39">
        <v>-8</v>
      </c>
      <c r="D1402" s="37" t="s">
        <v>1597</v>
      </c>
      <c r="E1402" s="37" t="s">
        <v>1598</v>
      </c>
      <c r="F1402" s="39">
        <v>12</v>
      </c>
      <c r="G1402" s="49" t="s">
        <v>3568</v>
      </c>
      <c r="H1402" s="49" t="s">
        <v>3568</v>
      </c>
      <c r="I1402" s="49"/>
      <c r="J1402" s="40">
        <f>COUNTIF(System_configuration!B:B,A1402)</f>
        <v>0</v>
      </c>
    </row>
    <row r="1403" spans="1:13" s="29" customFormat="1" ht="25.5" x14ac:dyDescent="0.2">
      <c r="A1403" s="83" t="s">
        <v>2287</v>
      </c>
      <c r="B1403" s="43" t="s">
        <v>1534</v>
      </c>
      <c r="C1403" s="39">
        <v>-8</v>
      </c>
      <c r="D1403" s="37" t="s">
        <v>1600</v>
      </c>
      <c r="E1403" s="37" t="s">
        <v>1601</v>
      </c>
      <c r="F1403" s="39">
        <v>12</v>
      </c>
      <c r="G1403" s="49" t="s">
        <v>3568</v>
      </c>
      <c r="H1403" s="49" t="s">
        <v>3568</v>
      </c>
      <c r="I1403" s="49"/>
      <c r="J1403" s="40">
        <f>COUNTIF(System_configuration!B:B,A1403)</f>
        <v>0</v>
      </c>
    </row>
    <row r="1404" spans="1:13" s="29" customFormat="1" ht="25.5" x14ac:dyDescent="0.2">
      <c r="A1404" s="83" t="s">
        <v>2288</v>
      </c>
      <c r="B1404" s="43" t="s">
        <v>1534</v>
      </c>
      <c r="C1404" s="39">
        <v>-8</v>
      </c>
      <c r="D1404" s="37" t="s">
        <v>1603</v>
      </c>
      <c r="E1404" s="37" t="s">
        <v>1604</v>
      </c>
      <c r="F1404" s="39">
        <v>12</v>
      </c>
      <c r="G1404" s="49" t="s">
        <v>3568</v>
      </c>
      <c r="H1404" s="49" t="s">
        <v>3568</v>
      </c>
      <c r="I1404" s="49"/>
      <c r="J1404" s="40">
        <f>COUNTIF(System_configuration!B:B,A1404)</f>
        <v>0</v>
      </c>
    </row>
    <row r="1405" spans="1:13" s="29" customFormat="1" ht="25.5" x14ac:dyDescent="0.2">
      <c r="A1405" s="83" t="s">
        <v>2289</v>
      </c>
      <c r="B1405" s="43" t="s">
        <v>1534</v>
      </c>
      <c r="C1405" s="39">
        <v>-5</v>
      </c>
      <c r="D1405" s="37" t="s">
        <v>1606</v>
      </c>
      <c r="E1405" s="37" t="s">
        <v>1607</v>
      </c>
      <c r="F1405" s="39">
        <v>12</v>
      </c>
      <c r="G1405" s="49" t="s">
        <v>3568</v>
      </c>
      <c r="H1405" s="49" t="s">
        <v>3568</v>
      </c>
      <c r="I1405" s="49" t="s">
        <v>3568</v>
      </c>
      <c r="J1405" s="40">
        <f>COUNTIF(System_configuration!B:B,A1405)</f>
        <v>0</v>
      </c>
    </row>
    <row r="1406" spans="1:13" s="29" customFormat="1" ht="25.5" x14ac:dyDescent="0.2">
      <c r="A1406" s="83" t="s">
        <v>2290</v>
      </c>
      <c r="B1406" s="43" t="s">
        <v>1534</v>
      </c>
      <c r="C1406" s="39">
        <v>-3</v>
      </c>
      <c r="D1406" s="37" t="s">
        <v>1609</v>
      </c>
      <c r="E1406" s="37" t="s">
        <v>1610</v>
      </c>
      <c r="F1406" s="39">
        <v>12</v>
      </c>
      <c r="G1406" s="49" t="s">
        <v>3568</v>
      </c>
      <c r="H1406" s="49" t="s">
        <v>3568</v>
      </c>
      <c r="I1406" s="49" t="s">
        <v>3568</v>
      </c>
      <c r="J1406" s="40">
        <f>COUNTIF(System_configuration!B:B,A1406)</f>
        <v>0</v>
      </c>
    </row>
    <row r="1407" spans="1:13" s="29" customFormat="1" ht="25.5" x14ac:dyDescent="0.2">
      <c r="A1407" s="83" t="s">
        <v>2291</v>
      </c>
      <c r="B1407" s="43" t="s">
        <v>1534</v>
      </c>
      <c r="C1407" s="39">
        <v>-3</v>
      </c>
      <c r="D1407" s="37" t="s">
        <v>1612</v>
      </c>
      <c r="E1407" s="37" t="s">
        <v>1613</v>
      </c>
      <c r="F1407" s="39">
        <v>12</v>
      </c>
      <c r="G1407" s="49" t="s">
        <v>3568</v>
      </c>
      <c r="H1407" s="49" t="s">
        <v>3568</v>
      </c>
      <c r="I1407" s="49"/>
      <c r="J1407" s="40">
        <f>COUNTIF(System_configuration!B:B,A1407)</f>
        <v>0</v>
      </c>
    </row>
    <row r="1408" spans="1:13" s="29" customFormat="1" ht="25.5" x14ac:dyDescent="0.2">
      <c r="A1408" s="83" t="s">
        <v>2292</v>
      </c>
      <c r="B1408" s="43" t="s">
        <v>1534</v>
      </c>
      <c r="C1408" s="39">
        <v>-3</v>
      </c>
      <c r="D1408" s="37" t="s">
        <v>1615</v>
      </c>
      <c r="E1408" s="37" t="s">
        <v>1616</v>
      </c>
      <c r="F1408" s="39">
        <v>12</v>
      </c>
      <c r="G1408" s="49" t="s">
        <v>3568</v>
      </c>
      <c r="H1408" s="49" t="s">
        <v>3568</v>
      </c>
      <c r="I1408" s="49" t="s">
        <v>3568</v>
      </c>
      <c r="J1408" s="40">
        <f>COUNTIF(System_configuration!B:B,A1408)</f>
        <v>0</v>
      </c>
    </row>
    <row r="1409" spans="1:10" s="29" customFormat="1" ht="25.5" x14ac:dyDescent="0.2">
      <c r="A1409" s="83" t="s">
        <v>2293</v>
      </c>
      <c r="B1409" s="43" t="s">
        <v>1534</v>
      </c>
      <c r="C1409" s="39">
        <v>-3</v>
      </c>
      <c r="D1409" s="37" t="s">
        <v>1618</v>
      </c>
      <c r="E1409" s="37" t="s">
        <v>1619</v>
      </c>
      <c r="F1409" s="39">
        <v>12</v>
      </c>
      <c r="G1409" s="49" t="s">
        <v>3568</v>
      </c>
      <c r="H1409" s="49" t="s">
        <v>3568</v>
      </c>
      <c r="I1409" s="49"/>
      <c r="J1409" s="40">
        <f>COUNTIF(System_configuration!B:B,A1409)</f>
        <v>0</v>
      </c>
    </row>
    <row r="1410" spans="1:10" s="29" customFormat="1" ht="25.5" x14ac:dyDescent="0.2">
      <c r="A1410" s="83" t="s">
        <v>2294</v>
      </c>
      <c r="B1410" s="43" t="s">
        <v>1534</v>
      </c>
      <c r="C1410" s="39">
        <v>-70</v>
      </c>
      <c r="D1410" s="37" t="s">
        <v>1621</v>
      </c>
      <c r="E1410" s="37" t="s">
        <v>1622</v>
      </c>
      <c r="F1410" s="39">
        <v>12</v>
      </c>
      <c r="G1410" s="49" t="s">
        <v>3568</v>
      </c>
      <c r="H1410" s="49" t="s">
        <v>3568</v>
      </c>
      <c r="I1410" s="49"/>
      <c r="J1410" s="40">
        <f>COUNTIF(System_configuration!B:B,A1410)</f>
        <v>0</v>
      </c>
    </row>
    <row r="1411" spans="1:10" s="29" customFormat="1" x14ac:dyDescent="0.2">
      <c r="A1411" s="83" t="s">
        <v>2295</v>
      </c>
      <c r="B1411" s="43" t="s">
        <v>1534</v>
      </c>
      <c r="C1411" s="39">
        <v>-35</v>
      </c>
      <c r="D1411" s="37" t="s">
        <v>1624</v>
      </c>
      <c r="E1411" s="37" t="s">
        <v>1625</v>
      </c>
      <c r="F1411" s="39">
        <v>12</v>
      </c>
      <c r="G1411" s="49" t="s">
        <v>3568</v>
      </c>
      <c r="H1411" s="49" t="s">
        <v>3568</v>
      </c>
      <c r="I1411" s="49"/>
      <c r="J1411" s="40">
        <f>COUNTIF(System_configuration!B:B,A1411)</f>
        <v>0</v>
      </c>
    </row>
    <row r="1412" spans="1:10" s="29" customFormat="1" x14ac:dyDescent="0.2">
      <c r="A1412" s="83" t="s">
        <v>2296</v>
      </c>
      <c r="B1412" s="43" t="s">
        <v>1534</v>
      </c>
      <c r="C1412" s="39">
        <v>-60</v>
      </c>
      <c r="D1412" s="37" t="s">
        <v>1200</v>
      </c>
      <c r="E1412" s="37" t="s">
        <v>1156</v>
      </c>
      <c r="F1412" s="39">
        <v>12</v>
      </c>
      <c r="G1412" s="49" t="s">
        <v>3568</v>
      </c>
      <c r="H1412" s="49" t="s">
        <v>3568</v>
      </c>
      <c r="I1412" s="49"/>
      <c r="J1412" s="40">
        <f>COUNTIF(System_configuration!B:B,A1412)</f>
        <v>0</v>
      </c>
    </row>
    <row r="1413" spans="1:10" s="29" customFormat="1" ht="25.5" x14ac:dyDescent="0.2">
      <c r="A1413" s="83" t="s">
        <v>2297</v>
      </c>
      <c r="B1413" s="43" t="s">
        <v>1534</v>
      </c>
      <c r="C1413" s="39">
        <v>-3</v>
      </c>
      <c r="D1413" s="37" t="s">
        <v>1628</v>
      </c>
      <c r="E1413" s="37" t="s">
        <v>1629</v>
      </c>
      <c r="F1413" s="39">
        <v>12</v>
      </c>
      <c r="G1413" s="49" t="s">
        <v>3568</v>
      </c>
      <c r="H1413" s="49" t="s">
        <v>3568</v>
      </c>
      <c r="I1413" s="49" t="s">
        <v>3568</v>
      </c>
      <c r="J1413" s="40">
        <f>COUNTIF(System_configuration!B:B,A1413)</f>
        <v>0</v>
      </c>
    </row>
    <row r="1414" spans="1:10" s="29" customFormat="1" ht="25.5" x14ac:dyDescent="0.2">
      <c r="A1414" s="83" t="s">
        <v>2298</v>
      </c>
      <c r="B1414" s="43" t="s">
        <v>1534</v>
      </c>
      <c r="C1414" s="39">
        <v>-3</v>
      </c>
      <c r="D1414" s="37" t="s">
        <v>1631</v>
      </c>
      <c r="E1414" s="37" t="s">
        <v>1632</v>
      </c>
      <c r="F1414" s="39">
        <v>12</v>
      </c>
      <c r="G1414" s="49" t="s">
        <v>3568</v>
      </c>
      <c r="H1414" s="49" t="s">
        <v>3568</v>
      </c>
      <c r="I1414" s="49"/>
      <c r="J1414" s="40">
        <f>COUNTIF(System_configuration!B:B,A1414)</f>
        <v>0</v>
      </c>
    </row>
    <row r="1415" spans="1:10" s="29" customFormat="1" ht="25.5" x14ac:dyDescent="0.2">
      <c r="A1415" s="83" t="s">
        <v>2299</v>
      </c>
      <c r="B1415" s="43" t="s">
        <v>1534</v>
      </c>
      <c r="C1415" s="39">
        <v>-5</v>
      </c>
      <c r="D1415" s="37" t="s">
        <v>1634</v>
      </c>
      <c r="E1415" s="37" t="s">
        <v>1635</v>
      </c>
      <c r="F1415" s="39">
        <v>12</v>
      </c>
      <c r="G1415" s="49" t="s">
        <v>3568</v>
      </c>
      <c r="H1415" s="49" t="s">
        <v>3568</v>
      </c>
      <c r="I1415" s="49"/>
      <c r="J1415" s="40">
        <f>COUNTIF(System_configuration!B:B,A1415)</f>
        <v>0</v>
      </c>
    </row>
    <row r="1416" spans="1:10" s="29" customFormat="1" ht="25.5" x14ac:dyDescent="0.2">
      <c r="A1416" s="83" t="s">
        <v>2300</v>
      </c>
      <c r="B1416" s="43" t="s">
        <v>1534</v>
      </c>
      <c r="C1416" s="39">
        <v>-3</v>
      </c>
      <c r="D1416" s="37" t="s">
        <v>1637</v>
      </c>
      <c r="E1416" s="37" t="s">
        <v>1638</v>
      </c>
      <c r="F1416" s="39">
        <v>12</v>
      </c>
      <c r="G1416" s="49" t="s">
        <v>3568</v>
      </c>
      <c r="H1416" s="49" t="s">
        <v>3568</v>
      </c>
      <c r="I1416" s="49" t="s">
        <v>3568</v>
      </c>
      <c r="J1416" s="40">
        <f>COUNTIF(System_configuration!B:B,A1416)</f>
        <v>0</v>
      </c>
    </row>
    <row r="1417" spans="1:10" s="29" customFormat="1" ht="25.5" x14ac:dyDescent="0.2">
      <c r="A1417" s="83" t="s">
        <v>2301</v>
      </c>
      <c r="B1417" s="43" t="s">
        <v>1534</v>
      </c>
      <c r="C1417" s="39">
        <v>-3</v>
      </c>
      <c r="D1417" s="37" t="s">
        <v>1640</v>
      </c>
      <c r="E1417" s="37" t="s">
        <v>1641</v>
      </c>
      <c r="F1417" s="39">
        <v>12</v>
      </c>
      <c r="G1417" s="49" t="s">
        <v>3568</v>
      </c>
      <c r="H1417" s="49" t="s">
        <v>3568</v>
      </c>
      <c r="I1417" s="49"/>
      <c r="J1417" s="40">
        <f>COUNTIF(System_configuration!B:B,A1417)</f>
        <v>0</v>
      </c>
    </row>
    <row r="1418" spans="1:10" s="29" customFormat="1" ht="25.5" x14ac:dyDescent="0.2">
      <c r="A1418" s="83" t="s">
        <v>2302</v>
      </c>
      <c r="B1418" s="43" t="s">
        <v>1534</v>
      </c>
      <c r="C1418" s="39">
        <v>-5</v>
      </c>
      <c r="D1418" s="37" t="s">
        <v>1643</v>
      </c>
      <c r="E1418" s="37" t="s">
        <v>1644</v>
      </c>
      <c r="F1418" s="39">
        <v>12</v>
      </c>
      <c r="G1418" s="49" t="s">
        <v>3568</v>
      </c>
      <c r="H1418" s="49" t="s">
        <v>3568</v>
      </c>
      <c r="I1418" s="49"/>
      <c r="J1418" s="40">
        <f>COUNTIF(System_configuration!B:B,A1418)</f>
        <v>0</v>
      </c>
    </row>
    <row r="1419" spans="1:10" s="29" customFormat="1" ht="25.5" x14ac:dyDescent="0.2">
      <c r="A1419" s="83" t="s">
        <v>2303</v>
      </c>
      <c r="B1419" s="43" t="s">
        <v>1534</v>
      </c>
      <c r="C1419" s="39">
        <v>-3</v>
      </c>
      <c r="D1419" s="37" t="s">
        <v>1646</v>
      </c>
      <c r="E1419" s="37" t="s">
        <v>1647</v>
      </c>
      <c r="F1419" s="39">
        <v>12</v>
      </c>
      <c r="G1419" s="49" t="s">
        <v>3568</v>
      </c>
      <c r="H1419" s="49" t="s">
        <v>3568</v>
      </c>
      <c r="I1419" s="49"/>
      <c r="J1419" s="40">
        <f>COUNTIF(System_configuration!B:B,A1419)</f>
        <v>0</v>
      </c>
    </row>
    <row r="1420" spans="1:10" s="29" customFormat="1" x14ac:dyDescent="0.2">
      <c r="A1420" s="83" t="s">
        <v>2304</v>
      </c>
      <c r="B1420" s="43" t="s">
        <v>1534</v>
      </c>
      <c r="C1420" s="39">
        <v>-5</v>
      </c>
      <c r="D1420" s="37" t="s">
        <v>1649</v>
      </c>
      <c r="E1420" s="37" t="s">
        <v>1650</v>
      </c>
      <c r="F1420" s="39">
        <v>12</v>
      </c>
      <c r="G1420" s="49" t="s">
        <v>3568</v>
      </c>
      <c r="H1420" s="49" t="s">
        <v>3568</v>
      </c>
      <c r="I1420" s="49"/>
      <c r="J1420" s="40">
        <f>COUNTIF(System_configuration!B:B,A1420)</f>
        <v>0</v>
      </c>
    </row>
    <row r="1421" spans="1:10" s="29" customFormat="1" x14ac:dyDescent="0.2">
      <c r="A1421" s="83" t="s">
        <v>2305</v>
      </c>
      <c r="B1421" s="43" t="s">
        <v>1534</v>
      </c>
      <c r="C1421" s="39">
        <v>-5</v>
      </c>
      <c r="D1421" s="37" t="s">
        <v>1652</v>
      </c>
      <c r="E1421" s="37" t="s">
        <v>1653</v>
      </c>
      <c r="F1421" s="39">
        <v>12</v>
      </c>
      <c r="G1421" s="49" t="s">
        <v>3568</v>
      </c>
      <c r="H1421" s="49" t="s">
        <v>3568</v>
      </c>
      <c r="I1421" s="49"/>
      <c r="J1421" s="40">
        <f>COUNTIF(System_configuration!B:B,A1421)</f>
        <v>0</v>
      </c>
    </row>
    <row r="1422" spans="1:10" s="29" customFormat="1" x14ac:dyDescent="0.2">
      <c r="A1422" s="83" t="s">
        <v>2306</v>
      </c>
      <c r="B1422" s="43" t="s">
        <v>1534</v>
      </c>
      <c r="C1422" s="39">
        <v>-50</v>
      </c>
      <c r="D1422" s="37" t="s">
        <v>295</v>
      </c>
      <c r="E1422" s="37" t="s">
        <v>1655</v>
      </c>
      <c r="F1422" s="39">
        <v>12</v>
      </c>
      <c r="G1422" s="49" t="s">
        <v>3568</v>
      </c>
      <c r="H1422" s="49" t="s">
        <v>3568</v>
      </c>
      <c r="I1422" s="49"/>
      <c r="J1422" s="40">
        <f>COUNTIF(System_configuration!B:B,A1422)</f>
        <v>0</v>
      </c>
    </row>
    <row r="1423" spans="1:10" s="29" customFormat="1" x14ac:dyDescent="0.2">
      <c r="A1423" s="83" t="s">
        <v>2307</v>
      </c>
      <c r="B1423" s="43" t="s">
        <v>1534</v>
      </c>
      <c r="C1423" s="39">
        <v>-50</v>
      </c>
      <c r="D1423" s="37" t="s">
        <v>297</v>
      </c>
      <c r="E1423" s="37" t="s">
        <v>1037</v>
      </c>
      <c r="F1423" s="39">
        <v>12</v>
      </c>
      <c r="G1423" s="49" t="s">
        <v>3568</v>
      </c>
      <c r="H1423" s="49" t="s">
        <v>3568</v>
      </c>
      <c r="I1423" s="49"/>
      <c r="J1423" s="40">
        <f>COUNTIF(System_configuration!B:B,A1423)</f>
        <v>0</v>
      </c>
    </row>
    <row r="1424" spans="1:10" s="29" customFormat="1" x14ac:dyDescent="0.2">
      <c r="A1424" s="83" t="s">
        <v>2308</v>
      </c>
      <c r="B1424" s="43" t="s">
        <v>1534</v>
      </c>
      <c r="C1424" s="39">
        <v>-3</v>
      </c>
      <c r="D1424" s="37" t="s">
        <v>1658</v>
      </c>
      <c r="E1424" s="37" t="s">
        <v>1659</v>
      </c>
      <c r="F1424" s="39">
        <v>12</v>
      </c>
      <c r="G1424" s="49" t="s">
        <v>3568</v>
      </c>
      <c r="H1424" s="49" t="s">
        <v>3568</v>
      </c>
      <c r="I1424" s="49" t="s">
        <v>3568</v>
      </c>
      <c r="J1424" s="40">
        <f>COUNTIF(System_configuration!B:B,A1424)</f>
        <v>0</v>
      </c>
    </row>
    <row r="1425" spans="1:10" s="29" customFormat="1" x14ac:dyDescent="0.2">
      <c r="A1425" s="83" t="s">
        <v>2309</v>
      </c>
      <c r="B1425" s="43" t="s">
        <v>1534</v>
      </c>
      <c r="C1425" s="39">
        <v>-3</v>
      </c>
      <c r="D1425" s="37" t="s">
        <v>301</v>
      </c>
      <c r="E1425" s="37" t="s">
        <v>1039</v>
      </c>
      <c r="F1425" s="39">
        <v>12</v>
      </c>
      <c r="G1425" s="49" t="s">
        <v>3568</v>
      </c>
      <c r="H1425" s="49" t="s">
        <v>3568</v>
      </c>
      <c r="I1425" s="49" t="s">
        <v>3568</v>
      </c>
      <c r="J1425" s="40">
        <f>COUNTIF(System_configuration!B:B,A1425)</f>
        <v>0</v>
      </c>
    </row>
    <row r="1426" spans="1:10" s="29" customFormat="1" x14ac:dyDescent="0.2">
      <c r="A1426" s="83" t="s">
        <v>2310</v>
      </c>
      <c r="B1426" s="43" t="s">
        <v>1534</v>
      </c>
      <c r="C1426" s="39">
        <v>-3</v>
      </c>
      <c r="D1426" s="37" t="s">
        <v>1665</v>
      </c>
      <c r="E1426" s="37" t="s">
        <v>1666</v>
      </c>
      <c r="F1426" s="39">
        <v>12</v>
      </c>
      <c r="G1426" s="49" t="s">
        <v>3568</v>
      </c>
      <c r="H1426" s="49" t="s">
        <v>3568</v>
      </c>
      <c r="I1426" s="49" t="s">
        <v>3568</v>
      </c>
      <c r="J1426" s="40">
        <f>COUNTIF(System_configuration!B:B,A1426)</f>
        <v>0</v>
      </c>
    </row>
    <row r="1427" spans="1:10" s="29" customFormat="1" x14ac:dyDescent="0.2">
      <c r="A1427" s="83" t="s">
        <v>2311</v>
      </c>
      <c r="B1427" s="43" t="s">
        <v>1534</v>
      </c>
      <c r="C1427" s="39">
        <v>-3</v>
      </c>
      <c r="D1427" s="37" t="s">
        <v>1668</v>
      </c>
      <c r="E1427" s="37" t="s">
        <v>1669</v>
      </c>
      <c r="F1427" s="39">
        <v>12</v>
      </c>
      <c r="G1427" s="49"/>
      <c r="H1427" s="49"/>
      <c r="I1427" s="49"/>
      <c r="J1427" s="40">
        <f>COUNTIF(System_configuration!B:B,A1427)</f>
        <v>0</v>
      </c>
    </row>
    <row r="1428" spans="1:10" s="29" customFormat="1" x14ac:dyDescent="0.2">
      <c r="A1428" s="83" t="s">
        <v>2312</v>
      </c>
      <c r="B1428" s="43" t="s">
        <v>1534</v>
      </c>
      <c r="C1428" s="39">
        <v>-5</v>
      </c>
      <c r="D1428" s="37" t="s">
        <v>735</v>
      </c>
      <c r="E1428" s="37" t="s">
        <v>781</v>
      </c>
      <c r="F1428" s="39">
        <v>12</v>
      </c>
      <c r="G1428" s="49" t="s">
        <v>3568</v>
      </c>
      <c r="H1428" s="49" t="s">
        <v>3568</v>
      </c>
      <c r="I1428" s="49" t="s">
        <v>3568</v>
      </c>
      <c r="J1428" s="40">
        <f>COUNTIF(System_configuration!B:B,A1428)</f>
        <v>0</v>
      </c>
    </row>
    <row r="1429" spans="1:10" s="29" customFormat="1" x14ac:dyDescent="0.2">
      <c r="A1429" s="83" t="s">
        <v>2313</v>
      </c>
      <c r="B1429" s="43" t="s">
        <v>1534</v>
      </c>
      <c r="C1429" s="39">
        <v>-5</v>
      </c>
      <c r="D1429" s="37" t="s">
        <v>1689</v>
      </c>
      <c r="E1429" s="37" t="s">
        <v>1690</v>
      </c>
      <c r="F1429" s="39">
        <v>12</v>
      </c>
      <c r="G1429" s="49" t="s">
        <v>3568</v>
      </c>
      <c r="H1429" s="49" t="s">
        <v>3568</v>
      </c>
      <c r="I1429" s="49" t="s">
        <v>3568</v>
      </c>
      <c r="J1429" s="40">
        <f>COUNTIF(System_configuration!B:B,A1429)</f>
        <v>0</v>
      </c>
    </row>
    <row r="1430" spans="1:10" s="29" customFormat="1" x14ac:dyDescent="0.2">
      <c r="A1430" s="83" t="s">
        <v>2314</v>
      </c>
      <c r="B1430" s="43" t="s">
        <v>1534</v>
      </c>
      <c r="C1430" s="39">
        <v>-5</v>
      </c>
      <c r="D1430" s="37" t="s">
        <v>1692</v>
      </c>
      <c r="E1430" s="37" t="s">
        <v>1693</v>
      </c>
      <c r="F1430" s="39">
        <v>12</v>
      </c>
      <c r="G1430" s="49" t="s">
        <v>3568</v>
      </c>
      <c r="H1430" s="49" t="s">
        <v>3568</v>
      </c>
      <c r="I1430" s="49" t="s">
        <v>3568</v>
      </c>
      <c r="J1430" s="40">
        <f>COUNTIF(System_configuration!B:B,A1430)</f>
        <v>0</v>
      </c>
    </row>
    <row r="1431" spans="1:10" s="29" customFormat="1" ht="25.5" x14ac:dyDescent="0.2">
      <c r="A1431" s="83" t="s">
        <v>2315</v>
      </c>
      <c r="B1431" s="43" t="s">
        <v>1534</v>
      </c>
      <c r="C1431" s="39">
        <v>-9</v>
      </c>
      <c r="D1431" s="37" t="s">
        <v>1695</v>
      </c>
      <c r="E1431" s="37" t="s">
        <v>1696</v>
      </c>
      <c r="F1431" s="39">
        <v>12</v>
      </c>
      <c r="G1431" s="49" t="s">
        <v>3568</v>
      </c>
      <c r="H1431" s="49" t="s">
        <v>3568</v>
      </c>
      <c r="I1431" s="49"/>
      <c r="J1431" s="40">
        <f>COUNTIF(System_configuration!B:B,A1431)</f>
        <v>0</v>
      </c>
    </row>
    <row r="1432" spans="1:10" s="29" customFormat="1" ht="25.5" x14ac:dyDescent="0.2">
      <c r="A1432" s="83" t="s">
        <v>2316</v>
      </c>
      <c r="B1432" s="43" t="s">
        <v>1534</v>
      </c>
      <c r="C1432" s="39">
        <v>-14</v>
      </c>
      <c r="D1432" s="37" t="s">
        <v>739</v>
      </c>
      <c r="E1432" s="37" t="s">
        <v>792</v>
      </c>
      <c r="F1432" s="39">
        <v>12</v>
      </c>
      <c r="G1432" s="49" t="s">
        <v>3568</v>
      </c>
      <c r="H1432" s="49" t="s">
        <v>3568</v>
      </c>
      <c r="I1432" s="49"/>
      <c r="J1432" s="40">
        <f>COUNTIF(System_configuration!B:B,A1432)</f>
        <v>0</v>
      </c>
    </row>
    <row r="1433" spans="1:10" s="29" customFormat="1" ht="25.5" x14ac:dyDescent="0.2">
      <c r="A1433" s="83" t="s">
        <v>2317</v>
      </c>
      <c r="B1433" s="43" t="s">
        <v>1534</v>
      </c>
      <c r="C1433" s="39">
        <v>-9</v>
      </c>
      <c r="D1433" s="37" t="s">
        <v>1699</v>
      </c>
      <c r="E1433" s="37" t="s">
        <v>1700</v>
      </c>
      <c r="F1433" s="39">
        <v>12</v>
      </c>
      <c r="G1433" s="49" t="s">
        <v>3568</v>
      </c>
      <c r="H1433" s="49" t="s">
        <v>3568</v>
      </c>
      <c r="I1433" s="49"/>
      <c r="J1433" s="40">
        <f>COUNTIF(System_configuration!B:B,A1433)</f>
        <v>0</v>
      </c>
    </row>
    <row r="1434" spans="1:10" s="29" customFormat="1" ht="25.5" x14ac:dyDescent="0.2">
      <c r="A1434" s="83" t="s">
        <v>2318</v>
      </c>
      <c r="B1434" s="43" t="s">
        <v>1534</v>
      </c>
      <c r="C1434" s="39">
        <v>-9</v>
      </c>
      <c r="D1434" s="37" t="s">
        <v>1702</v>
      </c>
      <c r="E1434" s="37" t="s">
        <v>1703</v>
      </c>
      <c r="F1434" s="39">
        <v>12</v>
      </c>
      <c r="G1434" s="49" t="s">
        <v>3568</v>
      </c>
      <c r="H1434" s="49" t="s">
        <v>3568</v>
      </c>
      <c r="I1434" s="49"/>
      <c r="J1434" s="40">
        <f>COUNTIF(System_configuration!B:B,A1434)</f>
        <v>0</v>
      </c>
    </row>
    <row r="1435" spans="1:10" s="29" customFormat="1" ht="25.5" x14ac:dyDescent="0.2">
      <c r="A1435" s="83" t="s">
        <v>2319</v>
      </c>
      <c r="B1435" s="43" t="s">
        <v>1534</v>
      </c>
      <c r="C1435" s="39">
        <v>-15</v>
      </c>
      <c r="D1435" s="37" t="s">
        <v>1705</v>
      </c>
      <c r="E1435" s="37" t="s">
        <v>1706</v>
      </c>
      <c r="F1435" s="39">
        <v>12</v>
      </c>
      <c r="G1435" s="49" t="s">
        <v>3568</v>
      </c>
      <c r="H1435" s="49" t="s">
        <v>3568</v>
      </c>
      <c r="I1435" s="49" t="s">
        <v>3568</v>
      </c>
      <c r="J1435" s="40">
        <f>COUNTIF(System_configuration!B:B,A1435)</f>
        <v>0</v>
      </c>
    </row>
    <row r="1436" spans="1:10" s="29" customFormat="1" x14ac:dyDescent="0.2">
      <c r="A1436" s="83" t="s">
        <v>2320</v>
      </c>
      <c r="B1436" s="43" t="s">
        <v>1534</v>
      </c>
      <c r="C1436" s="39">
        <v>-100</v>
      </c>
      <c r="D1436" s="37" t="s">
        <v>1708</v>
      </c>
      <c r="E1436" s="37" t="s">
        <v>1709</v>
      </c>
      <c r="F1436" s="39">
        <v>12</v>
      </c>
      <c r="G1436" s="49" t="s">
        <v>3568</v>
      </c>
      <c r="H1436" s="49" t="s">
        <v>3568</v>
      </c>
      <c r="I1436" s="49"/>
      <c r="J1436" s="40">
        <f>COUNTIF(System_configuration!B:B,A1436)</f>
        <v>0</v>
      </c>
    </row>
    <row r="1437" spans="1:10" s="29" customFormat="1" x14ac:dyDescent="0.2">
      <c r="A1437" s="83" t="s">
        <v>2321</v>
      </c>
      <c r="B1437" s="43" t="s">
        <v>1534</v>
      </c>
      <c r="C1437" s="39">
        <v>-9</v>
      </c>
      <c r="D1437" s="37" t="s">
        <v>1710</v>
      </c>
      <c r="E1437" s="37" t="s">
        <v>1711</v>
      </c>
      <c r="F1437" s="39">
        <v>12</v>
      </c>
      <c r="G1437" s="49" t="s">
        <v>3568</v>
      </c>
      <c r="H1437" s="49" t="s">
        <v>3568</v>
      </c>
      <c r="I1437" s="49"/>
      <c r="J1437" s="40">
        <f>COUNTIF(System_configuration!B:B,A1437)</f>
        <v>0</v>
      </c>
    </row>
    <row r="1438" spans="1:10" s="29" customFormat="1" x14ac:dyDescent="0.2">
      <c r="A1438" s="83" t="s">
        <v>2322</v>
      </c>
      <c r="B1438" s="43" t="s">
        <v>1534</v>
      </c>
      <c r="C1438" s="39">
        <v>-18</v>
      </c>
      <c r="D1438" s="37" t="s">
        <v>1713</v>
      </c>
      <c r="E1438" s="37" t="s">
        <v>1714</v>
      </c>
      <c r="F1438" s="39">
        <v>12</v>
      </c>
      <c r="G1438" s="49" t="s">
        <v>3568</v>
      </c>
      <c r="H1438" s="49" t="s">
        <v>3568</v>
      </c>
      <c r="I1438" s="49"/>
      <c r="J1438" s="40">
        <f>COUNTIF(System_configuration!B:B,A1438)</f>
        <v>0</v>
      </c>
    </row>
    <row r="1439" spans="1:10" s="29" customFormat="1" x14ac:dyDescent="0.2">
      <c r="A1439" s="83" t="s">
        <v>2323</v>
      </c>
      <c r="B1439" s="43" t="s">
        <v>1534</v>
      </c>
      <c r="C1439" s="39">
        <v>-9</v>
      </c>
      <c r="D1439" s="37" t="s">
        <v>1716</v>
      </c>
      <c r="E1439" s="37" t="s">
        <v>1717</v>
      </c>
      <c r="F1439" s="39">
        <v>12</v>
      </c>
      <c r="G1439" s="49" t="s">
        <v>3568</v>
      </c>
      <c r="H1439" s="49" t="s">
        <v>3568</v>
      </c>
      <c r="I1439" s="49"/>
      <c r="J1439" s="40">
        <f>COUNTIF(System_configuration!B:B,A1439)</f>
        <v>0</v>
      </c>
    </row>
    <row r="1440" spans="1:10" s="29" customFormat="1" x14ac:dyDescent="0.2">
      <c r="A1440" s="83" t="s">
        <v>2324</v>
      </c>
      <c r="B1440" s="43" t="s">
        <v>1534</v>
      </c>
      <c r="C1440" s="39">
        <v>-18</v>
      </c>
      <c r="D1440" s="37" t="s">
        <v>1721</v>
      </c>
      <c r="E1440" s="37" t="s">
        <v>1722</v>
      </c>
      <c r="F1440" s="39">
        <v>12</v>
      </c>
      <c r="G1440" s="49" t="s">
        <v>3568</v>
      </c>
      <c r="H1440" s="49" t="s">
        <v>3568</v>
      </c>
      <c r="I1440" s="49"/>
      <c r="J1440" s="40">
        <f>COUNTIF(System_configuration!B:B,A1440)</f>
        <v>0</v>
      </c>
    </row>
    <row r="1441" spans="1:10" s="29" customFormat="1" x14ac:dyDescent="0.2">
      <c r="A1441" s="83" t="s">
        <v>2325</v>
      </c>
      <c r="B1441" s="43" t="s">
        <v>1534</v>
      </c>
      <c r="C1441" s="39">
        <v>-18</v>
      </c>
      <c r="D1441" s="37" t="s">
        <v>1724</v>
      </c>
      <c r="E1441" s="37" t="s">
        <v>1725</v>
      </c>
      <c r="F1441" s="39">
        <v>12</v>
      </c>
      <c r="G1441" s="49" t="s">
        <v>3568</v>
      </c>
      <c r="H1441" s="49" t="s">
        <v>3568</v>
      </c>
      <c r="I1441" s="49" t="s">
        <v>3568</v>
      </c>
      <c r="J1441" s="40">
        <f>COUNTIF(System_configuration!B:B,A1441)</f>
        <v>0</v>
      </c>
    </row>
    <row r="1442" spans="1:10" s="29" customFormat="1" x14ac:dyDescent="0.2">
      <c r="A1442" s="83" t="s">
        <v>2326</v>
      </c>
      <c r="B1442" s="43" t="s">
        <v>1534</v>
      </c>
      <c r="C1442" s="39">
        <v>-18</v>
      </c>
      <c r="D1442" s="37" t="s">
        <v>1727</v>
      </c>
      <c r="E1442" s="37" t="s">
        <v>1728</v>
      </c>
      <c r="F1442" s="39">
        <v>12</v>
      </c>
      <c r="G1442" s="49" t="s">
        <v>3568</v>
      </c>
      <c r="H1442" s="49" t="s">
        <v>3568</v>
      </c>
      <c r="I1442" s="49" t="s">
        <v>3568</v>
      </c>
      <c r="J1442" s="40">
        <f>COUNTIF(System_configuration!B:B,A1442)</f>
        <v>0</v>
      </c>
    </row>
    <row r="1443" spans="1:10" s="29" customFormat="1" x14ac:dyDescent="0.2">
      <c r="A1443" s="83" t="s">
        <v>2327</v>
      </c>
      <c r="B1443" s="43" t="s">
        <v>1534</v>
      </c>
      <c r="C1443" s="39">
        <v>-120</v>
      </c>
      <c r="D1443" s="37" t="s">
        <v>239</v>
      </c>
      <c r="E1443" s="37" t="s">
        <v>799</v>
      </c>
      <c r="F1443" s="39">
        <v>12</v>
      </c>
      <c r="G1443" s="49"/>
      <c r="H1443" s="49"/>
      <c r="I1443" s="49"/>
      <c r="J1443" s="40">
        <f>COUNTIF(System_configuration!B:B,A1443)</f>
        <v>0</v>
      </c>
    </row>
    <row r="1444" spans="1:10" s="29" customFormat="1" x14ac:dyDescent="0.2">
      <c r="A1444" s="83" t="s">
        <v>2328</v>
      </c>
      <c r="B1444" s="43" t="s">
        <v>1534</v>
      </c>
      <c r="C1444" s="39">
        <v>-60</v>
      </c>
      <c r="D1444" s="37" t="s">
        <v>1732</v>
      </c>
      <c r="E1444" s="37" t="s">
        <v>1733</v>
      </c>
      <c r="F1444" s="39">
        <v>12</v>
      </c>
      <c r="G1444" s="49" t="s">
        <v>3568</v>
      </c>
      <c r="H1444" s="49" t="s">
        <v>3568</v>
      </c>
      <c r="I1444" s="49"/>
      <c r="J1444" s="40">
        <f>COUNTIF(System_configuration!B:B,A1444)</f>
        <v>0</v>
      </c>
    </row>
    <row r="1445" spans="1:10" s="29" customFormat="1" x14ac:dyDescent="0.2">
      <c r="A1445" s="83" t="s">
        <v>2329</v>
      </c>
      <c r="B1445" s="43" t="s">
        <v>1534</v>
      </c>
      <c r="C1445" s="39">
        <v>-50</v>
      </c>
      <c r="D1445" s="37" t="s">
        <v>175</v>
      </c>
      <c r="E1445" s="37" t="s">
        <v>959</v>
      </c>
      <c r="F1445" s="39">
        <v>12</v>
      </c>
      <c r="G1445" s="49" t="s">
        <v>3568</v>
      </c>
      <c r="H1445" s="49" t="s">
        <v>3568</v>
      </c>
      <c r="I1445" s="49"/>
      <c r="J1445" s="40">
        <f>COUNTIF(System_configuration!B:B,A1445)</f>
        <v>0</v>
      </c>
    </row>
    <row r="1446" spans="1:10" s="29" customFormat="1" x14ac:dyDescent="0.2">
      <c r="A1446" s="83" t="s">
        <v>2330</v>
      </c>
      <c r="B1446" s="43" t="s">
        <v>1534</v>
      </c>
      <c r="C1446" s="39">
        <v>-60</v>
      </c>
      <c r="D1446" s="37" t="s">
        <v>354</v>
      </c>
      <c r="E1446" s="37" t="s">
        <v>802</v>
      </c>
      <c r="F1446" s="39">
        <v>12</v>
      </c>
      <c r="G1446" s="49" t="s">
        <v>3568</v>
      </c>
      <c r="H1446" s="49" t="s">
        <v>3568</v>
      </c>
      <c r="I1446" s="49"/>
      <c r="J1446" s="40">
        <f>COUNTIF(System_configuration!B:B,A1446)</f>
        <v>0</v>
      </c>
    </row>
    <row r="1447" spans="1:10" s="29" customFormat="1" ht="38.25" x14ac:dyDescent="0.2">
      <c r="A1447" s="83" t="s">
        <v>2331</v>
      </c>
      <c r="B1447" s="43" t="s">
        <v>1534</v>
      </c>
      <c r="C1447" s="39">
        <v>-100</v>
      </c>
      <c r="D1447" s="37" t="s">
        <v>601</v>
      </c>
      <c r="E1447" s="37" t="s">
        <v>1737</v>
      </c>
      <c r="F1447" s="39">
        <v>24</v>
      </c>
      <c r="G1447" s="49" t="s">
        <v>3568</v>
      </c>
      <c r="H1447" s="49" t="s">
        <v>3568</v>
      </c>
      <c r="I1447" s="49"/>
      <c r="J1447" s="40">
        <f>COUNTIF(System_configuration!B:B,A1447)</f>
        <v>0</v>
      </c>
    </row>
    <row r="1448" spans="1:10" s="29" customFormat="1" x14ac:dyDescent="0.2">
      <c r="A1448" s="83" t="s">
        <v>2332</v>
      </c>
      <c r="B1448" s="43" t="s">
        <v>1534</v>
      </c>
      <c r="C1448" s="39">
        <v>-100</v>
      </c>
      <c r="D1448" s="37" t="s">
        <v>356</v>
      </c>
      <c r="E1448" s="37" t="s">
        <v>805</v>
      </c>
      <c r="F1448" s="39">
        <v>24</v>
      </c>
      <c r="G1448" s="49" t="s">
        <v>3568</v>
      </c>
      <c r="H1448" s="49" t="s">
        <v>3568</v>
      </c>
      <c r="I1448" s="49"/>
      <c r="J1448" s="40">
        <f>COUNTIF(System_configuration!B:B,A1448)</f>
        <v>0</v>
      </c>
    </row>
    <row r="1449" spans="1:10" s="29" customFormat="1" x14ac:dyDescent="0.2">
      <c r="A1449" s="83" t="s">
        <v>2333</v>
      </c>
      <c r="B1449" s="43" t="s">
        <v>1534</v>
      </c>
      <c r="C1449" s="39">
        <v>-100</v>
      </c>
      <c r="D1449" s="37" t="s">
        <v>1740</v>
      </c>
      <c r="E1449" s="37" t="s">
        <v>1741</v>
      </c>
      <c r="F1449" s="39">
        <v>24</v>
      </c>
      <c r="G1449" s="49" t="s">
        <v>3568</v>
      </c>
      <c r="H1449" s="49" t="s">
        <v>3568</v>
      </c>
      <c r="I1449" s="49"/>
      <c r="J1449" s="40">
        <f>COUNTIF(System_configuration!B:B,A1449)</f>
        <v>0</v>
      </c>
    </row>
    <row r="1450" spans="1:10" s="29" customFormat="1" x14ac:dyDescent="0.2">
      <c r="A1450" s="83" t="s">
        <v>2334</v>
      </c>
      <c r="B1450" s="43" t="s">
        <v>1534</v>
      </c>
      <c r="C1450" s="39">
        <v>-80</v>
      </c>
      <c r="D1450" s="37" t="s">
        <v>1743</v>
      </c>
      <c r="E1450" s="37" t="s">
        <v>1744</v>
      </c>
      <c r="F1450" s="39">
        <v>12</v>
      </c>
      <c r="G1450" s="49" t="s">
        <v>3568</v>
      </c>
      <c r="H1450" s="49" t="s">
        <v>3568</v>
      </c>
      <c r="I1450" s="49" t="s">
        <v>3568</v>
      </c>
      <c r="J1450" s="40">
        <f>COUNTIF(System_configuration!B:B,A1450)</f>
        <v>0</v>
      </c>
    </row>
    <row r="1451" spans="1:10" s="29" customFormat="1" ht="25.5" x14ac:dyDescent="0.2">
      <c r="A1451" s="83" t="s">
        <v>2335</v>
      </c>
      <c r="B1451" s="43" t="s">
        <v>1534</v>
      </c>
      <c r="C1451" s="39">
        <v>-60</v>
      </c>
      <c r="D1451" s="37" t="s">
        <v>1746</v>
      </c>
      <c r="E1451" s="37" t="s">
        <v>1747</v>
      </c>
      <c r="F1451" s="39">
        <v>12</v>
      </c>
      <c r="G1451" s="49"/>
      <c r="H1451" s="49"/>
      <c r="I1451" s="49" t="s">
        <v>3568</v>
      </c>
      <c r="J1451" s="40">
        <f>COUNTIF(System_configuration!B:B,A1451)</f>
        <v>0</v>
      </c>
    </row>
    <row r="1452" spans="1:10" s="29" customFormat="1" ht="25.5" x14ac:dyDescent="0.2">
      <c r="A1452" s="83" t="s">
        <v>2336</v>
      </c>
      <c r="B1452" s="43" t="s">
        <v>1534</v>
      </c>
      <c r="C1452" s="39">
        <v>-85</v>
      </c>
      <c r="D1452" s="37" t="s">
        <v>1749</v>
      </c>
      <c r="E1452" s="37" t="s">
        <v>1750</v>
      </c>
      <c r="F1452" s="39">
        <v>12</v>
      </c>
      <c r="G1452" s="49"/>
      <c r="H1452" s="49"/>
      <c r="I1452" s="49" t="s">
        <v>3568</v>
      </c>
      <c r="J1452" s="40">
        <f>COUNTIF(System_configuration!B:B,A1452)</f>
        <v>0</v>
      </c>
    </row>
    <row r="1453" spans="1:10" s="29" customFormat="1" x14ac:dyDescent="0.2">
      <c r="A1453" s="83" t="s">
        <v>2337</v>
      </c>
      <c r="B1453" s="43" t="s">
        <v>1534</v>
      </c>
      <c r="C1453" s="39">
        <v>-80</v>
      </c>
      <c r="D1453" s="37" t="s">
        <v>1752</v>
      </c>
      <c r="E1453" s="37" t="s">
        <v>1753</v>
      </c>
      <c r="F1453" s="39">
        <v>12</v>
      </c>
      <c r="G1453" s="49" t="s">
        <v>3568</v>
      </c>
      <c r="H1453" s="49" t="s">
        <v>3568</v>
      </c>
      <c r="I1453" s="49" t="s">
        <v>3568</v>
      </c>
      <c r="J1453" s="40">
        <f>COUNTIF(System_configuration!B:B,A1453)</f>
        <v>0</v>
      </c>
    </row>
    <row r="1454" spans="1:10" s="29" customFormat="1" x14ac:dyDescent="0.2">
      <c r="A1454" s="83" t="s">
        <v>2338</v>
      </c>
      <c r="B1454" s="43" t="s">
        <v>1534</v>
      </c>
      <c r="C1454" s="39">
        <v>-90</v>
      </c>
      <c r="D1454" s="37" t="s">
        <v>1758</v>
      </c>
      <c r="E1454" s="37" t="s">
        <v>1759</v>
      </c>
      <c r="F1454" s="39">
        <v>12</v>
      </c>
      <c r="G1454" s="49"/>
      <c r="H1454" s="49"/>
      <c r="I1454" s="49"/>
      <c r="J1454" s="40">
        <f>COUNTIF(System_configuration!B:B,A1454)</f>
        <v>0</v>
      </c>
    </row>
    <row r="1455" spans="1:10" s="29" customFormat="1" ht="38.25" x14ac:dyDescent="0.2">
      <c r="A1455" s="83" t="s">
        <v>2339</v>
      </c>
      <c r="B1455" s="43" t="s">
        <v>1534</v>
      </c>
      <c r="C1455" s="39">
        <v>-165</v>
      </c>
      <c r="D1455" s="37" t="s">
        <v>1761</v>
      </c>
      <c r="E1455" s="37" t="s">
        <v>1762</v>
      </c>
      <c r="F1455" s="39">
        <v>12</v>
      </c>
      <c r="G1455" s="49" t="s">
        <v>3568</v>
      </c>
      <c r="H1455" s="49" t="s">
        <v>3568</v>
      </c>
      <c r="I1455" s="49"/>
      <c r="J1455" s="40">
        <f>COUNTIF(System_configuration!B:B,A1455)</f>
        <v>0</v>
      </c>
    </row>
    <row r="1456" spans="1:10" s="29" customFormat="1" x14ac:dyDescent="0.2">
      <c r="A1456" s="83" t="s">
        <v>2340</v>
      </c>
      <c r="B1456" s="43" t="s">
        <v>1534</v>
      </c>
      <c r="C1456" s="39">
        <v>-65</v>
      </c>
      <c r="D1456" s="37" t="s">
        <v>1764</v>
      </c>
      <c r="E1456" s="37" t="s">
        <v>1765</v>
      </c>
      <c r="F1456" s="39">
        <v>12</v>
      </c>
      <c r="G1456" s="49" t="s">
        <v>3568</v>
      </c>
      <c r="H1456" s="49" t="s">
        <v>3568</v>
      </c>
      <c r="I1456" s="49" t="s">
        <v>3568</v>
      </c>
      <c r="J1456" s="40">
        <f>COUNTIF(System_configuration!B:B,A1456)</f>
        <v>0</v>
      </c>
    </row>
    <row r="1457" spans="1:10" s="29" customFormat="1" x14ac:dyDescent="0.2">
      <c r="A1457" s="83" t="s">
        <v>2341</v>
      </c>
      <c r="B1457" s="43" t="s">
        <v>1534</v>
      </c>
      <c r="C1457" s="39">
        <v>-10</v>
      </c>
      <c r="D1457" s="37" t="s">
        <v>1767</v>
      </c>
      <c r="E1457" s="37" t="s">
        <v>1768</v>
      </c>
      <c r="F1457" s="39">
        <v>12</v>
      </c>
      <c r="G1457" s="49" t="s">
        <v>3568</v>
      </c>
      <c r="H1457" s="49" t="s">
        <v>3568</v>
      </c>
      <c r="I1457" s="49" t="s">
        <v>3568</v>
      </c>
      <c r="J1457" s="40">
        <f>COUNTIF(System_configuration!B:B,A1457)</f>
        <v>0</v>
      </c>
    </row>
    <row r="1458" spans="1:10" s="29" customFormat="1" x14ac:dyDescent="0.2">
      <c r="A1458" s="83" t="s">
        <v>2342</v>
      </c>
      <c r="B1458" s="43" t="s">
        <v>1534</v>
      </c>
      <c r="C1458" s="39">
        <v>-10</v>
      </c>
      <c r="D1458" s="37" t="s">
        <v>364</v>
      </c>
      <c r="E1458" s="37" t="s">
        <v>812</v>
      </c>
      <c r="F1458" s="39">
        <v>12</v>
      </c>
      <c r="G1458" s="49" t="s">
        <v>3568</v>
      </c>
      <c r="H1458" s="49" t="s">
        <v>3568</v>
      </c>
      <c r="I1458" s="49" t="s">
        <v>3568</v>
      </c>
      <c r="J1458" s="40">
        <f>COUNTIF(System_configuration!B:B,A1458)</f>
        <v>0</v>
      </c>
    </row>
    <row r="1459" spans="1:10" s="29" customFormat="1" x14ac:dyDescent="0.2">
      <c r="A1459" s="83" t="s">
        <v>2343</v>
      </c>
      <c r="B1459" s="43" t="s">
        <v>1534</v>
      </c>
      <c r="C1459" s="39">
        <v>-10</v>
      </c>
      <c r="D1459" s="37" t="s">
        <v>366</v>
      </c>
      <c r="E1459" s="37" t="s">
        <v>813</v>
      </c>
      <c r="F1459" s="39">
        <v>12</v>
      </c>
      <c r="G1459" s="49" t="s">
        <v>3568</v>
      </c>
      <c r="H1459" s="49" t="s">
        <v>3568</v>
      </c>
      <c r="I1459" s="49" t="s">
        <v>3568</v>
      </c>
      <c r="J1459" s="40">
        <f>COUNTIF(System_configuration!B:B,A1459)</f>
        <v>0</v>
      </c>
    </row>
    <row r="1460" spans="1:10" s="29" customFormat="1" ht="25.5" x14ac:dyDescent="0.2">
      <c r="A1460" s="83" t="s">
        <v>2344</v>
      </c>
      <c r="B1460" s="43" t="s">
        <v>1534</v>
      </c>
      <c r="C1460" s="39">
        <v>-10</v>
      </c>
      <c r="D1460" s="37" t="s">
        <v>1778</v>
      </c>
      <c r="E1460" s="37" t="s">
        <v>1779</v>
      </c>
      <c r="F1460" s="39">
        <v>12</v>
      </c>
      <c r="G1460" s="49"/>
      <c r="H1460" s="49"/>
      <c r="I1460" s="49"/>
      <c r="J1460" s="40">
        <f>COUNTIF(System_configuration!B:B,A1460)</f>
        <v>0</v>
      </c>
    </row>
    <row r="1461" spans="1:10" s="29" customFormat="1" x14ac:dyDescent="0.2">
      <c r="A1461" s="83" t="s">
        <v>2345</v>
      </c>
      <c r="B1461" s="43" t="s">
        <v>1534</v>
      </c>
      <c r="C1461" s="39">
        <v>-95</v>
      </c>
      <c r="D1461" s="37" t="s">
        <v>1781</v>
      </c>
      <c r="E1461" s="37" t="s">
        <v>1782</v>
      </c>
      <c r="F1461" s="39">
        <v>12</v>
      </c>
      <c r="G1461" s="49" t="s">
        <v>3568</v>
      </c>
      <c r="H1461" s="49" t="s">
        <v>3568</v>
      </c>
      <c r="I1461" s="49" t="s">
        <v>3568</v>
      </c>
      <c r="J1461" s="40">
        <f>COUNTIF(System_configuration!B:B,A1461)</f>
        <v>0</v>
      </c>
    </row>
    <row r="1462" spans="1:10" s="29" customFormat="1" x14ac:dyDescent="0.2">
      <c r="A1462" s="83" t="s">
        <v>2346</v>
      </c>
      <c r="B1462" s="43" t="s">
        <v>1534</v>
      </c>
      <c r="C1462" s="39">
        <v>-95</v>
      </c>
      <c r="D1462" s="37" t="s">
        <v>1787</v>
      </c>
      <c r="E1462" s="37" t="s">
        <v>1788</v>
      </c>
      <c r="F1462" s="39">
        <v>12</v>
      </c>
      <c r="G1462" s="49" t="s">
        <v>3568</v>
      </c>
      <c r="H1462" s="49" t="s">
        <v>3568</v>
      </c>
      <c r="I1462" s="49" t="s">
        <v>3568</v>
      </c>
      <c r="J1462" s="40">
        <f>COUNTIF(System_configuration!B:B,A1462)</f>
        <v>0</v>
      </c>
    </row>
    <row r="1463" spans="1:10" s="29" customFormat="1" x14ac:dyDescent="0.2">
      <c r="A1463" s="83" t="s">
        <v>2347</v>
      </c>
      <c r="B1463" s="43" t="s">
        <v>1534</v>
      </c>
      <c r="C1463" s="39">
        <v>-80</v>
      </c>
      <c r="D1463" s="37" t="s">
        <v>1793</v>
      </c>
      <c r="E1463" s="37" t="s">
        <v>1158</v>
      </c>
      <c r="F1463" s="39">
        <v>12</v>
      </c>
      <c r="G1463" s="49" t="s">
        <v>3568</v>
      </c>
      <c r="H1463" s="49" t="s">
        <v>3568</v>
      </c>
      <c r="I1463" s="49"/>
      <c r="J1463" s="40">
        <f>COUNTIF(System_configuration!B:B,A1463)</f>
        <v>0</v>
      </c>
    </row>
    <row r="1464" spans="1:10" s="29" customFormat="1" x14ac:dyDescent="0.2">
      <c r="A1464" s="83" t="s">
        <v>2348</v>
      </c>
      <c r="B1464" s="43" t="s">
        <v>1534</v>
      </c>
      <c r="C1464" s="39">
        <v>-95</v>
      </c>
      <c r="D1464" s="37" t="s">
        <v>1795</v>
      </c>
      <c r="E1464" s="37" t="s">
        <v>1796</v>
      </c>
      <c r="F1464" s="39">
        <v>12</v>
      </c>
      <c r="G1464" s="49" t="s">
        <v>3568</v>
      </c>
      <c r="H1464" s="49" t="s">
        <v>3568</v>
      </c>
      <c r="I1464" s="49" t="s">
        <v>3568</v>
      </c>
      <c r="J1464" s="40">
        <f>COUNTIF(System_configuration!B:B,A1464)</f>
        <v>0</v>
      </c>
    </row>
    <row r="1465" spans="1:10" s="29" customFormat="1" ht="25.5" x14ac:dyDescent="0.2">
      <c r="A1465" s="83" t="s">
        <v>2349</v>
      </c>
      <c r="B1465" s="43" t="s">
        <v>1534</v>
      </c>
      <c r="C1465" s="39">
        <v>-80</v>
      </c>
      <c r="D1465" s="37" t="s">
        <v>1207</v>
      </c>
      <c r="E1465" s="37" t="s">
        <v>1160</v>
      </c>
      <c r="F1465" s="39">
        <v>12</v>
      </c>
      <c r="G1465" s="49" t="s">
        <v>3568</v>
      </c>
      <c r="H1465" s="49" t="s">
        <v>3568</v>
      </c>
      <c r="I1465" s="49"/>
      <c r="J1465" s="40">
        <f>COUNTIF(System_configuration!B:B,A1465)</f>
        <v>0</v>
      </c>
    </row>
    <row r="1466" spans="1:10" s="29" customFormat="1" x14ac:dyDescent="0.2">
      <c r="A1466" s="83" t="s">
        <v>2350</v>
      </c>
      <c r="B1466" s="43" t="s">
        <v>1534</v>
      </c>
      <c r="C1466" s="39">
        <v>-65</v>
      </c>
      <c r="D1466" s="37" t="s">
        <v>1811</v>
      </c>
      <c r="E1466" s="37" t="s">
        <v>1812</v>
      </c>
      <c r="F1466" s="39">
        <v>12</v>
      </c>
      <c r="G1466" s="49"/>
      <c r="H1466" s="49"/>
      <c r="I1466" s="49"/>
      <c r="J1466" s="40">
        <f>COUNTIF(System_configuration!B:B,A1466)</f>
        <v>0</v>
      </c>
    </row>
    <row r="1467" spans="1:10" s="29" customFormat="1" x14ac:dyDescent="0.2">
      <c r="A1467" s="83" t="s">
        <v>2351</v>
      </c>
      <c r="B1467" s="43" t="s">
        <v>1534</v>
      </c>
      <c r="C1467" s="39">
        <v>-65</v>
      </c>
      <c r="D1467" s="37" t="s">
        <v>1814</v>
      </c>
      <c r="E1467" s="37" t="s">
        <v>1815</v>
      </c>
      <c r="F1467" s="39">
        <v>12</v>
      </c>
      <c r="G1467" s="49"/>
      <c r="H1467" s="49"/>
      <c r="I1467" s="49"/>
      <c r="J1467" s="40">
        <f>COUNTIF(System_configuration!B:B,A1467)</f>
        <v>0</v>
      </c>
    </row>
    <row r="1468" spans="1:10" s="29" customFormat="1" x14ac:dyDescent="0.2">
      <c r="A1468" s="83" t="s">
        <v>2352</v>
      </c>
      <c r="B1468" s="43" t="s">
        <v>1534</v>
      </c>
      <c r="C1468" s="39">
        <v>-60</v>
      </c>
      <c r="D1468" s="37" t="s">
        <v>391</v>
      </c>
      <c r="E1468" s="37" t="s">
        <v>829</v>
      </c>
      <c r="F1468" s="39">
        <v>12</v>
      </c>
      <c r="G1468" s="49"/>
      <c r="H1468" s="49"/>
      <c r="I1468" s="49"/>
      <c r="J1468" s="40">
        <f>COUNTIF(System_configuration!B:B,A1468)</f>
        <v>0</v>
      </c>
    </row>
    <row r="1469" spans="1:10" s="29" customFormat="1" x14ac:dyDescent="0.2">
      <c r="A1469" s="83" t="s">
        <v>2353</v>
      </c>
      <c r="B1469" s="43" t="s">
        <v>1534</v>
      </c>
      <c r="C1469" s="39">
        <v>-60</v>
      </c>
      <c r="D1469" s="37" t="s">
        <v>1818</v>
      </c>
      <c r="E1469" s="37" t="s">
        <v>1819</v>
      </c>
      <c r="F1469" s="39">
        <v>12</v>
      </c>
      <c r="G1469" s="49"/>
      <c r="H1469" s="49"/>
      <c r="I1469" s="49"/>
      <c r="J1469" s="40">
        <f>COUNTIF(System_configuration!B:B,A1469)</f>
        <v>0</v>
      </c>
    </row>
    <row r="1470" spans="1:10" s="29" customFormat="1" x14ac:dyDescent="0.2">
      <c r="A1470" s="83" t="s">
        <v>2354</v>
      </c>
      <c r="B1470" s="43" t="s">
        <v>1534</v>
      </c>
      <c r="C1470" s="39">
        <v>-60</v>
      </c>
      <c r="D1470" s="37" t="s">
        <v>397</v>
      </c>
      <c r="E1470" s="37" t="s">
        <v>832</v>
      </c>
      <c r="F1470" s="39">
        <v>12</v>
      </c>
      <c r="G1470" s="49"/>
      <c r="H1470" s="49"/>
      <c r="I1470" s="49"/>
      <c r="J1470" s="40">
        <f>COUNTIF(System_configuration!B:B,A1470)</f>
        <v>0</v>
      </c>
    </row>
    <row r="1471" spans="1:10" s="29" customFormat="1" x14ac:dyDescent="0.2">
      <c r="A1471" s="83" t="s">
        <v>2355</v>
      </c>
      <c r="B1471" s="43" t="s">
        <v>1534</v>
      </c>
      <c r="C1471" s="39">
        <v>-60</v>
      </c>
      <c r="D1471" s="37" t="s">
        <v>1822</v>
      </c>
      <c r="E1471" s="37" t="s">
        <v>1823</v>
      </c>
      <c r="F1471" s="39">
        <v>12</v>
      </c>
      <c r="G1471" s="49"/>
      <c r="H1471" s="49"/>
      <c r="I1471" s="49"/>
      <c r="J1471" s="40">
        <f>COUNTIF(System_configuration!B:B,A1471)</f>
        <v>0</v>
      </c>
    </row>
    <row r="1472" spans="1:10" s="29" customFormat="1" ht="25.5" x14ac:dyDescent="0.2">
      <c r="A1472" s="83" t="s">
        <v>2356</v>
      </c>
      <c r="B1472" s="43" t="s">
        <v>1534</v>
      </c>
      <c r="C1472" s="39">
        <v>-65</v>
      </c>
      <c r="D1472" s="37" t="s">
        <v>1825</v>
      </c>
      <c r="E1472" s="37" t="s">
        <v>1826</v>
      </c>
      <c r="F1472" s="39">
        <v>12</v>
      </c>
      <c r="G1472" s="49" t="s">
        <v>3568</v>
      </c>
      <c r="H1472" s="49" t="s">
        <v>3568</v>
      </c>
      <c r="I1472" s="49"/>
      <c r="J1472" s="40">
        <f>COUNTIF(System_configuration!B:B,A1472)</f>
        <v>0</v>
      </c>
    </row>
    <row r="1473" spans="1:10" s="29" customFormat="1" ht="25.5" x14ac:dyDescent="0.2">
      <c r="A1473" s="83" t="s">
        <v>2357</v>
      </c>
      <c r="B1473" s="43" t="s">
        <v>1534</v>
      </c>
      <c r="C1473" s="39">
        <v>-65</v>
      </c>
      <c r="D1473" s="37" t="s">
        <v>1828</v>
      </c>
      <c r="E1473" s="37" t="s">
        <v>1829</v>
      </c>
      <c r="F1473" s="39">
        <v>12</v>
      </c>
      <c r="G1473" s="49" t="s">
        <v>3568</v>
      </c>
      <c r="H1473" s="49" t="s">
        <v>3568</v>
      </c>
      <c r="I1473" s="49"/>
      <c r="J1473" s="40">
        <f>COUNTIF(System_configuration!B:B,A1473)</f>
        <v>0</v>
      </c>
    </row>
    <row r="1474" spans="1:10" s="29" customFormat="1" x14ac:dyDescent="0.2">
      <c r="A1474" s="83" t="s">
        <v>2358</v>
      </c>
      <c r="B1474" s="43" t="s">
        <v>1534</v>
      </c>
      <c r="C1474" s="39">
        <v>-65</v>
      </c>
      <c r="D1474" s="37" t="s">
        <v>1831</v>
      </c>
      <c r="E1474" s="37" t="s">
        <v>1832</v>
      </c>
      <c r="F1474" s="39">
        <v>12</v>
      </c>
      <c r="G1474" s="49"/>
      <c r="H1474" s="49"/>
      <c r="I1474" s="49"/>
      <c r="J1474" s="40">
        <f>COUNTIF(System_configuration!B:B,A1474)</f>
        <v>0</v>
      </c>
    </row>
    <row r="1475" spans="1:10" s="29" customFormat="1" ht="25.5" x14ac:dyDescent="0.2">
      <c r="A1475" s="83" t="s">
        <v>2359</v>
      </c>
      <c r="B1475" s="43" t="s">
        <v>1534</v>
      </c>
      <c r="C1475" s="39">
        <v>-65</v>
      </c>
      <c r="D1475" s="37" t="s">
        <v>1834</v>
      </c>
      <c r="E1475" s="37" t="s">
        <v>1835</v>
      </c>
      <c r="F1475" s="39">
        <v>12</v>
      </c>
      <c r="G1475" s="49" t="s">
        <v>3568</v>
      </c>
      <c r="H1475" s="49" t="s">
        <v>3568</v>
      </c>
      <c r="I1475" s="49"/>
      <c r="J1475" s="40">
        <f>COUNTIF(System_configuration!B:B,A1475)</f>
        <v>0</v>
      </c>
    </row>
    <row r="1476" spans="1:10" s="29" customFormat="1" ht="25.5" x14ac:dyDescent="0.2">
      <c r="A1476" s="83" t="s">
        <v>2360</v>
      </c>
      <c r="B1476" s="43" t="s">
        <v>1534</v>
      </c>
      <c r="C1476" s="39">
        <v>-65</v>
      </c>
      <c r="D1476" s="37" t="s">
        <v>2361</v>
      </c>
      <c r="E1476" s="37" t="s">
        <v>1838</v>
      </c>
      <c r="F1476" s="39">
        <v>12</v>
      </c>
      <c r="G1476" s="49" t="s">
        <v>3568</v>
      </c>
      <c r="H1476" s="49" t="s">
        <v>3568</v>
      </c>
      <c r="I1476" s="49"/>
      <c r="J1476" s="40">
        <f>COUNTIF(System_configuration!B:B,A1476)</f>
        <v>0</v>
      </c>
    </row>
    <row r="1477" spans="1:10" s="29" customFormat="1" x14ac:dyDescent="0.2">
      <c r="A1477" s="83" t="s">
        <v>2362</v>
      </c>
      <c r="B1477" s="43" t="s">
        <v>1534</v>
      </c>
      <c r="C1477" s="39">
        <v>-75</v>
      </c>
      <c r="D1477" s="37" t="s">
        <v>1840</v>
      </c>
      <c r="E1477" s="37" t="s">
        <v>1841</v>
      </c>
      <c r="F1477" s="39">
        <v>12</v>
      </c>
      <c r="G1477" s="49"/>
      <c r="H1477" s="49"/>
      <c r="I1477" s="49"/>
      <c r="J1477" s="40">
        <f>COUNTIF(System_configuration!B:B,A1477)</f>
        <v>0</v>
      </c>
    </row>
    <row r="1478" spans="1:10" s="29" customFormat="1" x14ac:dyDescent="0.2">
      <c r="A1478" s="83" t="s">
        <v>2363</v>
      </c>
      <c r="B1478" s="43" t="s">
        <v>1534</v>
      </c>
      <c r="C1478" s="39">
        <v>-60</v>
      </c>
      <c r="D1478" s="37" t="s">
        <v>419</v>
      </c>
      <c r="E1478" s="37" t="s">
        <v>1843</v>
      </c>
      <c r="F1478" s="39">
        <v>12</v>
      </c>
      <c r="G1478" s="49"/>
      <c r="H1478" s="49"/>
      <c r="I1478" s="49"/>
      <c r="J1478" s="40">
        <f>COUNTIF(System_configuration!B:B,A1478)</f>
        <v>0</v>
      </c>
    </row>
    <row r="1479" spans="1:10" s="29" customFormat="1" x14ac:dyDescent="0.2">
      <c r="A1479" s="83" t="s">
        <v>2364</v>
      </c>
      <c r="B1479" s="43" t="s">
        <v>1534</v>
      </c>
      <c r="C1479" s="39">
        <v>-60</v>
      </c>
      <c r="D1479" s="37" t="s">
        <v>421</v>
      </c>
      <c r="E1479" s="37" t="s">
        <v>1845</v>
      </c>
      <c r="F1479" s="39">
        <v>12</v>
      </c>
      <c r="G1479" s="49"/>
      <c r="H1479" s="49"/>
      <c r="I1479" s="49"/>
      <c r="J1479" s="40">
        <f>COUNTIF(System_configuration!B:B,A1479)</f>
        <v>0</v>
      </c>
    </row>
    <row r="1480" spans="1:10" s="29" customFormat="1" x14ac:dyDescent="0.2">
      <c r="A1480" s="83" t="s">
        <v>2365</v>
      </c>
      <c r="B1480" s="43" t="s">
        <v>1534</v>
      </c>
      <c r="C1480" s="39">
        <v>-85</v>
      </c>
      <c r="D1480" s="37" t="s">
        <v>1847</v>
      </c>
      <c r="E1480" s="37" t="s">
        <v>1848</v>
      </c>
      <c r="F1480" s="39">
        <v>12</v>
      </c>
      <c r="G1480" s="49"/>
      <c r="H1480" s="49"/>
      <c r="I1480" s="49"/>
      <c r="J1480" s="40">
        <f>COUNTIF(System_configuration!B:B,A1480)</f>
        <v>0</v>
      </c>
    </row>
    <row r="1481" spans="1:10" s="29" customFormat="1" x14ac:dyDescent="0.2">
      <c r="A1481" s="83" t="s">
        <v>2366</v>
      </c>
      <c r="B1481" s="43" t="s">
        <v>1534</v>
      </c>
      <c r="C1481" s="39">
        <v>-65</v>
      </c>
      <c r="D1481" s="37" t="s">
        <v>1850</v>
      </c>
      <c r="E1481" s="37" t="s">
        <v>849</v>
      </c>
      <c r="F1481" s="39">
        <v>12</v>
      </c>
      <c r="G1481" s="49"/>
      <c r="H1481" s="49"/>
      <c r="I1481" s="49"/>
      <c r="J1481" s="40">
        <f>COUNTIF(System_configuration!B:B,A1481)</f>
        <v>0</v>
      </c>
    </row>
    <row r="1482" spans="1:10" s="29" customFormat="1" x14ac:dyDescent="0.2">
      <c r="A1482" s="83" t="s">
        <v>2367</v>
      </c>
      <c r="B1482" s="43" t="s">
        <v>1534</v>
      </c>
      <c r="C1482" s="39">
        <v>-60</v>
      </c>
      <c r="D1482" s="37" t="s">
        <v>1852</v>
      </c>
      <c r="E1482" s="37" t="s">
        <v>852</v>
      </c>
      <c r="F1482" s="39">
        <v>12</v>
      </c>
      <c r="G1482" s="49"/>
      <c r="H1482" s="49"/>
      <c r="I1482" s="49"/>
      <c r="J1482" s="40">
        <f>COUNTIF(System_configuration!B:B,A1482)</f>
        <v>0</v>
      </c>
    </row>
    <row r="1483" spans="1:10" s="29" customFormat="1" x14ac:dyDescent="0.2">
      <c r="A1483" s="83" t="s">
        <v>2368</v>
      </c>
      <c r="B1483" s="43" t="s">
        <v>1534</v>
      </c>
      <c r="C1483" s="39">
        <v>-60</v>
      </c>
      <c r="D1483" s="37" t="s">
        <v>1854</v>
      </c>
      <c r="E1483" s="37" t="s">
        <v>855</v>
      </c>
      <c r="F1483" s="39">
        <v>12</v>
      </c>
      <c r="G1483" s="49"/>
      <c r="H1483" s="49"/>
      <c r="I1483" s="49"/>
      <c r="J1483" s="40">
        <f>COUNTIF(System_configuration!B:B,A1483)</f>
        <v>0</v>
      </c>
    </row>
    <row r="1484" spans="1:10" s="29" customFormat="1" x14ac:dyDescent="0.2">
      <c r="A1484" s="83" t="s">
        <v>2369</v>
      </c>
      <c r="B1484" s="43" t="s">
        <v>1534</v>
      </c>
      <c r="C1484" s="39">
        <v>-85</v>
      </c>
      <c r="D1484" s="37" t="s">
        <v>1856</v>
      </c>
      <c r="E1484" s="37" t="s">
        <v>1857</v>
      </c>
      <c r="F1484" s="39">
        <v>12</v>
      </c>
      <c r="G1484" s="49" t="s">
        <v>3568</v>
      </c>
      <c r="H1484" s="49" t="s">
        <v>3568</v>
      </c>
      <c r="I1484" s="49"/>
      <c r="J1484" s="40">
        <f>COUNTIF(System_configuration!B:B,A1484)</f>
        <v>0</v>
      </c>
    </row>
    <row r="1485" spans="1:10" s="29" customFormat="1" x14ac:dyDescent="0.2">
      <c r="A1485" s="83" t="s">
        <v>2370</v>
      </c>
      <c r="B1485" s="43" t="s">
        <v>1534</v>
      </c>
      <c r="C1485" s="39">
        <v>-85</v>
      </c>
      <c r="D1485" s="37" t="s">
        <v>1859</v>
      </c>
      <c r="E1485" s="37" t="s">
        <v>1860</v>
      </c>
      <c r="F1485" s="39">
        <v>12</v>
      </c>
      <c r="G1485" s="49" t="s">
        <v>3568</v>
      </c>
      <c r="H1485" s="49" t="s">
        <v>3568</v>
      </c>
      <c r="I1485" s="49"/>
      <c r="J1485" s="40">
        <f>COUNTIF(System_configuration!B:B,A1485)</f>
        <v>0</v>
      </c>
    </row>
    <row r="1486" spans="1:10" s="29" customFormat="1" x14ac:dyDescent="0.2">
      <c r="A1486" s="83" t="s">
        <v>2371</v>
      </c>
      <c r="B1486" s="43" t="s">
        <v>1534</v>
      </c>
      <c r="C1486" s="39">
        <v>-85</v>
      </c>
      <c r="D1486" s="37" t="s">
        <v>1862</v>
      </c>
      <c r="E1486" s="37" t="s">
        <v>1863</v>
      </c>
      <c r="F1486" s="39">
        <v>12</v>
      </c>
      <c r="G1486" s="49" t="s">
        <v>3568</v>
      </c>
      <c r="H1486" s="49" t="s">
        <v>3568</v>
      </c>
      <c r="I1486" s="49"/>
      <c r="J1486" s="40">
        <f>COUNTIF(System_configuration!B:B,A1486)</f>
        <v>0</v>
      </c>
    </row>
    <row r="1487" spans="1:10" s="29" customFormat="1" x14ac:dyDescent="0.2">
      <c r="A1487" s="83" t="s">
        <v>2372</v>
      </c>
      <c r="B1487" s="43" t="s">
        <v>1534</v>
      </c>
      <c r="C1487" s="39">
        <v>-85</v>
      </c>
      <c r="D1487" s="37" t="s">
        <v>1865</v>
      </c>
      <c r="E1487" s="37" t="s">
        <v>1866</v>
      </c>
      <c r="F1487" s="39">
        <v>12</v>
      </c>
      <c r="G1487" s="49" t="s">
        <v>3568</v>
      </c>
      <c r="H1487" s="49" t="s">
        <v>3568</v>
      </c>
      <c r="I1487" s="49"/>
      <c r="J1487" s="40">
        <f>COUNTIF(System_configuration!B:B,A1487)</f>
        <v>0</v>
      </c>
    </row>
    <row r="1488" spans="1:10" s="29" customFormat="1" x14ac:dyDescent="0.2">
      <c r="A1488" s="83" t="s">
        <v>2373</v>
      </c>
      <c r="B1488" s="43" t="s">
        <v>1534</v>
      </c>
      <c r="C1488" s="39">
        <v>-85</v>
      </c>
      <c r="D1488" s="37" t="s">
        <v>1868</v>
      </c>
      <c r="E1488" s="37" t="s">
        <v>1869</v>
      </c>
      <c r="F1488" s="39">
        <v>12</v>
      </c>
      <c r="G1488" s="49" t="s">
        <v>3568</v>
      </c>
      <c r="H1488" s="49" t="s">
        <v>3568</v>
      </c>
      <c r="I1488" s="49"/>
      <c r="J1488" s="40">
        <f>COUNTIF(System_configuration!B:B,A1488)</f>
        <v>0</v>
      </c>
    </row>
    <row r="1489" spans="1:10" s="29" customFormat="1" x14ac:dyDescent="0.2">
      <c r="A1489" s="83" t="s">
        <v>2374</v>
      </c>
      <c r="B1489" s="43" t="s">
        <v>1534</v>
      </c>
      <c r="C1489" s="39">
        <v>-85</v>
      </c>
      <c r="D1489" s="37" t="s">
        <v>1871</v>
      </c>
      <c r="E1489" s="37" t="s">
        <v>1872</v>
      </c>
      <c r="F1489" s="39">
        <v>12</v>
      </c>
      <c r="G1489" s="49" t="s">
        <v>3568</v>
      </c>
      <c r="H1489" s="49" t="s">
        <v>3568</v>
      </c>
      <c r="I1489" s="49"/>
      <c r="J1489" s="40">
        <f>COUNTIF(System_configuration!B:B,A1489)</f>
        <v>0</v>
      </c>
    </row>
    <row r="1490" spans="1:10" s="29" customFormat="1" x14ac:dyDescent="0.2">
      <c r="A1490" s="83" t="s">
        <v>2375</v>
      </c>
      <c r="B1490" s="43" t="s">
        <v>1534</v>
      </c>
      <c r="C1490" s="39">
        <v>-60</v>
      </c>
      <c r="D1490" s="37" t="s">
        <v>1874</v>
      </c>
      <c r="E1490" s="37" t="s">
        <v>1875</v>
      </c>
      <c r="F1490" s="39">
        <v>12</v>
      </c>
      <c r="G1490" s="49"/>
      <c r="H1490" s="49"/>
      <c r="I1490" s="49"/>
      <c r="J1490" s="40">
        <f>COUNTIF(System_configuration!B:B,A1490)</f>
        <v>0</v>
      </c>
    </row>
    <row r="1491" spans="1:10" s="29" customFormat="1" x14ac:dyDescent="0.2">
      <c r="A1491" s="83" t="s">
        <v>2376</v>
      </c>
      <c r="B1491" s="43" t="s">
        <v>1534</v>
      </c>
      <c r="C1491" s="39">
        <v>-60</v>
      </c>
      <c r="D1491" s="37" t="s">
        <v>1876</v>
      </c>
      <c r="E1491" s="37" t="s">
        <v>1877</v>
      </c>
      <c r="F1491" s="39">
        <v>12</v>
      </c>
      <c r="G1491" s="49"/>
      <c r="H1491" s="49"/>
      <c r="I1491" s="49"/>
      <c r="J1491" s="40">
        <f>COUNTIF(System_configuration!B:B,A1491)</f>
        <v>0</v>
      </c>
    </row>
    <row r="1492" spans="1:10" s="29" customFormat="1" x14ac:dyDescent="0.2">
      <c r="A1492" s="83" t="s">
        <v>2377</v>
      </c>
      <c r="B1492" s="43" t="s">
        <v>1534</v>
      </c>
      <c r="C1492" s="39">
        <v>-60</v>
      </c>
      <c r="D1492" s="37" t="s">
        <v>469</v>
      </c>
      <c r="E1492" s="37" t="s">
        <v>872</v>
      </c>
      <c r="F1492" s="39">
        <v>12</v>
      </c>
      <c r="G1492" s="49"/>
      <c r="H1492" s="49"/>
      <c r="I1492" s="49"/>
      <c r="J1492" s="40">
        <f>COUNTIF(System_configuration!B:B,A1492)</f>
        <v>0</v>
      </c>
    </row>
    <row r="1493" spans="1:10" s="29" customFormat="1" x14ac:dyDescent="0.2">
      <c r="A1493" s="83" t="s">
        <v>2378</v>
      </c>
      <c r="B1493" s="43" t="s">
        <v>1534</v>
      </c>
      <c r="C1493" s="39">
        <v>-60</v>
      </c>
      <c r="D1493" s="37" t="s">
        <v>468</v>
      </c>
      <c r="E1493" s="37" t="s">
        <v>870</v>
      </c>
      <c r="F1493" s="39">
        <v>12</v>
      </c>
      <c r="G1493" s="49" t="s">
        <v>3568</v>
      </c>
      <c r="H1493" s="49" t="s">
        <v>3568</v>
      </c>
      <c r="I1493" s="49"/>
      <c r="J1493" s="40">
        <f>COUNTIF(System_configuration!B:B,A1493)</f>
        <v>0</v>
      </c>
    </row>
    <row r="1494" spans="1:10" s="29" customFormat="1" ht="25.5" x14ac:dyDescent="0.2">
      <c r="A1494" s="83" t="s">
        <v>2379</v>
      </c>
      <c r="B1494" s="43" t="s">
        <v>1534</v>
      </c>
      <c r="C1494" s="39">
        <v>-85</v>
      </c>
      <c r="D1494" s="37" t="s">
        <v>1888</v>
      </c>
      <c r="E1494" s="37" t="s">
        <v>1889</v>
      </c>
      <c r="F1494" s="39">
        <v>12</v>
      </c>
      <c r="G1494" s="49" t="s">
        <v>3568</v>
      </c>
      <c r="H1494" s="49" t="s">
        <v>3568</v>
      </c>
      <c r="I1494" s="49"/>
      <c r="J1494" s="40">
        <f>COUNTIF(System_configuration!B:B,A1494)</f>
        <v>0</v>
      </c>
    </row>
    <row r="1495" spans="1:10" s="29" customFormat="1" x14ac:dyDescent="0.2">
      <c r="A1495" s="83" t="s">
        <v>2380</v>
      </c>
      <c r="B1495" s="43" t="s">
        <v>1534</v>
      </c>
      <c r="C1495" s="39">
        <v>-65</v>
      </c>
      <c r="D1495" s="37" t="s">
        <v>478</v>
      </c>
      <c r="E1495" s="37" t="s">
        <v>879</v>
      </c>
      <c r="F1495" s="39">
        <v>12</v>
      </c>
      <c r="G1495" s="49"/>
      <c r="H1495" s="49"/>
      <c r="I1495" s="49"/>
      <c r="J1495" s="40">
        <f>COUNTIF(System_configuration!B:B,A1495)</f>
        <v>0</v>
      </c>
    </row>
    <row r="1496" spans="1:10" s="29" customFormat="1" x14ac:dyDescent="0.2">
      <c r="A1496" s="83" t="s">
        <v>2381</v>
      </c>
      <c r="B1496" s="43" t="s">
        <v>1534</v>
      </c>
      <c r="C1496" s="39">
        <v>-85</v>
      </c>
      <c r="D1496" s="37" t="s">
        <v>1895</v>
      </c>
      <c r="E1496" s="37" t="s">
        <v>1896</v>
      </c>
      <c r="F1496" s="39">
        <v>12</v>
      </c>
      <c r="G1496" s="49" t="s">
        <v>3568</v>
      </c>
      <c r="H1496" s="49" t="s">
        <v>3568</v>
      </c>
      <c r="I1496" s="49"/>
      <c r="J1496" s="40">
        <f>COUNTIF(System_configuration!B:B,A1496)</f>
        <v>0</v>
      </c>
    </row>
    <row r="1497" spans="1:10" s="29" customFormat="1" ht="25.5" x14ac:dyDescent="0.2">
      <c r="A1497" s="83" t="s">
        <v>2382</v>
      </c>
      <c r="B1497" s="43" t="s">
        <v>1534</v>
      </c>
      <c r="C1497" s="39">
        <v>-140</v>
      </c>
      <c r="D1497" s="37" t="s">
        <v>1898</v>
      </c>
      <c r="E1497" s="37" t="s">
        <v>1899</v>
      </c>
      <c r="F1497" s="39">
        <v>12</v>
      </c>
      <c r="G1497" s="49"/>
      <c r="H1497" s="49"/>
      <c r="I1497" s="49"/>
      <c r="J1497" s="40">
        <f>COUNTIF(System_configuration!B:B,A1497)</f>
        <v>0</v>
      </c>
    </row>
    <row r="1498" spans="1:10" s="29" customFormat="1" ht="25.5" x14ac:dyDescent="0.2">
      <c r="A1498" s="83" t="s">
        <v>2383</v>
      </c>
      <c r="B1498" s="43" t="s">
        <v>1534</v>
      </c>
      <c r="C1498" s="39">
        <v>-120</v>
      </c>
      <c r="D1498" s="37" t="s">
        <v>1901</v>
      </c>
      <c r="E1498" s="37" t="s">
        <v>1902</v>
      </c>
      <c r="F1498" s="39">
        <v>12</v>
      </c>
      <c r="G1498" s="49"/>
      <c r="H1498" s="49"/>
      <c r="I1498" s="49"/>
      <c r="J1498" s="40">
        <f>COUNTIF(System_configuration!B:B,A1498)</f>
        <v>0</v>
      </c>
    </row>
    <row r="1499" spans="1:10" s="29" customFormat="1" ht="25.5" x14ac:dyDescent="0.2">
      <c r="A1499" s="83" t="s">
        <v>2384</v>
      </c>
      <c r="B1499" s="43" t="s">
        <v>1534</v>
      </c>
      <c r="C1499" s="39">
        <v>-115</v>
      </c>
      <c r="D1499" s="37" t="s">
        <v>482</v>
      </c>
      <c r="E1499" s="37" t="s">
        <v>882</v>
      </c>
      <c r="F1499" s="39">
        <v>12</v>
      </c>
      <c r="G1499" s="49"/>
      <c r="H1499" s="49"/>
      <c r="I1499" s="49"/>
      <c r="J1499" s="40">
        <f>COUNTIF(System_configuration!B:B,A1499)</f>
        <v>0</v>
      </c>
    </row>
    <row r="1500" spans="1:10" s="29" customFormat="1" x14ac:dyDescent="0.2">
      <c r="A1500" s="83" t="s">
        <v>2385</v>
      </c>
      <c r="B1500" s="43" t="s">
        <v>1534</v>
      </c>
      <c r="C1500" s="39">
        <v>-100</v>
      </c>
      <c r="D1500" s="37" t="s">
        <v>1905</v>
      </c>
      <c r="E1500" s="37" t="s">
        <v>1906</v>
      </c>
      <c r="F1500" s="39">
        <v>12</v>
      </c>
      <c r="G1500" s="49" t="s">
        <v>3568</v>
      </c>
      <c r="H1500" s="49" t="s">
        <v>3568</v>
      </c>
      <c r="I1500" s="49"/>
      <c r="J1500" s="40">
        <f>COUNTIF(System_configuration!B:B,A1500)</f>
        <v>0</v>
      </c>
    </row>
    <row r="1501" spans="1:10" s="29" customFormat="1" x14ac:dyDescent="0.2">
      <c r="A1501" s="83" t="s">
        <v>2386</v>
      </c>
      <c r="B1501" s="43" t="s">
        <v>1534</v>
      </c>
      <c r="C1501" s="39">
        <v>-140</v>
      </c>
      <c r="D1501" s="37" t="s">
        <v>1908</v>
      </c>
      <c r="E1501" s="37" t="s">
        <v>1909</v>
      </c>
      <c r="F1501" s="39">
        <v>12</v>
      </c>
      <c r="G1501" s="49" t="s">
        <v>3568</v>
      </c>
      <c r="H1501" s="49" t="s">
        <v>3568</v>
      </c>
      <c r="I1501" s="49"/>
      <c r="J1501" s="40">
        <f>COUNTIF(System_configuration!B:B,A1501)</f>
        <v>0</v>
      </c>
    </row>
    <row r="1502" spans="1:10" s="29" customFormat="1" x14ac:dyDescent="0.2">
      <c r="A1502" s="83" t="s">
        <v>2387</v>
      </c>
      <c r="B1502" s="43" t="s">
        <v>1534</v>
      </c>
      <c r="C1502" s="39">
        <v>-85</v>
      </c>
      <c r="D1502" s="37" t="s">
        <v>1911</v>
      </c>
      <c r="E1502" s="37" t="s">
        <v>1912</v>
      </c>
      <c r="F1502" s="39">
        <v>12</v>
      </c>
      <c r="G1502" s="49" t="s">
        <v>3568</v>
      </c>
      <c r="H1502" s="49" t="s">
        <v>3568</v>
      </c>
      <c r="I1502" s="49"/>
      <c r="J1502" s="40">
        <f>COUNTIF(System_configuration!B:B,A1502)</f>
        <v>0</v>
      </c>
    </row>
    <row r="1503" spans="1:10" s="29" customFormat="1" x14ac:dyDescent="0.2">
      <c r="A1503" s="83" t="s">
        <v>2388</v>
      </c>
      <c r="B1503" s="43" t="s">
        <v>1534</v>
      </c>
      <c r="C1503" s="39">
        <v>-105</v>
      </c>
      <c r="D1503" s="37" t="s">
        <v>1914</v>
      </c>
      <c r="E1503" s="37" t="s">
        <v>1915</v>
      </c>
      <c r="F1503" s="39">
        <v>12</v>
      </c>
      <c r="G1503" s="49" t="s">
        <v>3568</v>
      </c>
      <c r="H1503" s="49" t="s">
        <v>3568</v>
      </c>
      <c r="I1503" s="49"/>
      <c r="J1503" s="40">
        <f>COUNTIF(System_configuration!B:B,A1503)</f>
        <v>0</v>
      </c>
    </row>
    <row r="1504" spans="1:10" s="29" customFormat="1" x14ac:dyDescent="0.2">
      <c r="A1504" s="83" t="s">
        <v>2389</v>
      </c>
      <c r="B1504" s="43" t="s">
        <v>1534</v>
      </c>
      <c r="C1504" s="39">
        <v>-85</v>
      </c>
      <c r="D1504" s="37" t="s">
        <v>1917</v>
      </c>
      <c r="E1504" s="37" t="s">
        <v>1918</v>
      </c>
      <c r="F1504" s="39">
        <v>12</v>
      </c>
      <c r="G1504" s="49" t="s">
        <v>3568</v>
      </c>
      <c r="H1504" s="49" t="s">
        <v>3568</v>
      </c>
      <c r="I1504" s="49"/>
      <c r="J1504" s="40">
        <f>COUNTIF(System_configuration!B:B,A1504)</f>
        <v>0</v>
      </c>
    </row>
    <row r="1505" spans="1:10" s="29" customFormat="1" x14ac:dyDescent="0.2">
      <c r="A1505" s="83" t="s">
        <v>2390</v>
      </c>
      <c r="B1505" s="43" t="s">
        <v>1534</v>
      </c>
      <c r="C1505" s="39">
        <v>-105</v>
      </c>
      <c r="D1505" s="37" t="s">
        <v>1920</v>
      </c>
      <c r="E1505" s="37" t="s">
        <v>1921</v>
      </c>
      <c r="F1505" s="39">
        <v>12</v>
      </c>
      <c r="G1505" s="49" t="s">
        <v>3568</v>
      </c>
      <c r="H1505" s="49" t="s">
        <v>3568</v>
      </c>
      <c r="I1505" s="49"/>
      <c r="J1505" s="40">
        <f>COUNTIF(System_configuration!B:B,A1505)</f>
        <v>0</v>
      </c>
    </row>
    <row r="1506" spans="1:10" s="29" customFormat="1" x14ac:dyDescent="0.2">
      <c r="A1506" s="83" t="s">
        <v>2391</v>
      </c>
      <c r="B1506" s="43" t="s">
        <v>1534</v>
      </c>
      <c r="C1506" s="39">
        <v>-100</v>
      </c>
      <c r="D1506" s="37" t="s">
        <v>1923</v>
      </c>
      <c r="E1506" s="37" t="s">
        <v>1924</v>
      </c>
      <c r="F1506" s="39">
        <v>12</v>
      </c>
      <c r="G1506" s="49" t="s">
        <v>3568</v>
      </c>
      <c r="H1506" s="49" t="s">
        <v>3568</v>
      </c>
      <c r="I1506" s="49"/>
      <c r="J1506" s="40">
        <f>COUNTIF(System_configuration!B:B,A1506)</f>
        <v>0</v>
      </c>
    </row>
    <row r="1507" spans="1:10" s="29" customFormat="1" x14ac:dyDescent="0.2">
      <c r="A1507" s="83" t="s">
        <v>2391</v>
      </c>
      <c r="B1507" s="43" t="s">
        <v>1534</v>
      </c>
      <c r="C1507" s="39">
        <v>-100</v>
      </c>
      <c r="D1507" s="37" t="s">
        <v>1923</v>
      </c>
      <c r="E1507" s="37" t="s">
        <v>1924</v>
      </c>
      <c r="F1507" s="39">
        <v>12</v>
      </c>
      <c r="G1507" s="49" t="s">
        <v>3568</v>
      </c>
      <c r="H1507" s="49" t="s">
        <v>3568</v>
      </c>
      <c r="I1507" s="49"/>
      <c r="J1507" s="40">
        <f>COUNTIF(System_configuration!B:B,A1507)</f>
        <v>0</v>
      </c>
    </row>
    <row r="1508" spans="1:10" s="29" customFormat="1" x14ac:dyDescent="0.2">
      <c r="A1508" s="83" t="s">
        <v>2392</v>
      </c>
      <c r="B1508" s="43" t="s">
        <v>1534</v>
      </c>
      <c r="C1508" s="39">
        <v>-140</v>
      </c>
      <c r="D1508" s="37" t="s">
        <v>1926</v>
      </c>
      <c r="E1508" s="37" t="s">
        <v>1927</v>
      </c>
      <c r="F1508" s="39">
        <v>12</v>
      </c>
      <c r="G1508" s="49" t="s">
        <v>3568</v>
      </c>
      <c r="H1508" s="49" t="s">
        <v>3568</v>
      </c>
      <c r="I1508" s="49"/>
      <c r="J1508" s="40">
        <f>COUNTIF(System_configuration!B:B,A1508)</f>
        <v>0</v>
      </c>
    </row>
    <row r="1509" spans="1:10" s="29" customFormat="1" x14ac:dyDescent="0.2">
      <c r="A1509" s="83" t="s">
        <v>2393</v>
      </c>
      <c r="B1509" s="43" t="s">
        <v>1534</v>
      </c>
      <c r="C1509" s="39">
        <v>-100</v>
      </c>
      <c r="D1509" s="37" t="s">
        <v>498</v>
      </c>
      <c r="E1509" s="37" t="s">
        <v>893</v>
      </c>
      <c r="F1509" s="39">
        <v>12</v>
      </c>
      <c r="G1509" s="49"/>
      <c r="H1509" s="49"/>
      <c r="I1509" s="49"/>
      <c r="J1509" s="40">
        <f>COUNTIF(System_configuration!B:B,A1509)</f>
        <v>0</v>
      </c>
    </row>
    <row r="1510" spans="1:10" s="29" customFormat="1" x14ac:dyDescent="0.2">
      <c r="A1510" s="83" t="s">
        <v>2394</v>
      </c>
      <c r="B1510" s="43" t="s">
        <v>1534</v>
      </c>
      <c r="C1510" s="39">
        <v>-75</v>
      </c>
      <c r="D1510" s="37" t="s">
        <v>506</v>
      </c>
      <c r="E1510" s="37" t="s">
        <v>1930</v>
      </c>
      <c r="F1510" s="39">
        <v>12</v>
      </c>
      <c r="G1510" s="49"/>
      <c r="H1510" s="49"/>
      <c r="I1510" s="49"/>
      <c r="J1510" s="40">
        <f>COUNTIF(System_configuration!B:B,A1510)</f>
        <v>0</v>
      </c>
    </row>
    <row r="1511" spans="1:10" s="29" customFormat="1" x14ac:dyDescent="0.2">
      <c r="A1511" s="83" t="s">
        <v>2395</v>
      </c>
      <c r="B1511" s="43" t="s">
        <v>1534</v>
      </c>
      <c r="C1511" s="39">
        <v>-75</v>
      </c>
      <c r="D1511" s="37" t="s">
        <v>508</v>
      </c>
      <c r="E1511" s="37" t="s">
        <v>1932</v>
      </c>
      <c r="F1511" s="39">
        <v>12</v>
      </c>
      <c r="G1511" s="49"/>
      <c r="H1511" s="49"/>
      <c r="I1511" s="49"/>
      <c r="J1511" s="40">
        <f>COUNTIF(System_configuration!B:B,A1511)</f>
        <v>0</v>
      </c>
    </row>
    <row r="1512" spans="1:10" s="29" customFormat="1" x14ac:dyDescent="0.2">
      <c r="A1512" s="83" t="s">
        <v>2396</v>
      </c>
      <c r="B1512" s="43" t="s">
        <v>1534</v>
      </c>
      <c r="C1512" s="39">
        <v>-85</v>
      </c>
      <c r="D1512" s="37" t="s">
        <v>1934</v>
      </c>
      <c r="E1512" s="37" t="s">
        <v>1935</v>
      </c>
      <c r="F1512" s="39">
        <v>12</v>
      </c>
      <c r="G1512" s="49"/>
      <c r="H1512" s="49"/>
      <c r="I1512" s="49"/>
      <c r="J1512" s="40">
        <f>COUNTIF(System_configuration!B:B,A1512)</f>
        <v>0</v>
      </c>
    </row>
    <row r="1513" spans="1:10" s="29" customFormat="1" x14ac:dyDescent="0.2">
      <c r="A1513" s="83" t="s">
        <v>2397</v>
      </c>
      <c r="B1513" s="43" t="s">
        <v>1534</v>
      </c>
      <c r="C1513" s="39">
        <v>-60</v>
      </c>
      <c r="D1513" s="37" t="s">
        <v>514</v>
      </c>
      <c r="E1513" s="37" t="s">
        <v>1937</v>
      </c>
      <c r="F1513" s="39">
        <v>12</v>
      </c>
      <c r="G1513" s="49" t="s">
        <v>3568</v>
      </c>
      <c r="H1513" s="49" t="s">
        <v>3568</v>
      </c>
      <c r="I1513" s="49"/>
      <c r="J1513" s="40">
        <f>COUNTIF(System_configuration!B:B,A1513)</f>
        <v>0</v>
      </c>
    </row>
    <row r="1514" spans="1:10" s="29" customFormat="1" x14ac:dyDescent="0.2">
      <c r="A1514" s="83" t="s">
        <v>2398</v>
      </c>
      <c r="B1514" s="43" t="s">
        <v>1534</v>
      </c>
      <c r="C1514" s="39">
        <v>-60</v>
      </c>
      <c r="D1514" s="37" t="s">
        <v>516</v>
      </c>
      <c r="E1514" s="37" t="s">
        <v>1939</v>
      </c>
      <c r="F1514" s="39">
        <v>12</v>
      </c>
      <c r="G1514" s="49" t="s">
        <v>3568</v>
      </c>
      <c r="H1514" s="49" t="s">
        <v>3568</v>
      </c>
      <c r="I1514" s="49"/>
      <c r="J1514" s="40">
        <f>COUNTIF(System_configuration!B:B,A1514)</f>
        <v>0</v>
      </c>
    </row>
    <row r="1515" spans="1:10" s="29" customFormat="1" x14ac:dyDescent="0.2">
      <c r="A1515" s="83" t="s">
        <v>2399</v>
      </c>
      <c r="B1515" s="43" t="s">
        <v>1534</v>
      </c>
      <c r="C1515" s="39">
        <v>-60</v>
      </c>
      <c r="D1515" s="37" t="s">
        <v>522</v>
      </c>
      <c r="E1515" s="37" t="s">
        <v>1941</v>
      </c>
      <c r="F1515" s="39">
        <v>12</v>
      </c>
      <c r="G1515" s="49" t="s">
        <v>3568</v>
      </c>
      <c r="H1515" s="49" t="s">
        <v>3568</v>
      </c>
      <c r="I1515" s="49"/>
      <c r="J1515" s="40">
        <f>COUNTIF(System_configuration!B:B,A1515)</f>
        <v>0</v>
      </c>
    </row>
    <row r="1516" spans="1:10" s="29" customFormat="1" x14ac:dyDescent="0.2">
      <c r="A1516" s="83" t="s">
        <v>2400</v>
      </c>
      <c r="B1516" s="43" t="s">
        <v>1534</v>
      </c>
      <c r="C1516" s="39">
        <v>-60</v>
      </c>
      <c r="D1516" s="37" t="s">
        <v>524</v>
      </c>
      <c r="E1516" s="37" t="s">
        <v>1943</v>
      </c>
      <c r="F1516" s="39">
        <v>12</v>
      </c>
      <c r="G1516" s="49" t="s">
        <v>3568</v>
      </c>
      <c r="H1516" s="49" t="s">
        <v>3568</v>
      </c>
      <c r="I1516" s="49"/>
      <c r="J1516" s="40">
        <f>COUNTIF(System_configuration!B:B,A1516)</f>
        <v>0</v>
      </c>
    </row>
    <row r="1517" spans="1:10" s="29" customFormat="1" x14ac:dyDescent="0.2">
      <c r="A1517" s="83" t="s">
        <v>2401</v>
      </c>
      <c r="B1517" s="43" t="s">
        <v>1534</v>
      </c>
      <c r="C1517" s="39">
        <v>-75</v>
      </c>
      <c r="D1517" s="37" t="s">
        <v>530</v>
      </c>
      <c r="E1517" s="37" t="s">
        <v>1945</v>
      </c>
      <c r="F1517" s="39">
        <v>12</v>
      </c>
      <c r="G1517" s="49"/>
      <c r="H1517" s="49"/>
      <c r="I1517" s="49"/>
      <c r="J1517" s="40">
        <f>COUNTIF(System_configuration!B:B,A1517)</f>
        <v>0</v>
      </c>
    </row>
    <row r="1518" spans="1:10" s="29" customFormat="1" x14ac:dyDescent="0.2">
      <c r="A1518" s="83" t="s">
        <v>2402</v>
      </c>
      <c r="B1518" s="43" t="s">
        <v>1534</v>
      </c>
      <c r="C1518" s="39">
        <v>-75</v>
      </c>
      <c r="D1518" s="37" t="s">
        <v>532</v>
      </c>
      <c r="E1518" s="37" t="s">
        <v>1947</v>
      </c>
      <c r="F1518" s="39">
        <v>12</v>
      </c>
      <c r="G1518" s="49"/>
      <c r="H1518" s="49"/>
      <c r="I1518" s="49"/>
      <c r="J1518" s="40">
        <f>COUNTIF(System_configuration!B:B,A1518)</f>
        <v>0</v>
      </c>
    </row>
    <row r="1519" spans="1:10" s="29" customFormat="1" x14ac:dyDescent="0.2">
      <c r="A1519" s="83" t="s">
        <v>2403</v>
      </c>
      <c r="B1519" s="43" t="s">
        <v>1534</v>
      </c>
      <c r="C1519" s="39">
        <v>-85</v>
      </c>
      <c r="D1519" s="37" t="s">
        <v>1949</v>
      </c>
      <c r="E1519" s="37" t="s">
        <v>1950</v>
      </c>
      <c r="F1519" s="39">
        <v>12</v>
      </c>
      <c r="G1519" s="49"/>
      <c r="H1519" s="49"/>
      <c r="I1519" s="49"/>
      <c r="J1519" s="40">
        <f>COUNTIF(System_configuration!B:B,A1519)</f>
        <v>0</v>
      </c>
    </row>
    <row r="1520" spans="1:10" s="29" customFormat="1" x14ac:dyDescent="0.2">
      <c r="A1520" s="83" t="s">
        <v>2404</v>
      </c>
      <c r="B1520" s="43" t="s">
        <v>1534</v>
      </c>
      <c r="C1520" s="39">
        <v>-60</v>
      </c>
      <c r="D1520" s="37" t="s">
        <v>542</v>
      </c>
      <c r="E1520" s="37" t="s">
        <v>916</v>
      </c>
      <c r="F1520" s="39">
        <v>12</v>
      </c>
      <c r="G1520" s="49" t="s">
        <v>3568</v>
      </c>
      <c r="H1520" s="49" t="s">
        <v>3568</v>
      </c>
      <c r="I1520" s="49"/>
      <c r="J1520" s="40">
        <f>COUNTIF(System_configuration!B:B,A1520)</f>
        <v>0</v>
      </c>
    </row>
    <row r="1521" spans="1:10" s="29" customFormat="1" x14ac:dyDescent="0.2">
      <c r="A1521" s="83" t="s">
        <v>2405</v>
      </c>
      <c r="B1521" s="43" t="s">
        <v>1534</v>
      </c>
      <c r="C1521" s="39">
        <v>-75</v>
      </c>
      <c r="D1521" s="37" t="s">
        <v>551</v>
      </c>
      <c r="E1521" s="37" t="s">
        <v>921</v>
      </c>
      <c r="F1521" s="39">
        <v>12</v>
      </c>
      <c r="G1521" s="49"/>
      <c r="H1521" s="49"/>
      <c r="I1521" s="49"/>
      <c r="J1521" s="40">
        <f>COUNTIF(System_configuration!B:B,A1521)</f>
        <v>0</v>
      </c>
    </row>
    <row r="1522" spans="1:10" s="29" customFormat="1" x14ac:dyDescent="0.2">
      <c r="A1522" s="83" t="s">
        <v>2406</v>
      </c>
      <c r="B1522" s="43" t="s">
        <v>1534</v>
      </c>
      <c r="C1522" s="39">
        <v>-20</v>
      </c>
      <c r="D1522" s="37" t="s">
        <v>510</v>
      </c>
      <c r="E1522" s="37" t="s">
        <v>900</v>
      </c>
      <c r="F1522" s="39">
        <v>12</v>
      </c>
      <c r="G1522" s="49" t="s">
        <v>3568</v>
      </c>
      <c r="H1522" s="49" t="s">
        <v>3568</v>
      </c>
      <c r="I1522" s="49"/>
      <c r="J1522" s="40">
        <f>COUNTIF(System_configuration!B:B,A1522)</f>
        <v>0</v>
      </c>
    </row>
    <row r="1523" spans="1:10" s="29" customFormat="1" x14ac:dyDescent="0.2">
      <c r="A1523" s="83" t="s">
        <v>2407</v>
      </c>
      <c r="B1523" s="43" t="s">
        <v>1534</v>
      </c>
      <c r="C1523" s="39">
        <v>-20</v>
      </c>
      <c r="D1523" s="37" t="s">
        <v>512</v>
      </c>
      <c r="E1523" s="37" t="s">
        <v>901</v>
      </c>
      <c r="F1523" s="39">
        <v>12</v>
      </c>
      <c r="G1523" s="49" t="s">
        <v>3568</v>
      </c>
      <c r="H1523" s="49" t="s">
        <v>3568</v>
      </c>
      <c r="I1523" s="49"/>
      <c r="J1523" s="40">
        <f>COUNTIF(System_configuration!B:B,A1523)</f>
        <v>0</v>
      </c>
    </row>
    <row r="1524" spans="1:10" s="29" customFormat="1" x14ac:dyDescent="0.2">
      <c r="A1524" s="83" t="s">
        <v>2408</v>
      </c>
      <c r="B1524" s="43" t="s">
        <v>1534</v>
      </c>
      <c r="C1524" s="39">
        <v>-20</v>
      </c>
      <c r="D1524" s="37" t="s">
        <v>518</v>
      </c>
      <c r="E1524" s="37" t="s">
        <v>904</v>
      </c>
      <c r="F1524" s="39">
        <v>12</v>
      </c>
      <c r="G1524" s="49" t="s">
        <v>3568</v>
      </c>
      <c r="H1524" s="49" t="s">
        <v>3568</v>
      </c>
      <c r="I1524" s="49"/>
      <c r="J1524" s="40">
        <f>COUNTIF(System_configuration!B:B,A1524)</f>
        <v>0</v>
      </c>
    </row>
    <row r="1525" spans="1:10" s="29" customFormat="1" x14ac:dyDescent="0.2">
      <c r="A1525" s="83" t="s">
        <v>2409</v>
      </c>
      <c r="B1525" s="43" t="s">
        <v>1534</v>
      </c>
      <c r="C1525" s="39">
        <v>-20</v>
      </c>
      <c r="D1525" s="37" t="s">
        <v>520</v>
      </c>
      <c r="E1525" s="37" t="s">
        <v>1957</v>
      </c>
      <c r="F1525" s="39">
        <v>12</v>
      </c>
      <c r="G1525" s="49" t="s">
        <v>3568</v>
      </c>
      <c r="H1525" s="49" t="s">
        <v>3568</v>
      </c>
      <c r="I1525" s="49"/>
      <c r="J1525" s="40">
        <f>COUNTIF(System_configuration!B:B,A1525)</f>
        <v>0</v>
      </c>
    </row>
    <row r="1526" spans="1:10" s="29" customFormat="1" x14ac:dyDescent="0.2">
      <c r="A1526" s="83" t="s">
        <v>2410</v>
      </c>
      <c r="B1526" s="43" t="s">
        <v>1534</v>
      </c>
      <c r="C1526" s="39">
        <v>-20</v>
      </c>
      <c r="D1526" s="37" t="s">
        <v>526</v>
      </c>
      <c r="E1526" s="37" t="s">
        <v>1959</v>
      </c>
      <c r="F1526" s="39">
        <v>12</v>
      </c>
      <c r="G1526" s="49" t="s">
        <v>3568</v>
      </c>
      <c r="H1526" s="49" t="s">
        <v>3568</v>
      </c>
      <c r="I1526" s="49"/>
      <c r="J1526" s="40">
        <f>COUNTIF(System_configuration!B:B,A1526)</f>
        <v>0</v>
      </c>
    </row>
    <row r="1527" spans="1:10" s="29" customFormat="1" x14ac:dyDescent="0.2">
      <c r="A1527" s="83" t="s">
        <v>2411</v>
      </c>
      <c r="B1527" s="43" t="s">
        <v>1534</v>
      </c>
      <c r="C1527" s="39">
        <v>-20</v>
      </c>
      <c r="D1527" s="37" t="s">
        <v>528</v>
      </c>
      <c r="E1527" s="37" t="s">
        <v>1961</v>
      </c>
      <c r="F1527" s="39">
        <v>12</v>
      </c>
      <c r="G1527" s="49" t="s">
        <v>3568</v>
      </c>
      <c r="H1527" s="49" t="s">
        <v>3568</v>
      </c>
      <c r="I1527" s="49"/>
      <c r="J1527" s="40">
        <f>COUNTIF(System_configuration!B:B,A1527)</f>
        <v>0</v>
      </c>
    </row>
    <row r="1528" spans="1:10" s="29" customFormat="1" x14ac:dyDescent="0.2">
      <c r="A1528" s="83" t="s">
        <v>2412</v>
      </c>
      <c r="B1528" s="43" t="s">
        <v>1534</v>
      </c>
      <c r="C1528" s="39">
        <v>-20</v>
      </c>
      <c r="D1528" s="37" t="s">
        <v>534</v>
      </c>
      <c r="E1528" s="37" t="s">
        <v>912</v>
      </c>
      <c r="F1528" s="39">
        <v>12</v>
      </c>
      <c r="G1528" s="49" t="s">
        <v>3568</v>
      </c>
      <c r="H1528" s="49" t="s">
        <v>3568</v>
      </c>
      <c r="I1528" s="49"/>
      <c r="J1528" s="40">
        <f>COUNTIF(System_configuration!B:B,A1528)</f>
        <v>0</v>
      </c>
    </row>
    <row r="1529" spans="1:10" s="29" customFormat="1" x14ac:dyDescent="0.2">
      <c r="A1529" s="83" t="s">
        <v>2413</v>
      </c>
      <c r="B1529" s="43" t="s">
        <v>1534</v>
      </c>
      <c r="C1529" s="39">
        <v>-20</v>
      </c>
      <c r="D1529" s="37" t="s">
        <v>536</v>
      </c>
      <c r="E1529" s="37" t="s">
        <v>1964</v>
      </c>
      <c r="F1529" s="39">
        <v>12</v>
      </c>
      <c r="G1529" s="49" t="s">
        <v>3568</v>
      </c>
      <c r="H1529" s="49" t="s">
        <v>3568</v>
      </c>
      <c r="I1529" s="49"/>
      <c r="J1529" s="40">
        <f>COUNTIF(System_configuration!B:B,A1529)</f>
        <v>0</v>
      </c>
    </row>
    <row r="1530" spans="1:10" s="29" customFormat="1" x14ac:dyDescent="0.2">
      <c r="A1530" s="83" t="s">
        <v>2414</v>
      </c>
      <c r="B1530" s="43" t="s">
        <v>1534</v>
      </c>
      <c r="C1530" s="39">
        <v>-70</v>
      </c>
      <c r="D1530" s="37" t="s">
        <v>1966</v>
      </c>
      <c r="E1530" s="37" t="s">
        <v>1967</v>
      </c>
      <c r="F1530" s="39">
        <v>12</v>
      </c>
      <c r="G1530" s="49" t="s">
        <v>3568</v>
      </c>
      <c r="H1530" s="49" t="s">
        <v>3568</v>
      </c>
      <c r="I1530" s="49"/>
      <c r="J1530" s="40">
        <f>COUNTIF(System_configuration!B:B,A1530)</f>
        <v>0</v>
      </c>
    </row>
    <row r="1531" spans="1:10" s="29" customFormat="1" x14ac:dyDescent="0.2">
      <c r="A1531" s="83" t="s">
        <v>2415</v>
      </c>
      <c r="B1531" s="43" t="s">
        <v>1534</v>
      </c>
      <c r="C1531" s="39">
        <v>-25</v>
      </c>
      <c r="D1531" s="37" t="s">
        <v>1969</v>
      </c>
      <c r="E1531" s="37" t="s">
        <v>1970</v>
      </c>
      <c r="F1531" s="39">
        <v>12</v>
      </c>
      <c r="G1531" s="49" t="s">
        <v>3568</v>
      </c>
      <c r="H1531" s="49" t="s">
        <v>3568</v>
      </c>
      <c r="I1531" s="49"/>
      <c r="J1531" s="40">
        <f>COUNTIF(System_configuration!B:B,A1531)</f>
        <v>0</v>
      </c>
    </row>
    <row r="1532" spans="1:10" s="29" customFormat="1" x14ac:dyDescent="0.2">
      <c r="A1532" s="83" t="s">
        <v>2416</v>
      </c>
      <c r="B1532" s="43" t="s">
        <v>1534</v>
      </c>
      <c r="C1532" s="39">
        <v>-75</v>
      </c>
      <c r="D1532" s="37" t="s">
        <v>1972</v>
      </c>
      <c r="E1532" s="37" t="s">
        <v>1973</v>
      </c>
      <c r="F1532" s="39">
        <v>12</v>
      </c>
      <c r="G1532" s="49" t="s">
        <v>3568</v>
      </c>
      <c r="H1532" s="49" t="s">
        <v>3568</v>
      </c>
      <c r="I1532" s="49"/>
      <c r="J1532" s="40">
        <f>COUNTIF(System_configuration!B:B,A1532)</f>
        <v>0</v>
      </c>
    </row>
    <row r="1533" spans="1:10" s="29" customFormat="1" x14ac:dyDescent="0.2">
      <c r="A1533" s="83" t="s">
        <v>2417</v>
      </c>
      <c r="B1533" s="43" t="s">
        <v>1534</v>
      </c>
      <c r="C1533" s="39">
        <v>-60</v>
      </c>
      <c r="D1533" s="37" t="s">
        <v>1974</v>
      </c>
      <c r="E1533" s="37" t="s">
        <v>1975</v>
      </c>
      <c r="F1533" s="39">
        <v>24</v>
      </c>
      <c r="G1533" s="49"/>
      <c r="H1533" s="49"/>
      <c r="I1533" s="49"/>
      <c r="J1533" s="40">
        <f>COUNTIF(System_configuration!B:B,A1533)</f>
        <v>0</v>
      </c>
    </row>
    <row r="1534" spans="1:10" s="29" customFormat="1" x14ac:dyDescent="0.2">
      <c r="A1534" s="83" t="s">
        <v>2418</v>
      </c>
      <c r="B1534" s="43" t="s">
        <v>1534</v>
      </c>
      <c r="C1534" s="39">
        <v>-40</v>
      </c>
      <c r="D1534" s="37" t="s">
        <v>1977</v>
      </c>
      <c r="E1534" s="37" t="s">
        <v>1978</v>
      </c>
      <c r="F1534" s="39">
        <v>12</v>
      </c>
      <c r="G1534" s="49" t="s">
        <v>3568</v>
      </c>
      <c r="H1534" s="49" t="s">
        <v>3568</v>
      </c>
      <c r="I1534" s="49"/>
      <c r="J1534" s="40">
        <f>COUNTIF(System_configuration!B:B,A1534)</f>
        <v>0</v>
      </c>
    </row>
    <row r="1535" spans="1:10" s="29" customFormat="1" x14ac:dyDescent="0.2">
      <c r="A1535" s="83" t="s">
        <v>2419</v>
      </c>
      <c r="B1535" s="43" t="s">
        <v>1534</v>
      </c>
      <c r="C1535" s="39">
        <v>-30</v>
      </c>
      <c r="D1535" s="37" t="s">
        <v>1980</v>
      </c>
      <c r="E1535" s="37" t="s">
        <v>1981</v>
      </c>
      <c r="F1535" s="39">
        <v>24</v>
      </c>
      <c r="G1535" s="49" t="s">
        <v>3568</v>
      </c>
      <c r="H1535" s="49" t="s">
        <v>3568</v>
      </c>
      <c r="I1535" s="49"/>
      <c r="J1535" s="40">
        <f>COUNTIF(System_configuration!B:B,A1535)</f>
        <v>0</v>
      </c>
    </row>
    <row r="1536" spans="1:10" s="29" customFormat="1" x14ac:dyDescent="0.2">
      <c r="A1536" s="83" t="s">
        <v>2420</v>
      </c>
      <c r="B1536" s="43" t="s">
        <v>1534</v>
      </c>
      <c r="C1536" s="39">
        <v>-40</v>
      </c>
      <c r="D1536" s="37" t="s">
        <v>572</v>
      </c>
      <c r="E1536" s="37" t="s">
        <v>932</v>
      </c>
      <c r="F1536" s="39">
        <v>12</v>
      </c>
      <c r="G1536" s="49" t="s">
        <v>3568</v>
      </c>
      <c r="H1536" s="49" t="s">
        <v>3568</v>
      </c>
      <c r="I1536" s="49"/>
      <c r="J1536" s="40">
        <f>COUNTIF(System_configuration!B:B,A1536)</f>
        <v>0</v>
      </c>
    </row>
    <row r="1537" spans="1:10" s="29" customFormat="1" x14ac:dyDescent="0.2">
      <c r="A1537" s="83" t="s">
        <v>2421</v>
      </c>
      <c r="B1537" s="43" t="s">
        <v>1534</v>
      </c>
      <c r="C1537" s="39">
        <v>-40</v>
      </c>
      <c r="D1537" s="37" t="s">
        <v>575</v>
      </c>
      <c r="E1537" s="37" t="s">
        <v>933</v>
      </c>
      <c r="F1537" s="39">
        <v>12</v>
      </c>
      <c r="G1537" s="49" t="s">
        <v>3568</v>
      </c>
      <c r="H1537" s="49" t="s">
        <v>3568</v>
      </c>
      <c r="I1537" s="49"/>
      <c r="J1537" s="40">
        <f>COUNTIF(System_configuration!B:B,A1537)</f>
        <v>0</v>
      </c>
    </row>
    <row r="1538" spans="1:10" s="29" customFormat="1" x14ac:dyDescent="0.2">
      <c r="A1538" s="83" t="s">
        <v>2422</v>
      </c>
      <c r="B1538" s="43" t="s">
        <v>1534</v>
      </c>
      <c r="C1538" s="39">
        <v>-55</v>
      </c>
      <c r="D1538" s="37" t="s">
        <v>1985</v>
      </c>
      <c r="E1538" s="37" t="s">
        <v>1986</v>
      </c>
      <c r="F1538" s="39">
        <v>12</v>
      </c>
      <c r="G1538" s="49"/>
      <c r="H1538" s="49"/>
      <c r="I1538" s="49"/>
      <c r="J1538" s="40">
        <f>COUNTIF(System_configuration!B:B,A1538)</f>
        <v>0</v>
      </c>
    </row>
    <row r="1539" spans="1:10" s="29" customFormat="1" x14ac:dyDescent="0.2">
      <c r="A1539" s="83" t="s">
        <v>2423</v>
      </c>
      <c r="B1539" s="43" t="s">
        <v>1534</v>
      </c>
      <c r="C1539" s="39">
        <v>-55</v>
      </c>
      <c r="D1539" s="37" t="s">
        <v>1988</v>
      </c>
      <c r="E1539" s="37" t="s">
        <v>1989</v>
      </c>
      <c r="F1539" s="39">
        <v>12</v>
      </c>
      <c r="G1539" s="49"/>
      <c r="H1539" s="49"/>
      <c r="I1539" s="49"/>
      <c r="J1539" s="40">
        <f>COUNTIF(System_configuration!B:B,A1539)</f>
        <v>0</v>
      </c>
    </row>
    <row r="1540" spans="1:10" s="29" customFormat="1" x14ac:dyDescent="0.2">
      <c r="A1540" s="83" t="s">
        <v>2424</v>
      </c>
      <c r="B1540" s="43" t="s">
        <v>1534</v>
      </c>
      <c r="C1540" s="39">
        <v>-65</v>
      </c>
      <c r="D1540" s="37" t="s">
        <v>1991</v>
      </c>
      <c r="E1540" s="37" t="s">
        <v>1992</v>
      </c>
      <c r="F1540" s="39">
        <v>12</v>
      </c>
      <c r="G1540" s="49"/>
      <c r="H1540" s="49"/>
      <c r="I1540" s="49"/>
      <c r="J1540" s="40">
        <f>COUNTIF(System_configuration!B:B,A1540)</f>
        <v>0</v>
      </c>
    </row>
    <row r="1541" spans="1:10" s="29" customFormat="1" x14ac:dyDescent="0.2">
      <c r="A1541" s="83" t="s">
        <v>2425</v>
      </c>
      <c r="B1541" s="43" t="s">
        <v>1534</v>
      </c>
      <c r="C1541" s="39">
        <v>-55</v>
      </c>
      <c r="D1541" s="37" t="s">
        <v>1994</v>
      </c>
      <c r="E1541" s="37" t="s">
        <v>1995</v>
      </c>
      <c r="F1541" s="39">
        <v>12</v>
      </c>
      <c r="G1541" s="49"/>
      <c r="H1541" s="49"/>
      <c r="I1541" s="49"/>
      <c r="J1541" s="40">
        <f>COUNTIF(System_configuration!B:B,A1541)</f>
        <v>0</v>
      </c>
    </row>
    <row r="1542" spans="1:10" s="29" customFormat="1" x14ac:dyDescent="0.2">
      <c r="A1542" s="83" t="s">
        <v>2426</v>
      </c>
      <c r="B1542" s="43" t="s">
        <v>1534</v>
      </c>
      <c r="C1542" s="39">
        <v>-65</v>
      </c>
      <c r="D1542" s="37" t="s">
        <v>1997</v>
      </c>
      <c r="E1542" s="37" t="s">
        <v>1998</v>
      </c>
      <c r="F1542" s="39">
        <v>12</v>
      </c>
      <c r="G1542" s="49"/>
      <c r="H1542" s="49"/>
      <c r="I1542" s="49"/>
      <c r="J1542" s="40">
        <f>COUNTIF(System_configuration!B:B,A1542)</f>
        <v>0</v>
      </c>
    </row>
    <row r="1543" spans="1:10" s="29" customFormat="1" x14ac:dyDescent="0.2">
      <c r="A1543" s="83" t="s">
        <v>2427</v>
      </c>
      <c r="B1543" s="43" t="s">
        <v>1534</v>
      </c>
      <c r="C1543" s="39">
        <v>-65</v>
      </c>
      <c r="D1543" s="37" t="s">
        <v>2000</v>
      </c>
      <c r="E1543" s="37" t="s">
        <v>2001</v>
      </c>
      <c r="F1543" s="39">
        <v>12</v>
      </c>
      <c r="G1543" s="49"/>
      <c r="H1543" s="49"/>
      <c r="I1543" s="49"/>
      <c r="J1543" s="40">
        <f>COUNTIF(System_configuration!B:B,A1543)</f>
        <v>0</v>
      </c>
    </row>
    <row r="1544" spans="1:10" s="29" customFormat="1" x14ac:dyDescent="0.2">
      <c r="A1544" s="83" t="s">
        <v>2428</v>
      </c>
      <c r="B1544" s="43" t="s">
        <v>1534</v>
      </c>
      <c r="C1544" s="39">
        <v>-55</v>
      </c>
      <c r="D1544" s="37" t="s">
        <v>152</v>
      </c>
      <c r="E1544" s="37" t="s">
        <v>2003</v>
      </c>
      <c r="F1544" s="39">
        <v>12</v>
      </c>
      <c r="G1544" s="49"/>
      <c r="H1544" s="49"/>
      <c r="I1544" s="49"/>
      <c r="J1544" s="40">
        <f>COUNTIF(System_configuration!B:B,A1544)</f>
        <v>0</v>
      </c>
    </row>
    <row r="1545" spans="1:10" s="29" customFormat="1" ht="25.5" x14ac:dyDescent="0.2">
      <c r="A1545" s="83" t="s">
        <v>2429</v>
      </c>
      <c r="B1545" s="43" t="s">
        <v>1534</v>
      </c>
      <c r="C1545" s="39">
        <v>-55</v>
      </c>
      <c r="D1545" s="37" t="s">
        <v>2005</v>
      </c>
      <c r="E1545" s="37" t="s">
        <v>2006</v>
      </c>
      <c r="F1545" s="39">
        <v>12</v>
      </c>
      <c r="G1545" s="49" t="s">
        <v>3568</v>
      </c>
      <c r="H1545" s="49" t="s">
        <v>3568</v>
      </c>
      <c r="I1545" s="49"/>
      <c r="J1545" s="40">
        <f>COUNTIF(System_configuration!B:B,A1545)</f>
        <v>0</v>
      </c>
    </row>
    <row r="1546" spans="1:10" s="29" customFormat="1" x14ac:dyDescent="0.2">
      <c r="A1546" s="83" t="s">
        <v>2430</v>
      </c>
      <c r="B1546" s="43" t="s">
        <v>1534</v>
      </c>
      <c r="C1546" s="39">
        <v>-55</v>
      </c>
      <c r="D1546" s="37" t="s">
        <v>2018</v>
      </c>
      <c r="E1546" s="37" t="s">
        <v>2019</v>
      </c>
      <c r="F1546" s="39">
        <v>12</v>
      </c>
      <c r="G1546" s="49" t="s">
        <v>3568</v>
      </c>
      <c r="H1546" s="49" t="s">
        <v>3568</v>
      </c>
      <c r="I1546" s="49"/>
      <c r="J1546" s="40">
        <f>COUNTIF(System_configuration!B:B,A1546)</f>
        <v>0</v>
      </c>
    </row>
    <row r="1547" spans="1:10" s="29" customFormat="1" x14ac:dyDescent="0.2">
      <c r="A1547" s="83" t="s">
        <v>2431</v>
      </c>
      <c r="B1547" s="43" t="s">
        <v>1534</v>
      </c>
      <c r="C1547" s="39">
        <v>-55</v>
      </c>
      <c r="D1547" s="37" t="s">
        <v>2024</v>
      </c>
      <c r="E1547" s="37" t="s">
        <v>2025</v>
      </c>
      <c r="F1547" s="39">
        <v>12</v>
      </c>
      <c r="G1547" s="49" t="s">
        <v>3568</v>
      </c>
      <c r="H1547" s="49" t="s">
        <v>3568</v>
      </c>
      <c r="I1547" s="49"/>
      <c r="J1547" s="40">
        <f>COUNTIF(System_configuration!B:B,A1547)</f>
        <v>0</v>
      </c>
    </row>
    <row r="1548" spans="1:10" s="29" customFormat="1" x14ac:dyDescent="0.2">
      <c r="A1548" s="83" t="s">
        <v>2432</v>
      </c>
      <c r="B1548" s="43" t="s">
        <v>1534</v>
      </c>
      <c r="C1548" s="39">
        <v>0</v>
      </c>
      <c r="D1548" s="37" t="s">
        <v>205</v>
      </c>
      <c r="E1548" s="37" t="s">
        <v>2076</v>
      </c>
      <c r="F1548" s="39">
        <v>12</v>
      </c>
      <c r="G1548" s="49" t="s">
        <v>3567</v>
      </c>
      <c r="H1548" s="49" t="s">
        <v>3567</v>
      </c>
      <c r="I1548" s="49" t="s">
        <v>3567</v>
      </c>
      <c r="J1548" s="40">
        <f>COUNTIF(System_configuration!B:B,A1548)</f>
        <v>0</v>
      </c>
    </row>
    <row r="1549" spans="1:10" s="29" customFormat="1" x14ac:dyDescent="0.2">
      <c r="A1549" s="83" t="s">
        <v>2433</v>
      </c>
      <c r="B1549" s="43" t="s">
        <v>1534</v>
      </c>
      <c r="C1549" s="39">
        <v>-10</v>
      </c>
      <c r="D1549" s="37" t="s">
        <v>184</v>
      </c>
      <c r="E1549" s="37" t="s">
        <v>965</v>
      </c>
      <c r="F1549" s="39">
        <v>12</v>
      </c>
      <c r="G1549" s="49" t="s">
        <v>3567</v>
      </c>
      <c r="H1549" s="49" t="s">
        <v>3567</v>
      </c>
      <c r="I1549" s="49" t="s">
        <v>3567</v>
      </c>
      <c r="J1549" s="40">
        <f>COUNTIF(System_configuration!B:B,A1549)</f>
        <v>0</v>
      </c>
    </row>
    <row r="1550" spans="1:10" s="29" customFormat="1" x14ac:dyDescent="0.2">
      <c r="A1550" s="83" t="s">
        <v>2434</v>
      </c>
      <c r="B1550" s="43" t="s">
        <v>1534</v>
      </c>
      <c r="C1550" s="39">
        <v>0</v>
      </c>
      <c r="D1550" s="37" t="s">
        <v>2078</v>
      </c>
      <c r="E1550" s="37" t="s">
        <v>966</v>
      </c>
      <c r="F1550" s="39">
        <v>12</v>
      </c>
      <c r="G1550" s="49" t="s">
        <v>3567</v>
      </c>
      <c r="H1550" s="49" t="s">
        <v>3567</v>
      </c>
      <c r="I1550" s="49" t="s">
        <v>3567</v>
      </c>
      <c r="J1550" s="40">
        <f>COUNTIF(System_configuration!B:B,A1550)</f>
        <v>0</v>
      </c>
    </row>
    <row r="1551" spans="1:10" s="29" customFormat="1" x14ac:dyDescent="0.2">
      <c r="A1551" s="83" t="s">
        <v>2435</v>
      </c>
      <c r="B1551" s="43" t="s">
        <v>1534</v>
      </c>
      <c r="C1551" s="39">
        <v>-10</v>
      </c>
      <c r="D1551" s="37" t="s">
        <v>183</v>
      </c>
      <c r="E1551" s="37" t="s">
        <v>967</v>
      </c>
      <c r="F1551" s="39">
        <v>12</v>
      </c>
      <c r="G1551" s="49" t="s">
        <v>3567</v>
      </c>
      <c r="H1551" s="49" t="s">
        <v>3567</v>
      </c>
      <c r="I1551" s="49" t="s">
        <v>3567</v>
      </c>
      <c r="J1551" s="40">
        <f>COUNTIF(System_configuration!B:B,A1551)</f>
        <v>0</v>
      </c>
    </row>
    <row r="1552" spans="1:10" s="29" customFormat="1" x14ac:dyDescent="0.2">
      <c r="A1552" s="83" t="s">
        <v>2436</v>
      </c>
      <c r="B1552" s="43" t="s">
        <v>1534</v>
      </c>
      <c r="C1552" s="39">
        <v>0</v>
      </c>
      <c r="D1552" s="37" t="s">
        <v>198</v>
      </c>
      <c r="E1552" s="37" t="s">
        <v>968</v>
      </c>
      <c r="F1552" s="39">
        <v>12</v>
      </c>
      <c r="G1552" s="49" t="s">
        <v>3568</v>
      </c>
      <c r="H1552" s="49" t="s">
        <v>3568</v>
      </c>
      <c r="I1552" s="49" t="s">
        <v>3568</v>
      </c>
      <c r="J1552" s="40">
        <f>COUNTIF(System_configuration!B:B,A1552)</f>
        <v>0</v>
      </c>
    </row>
    <row r="1553" spans="1:10" s="29" customFormat="1" x14ac:dyDescent="0.2">
      <c r="A1553" s="83" t="s">
        <v>2437</v>
      </c>
      <c r="B1553" s="43" t="s">
        <v>1534</v>
      </c>
      <c r="C1553" s="39">
        <v>0</v>
      </c>
      <c r="D1553" s="37" t="s">
        <v>199</v>
      </c>
      <c r="E1553" s="37" t="s">
        <v>970</v>
      </c>
      <c r="F1553" s="39">
        <v>12</v>
      </c>
      <c r="G1553" s="49" t="s">
        <v>3568</v>
      </c>
      <c r="H1553" s="49" t="s">
        <v>3568</v>
      </c>
      <c r="I1553" s="49"/>
      <c r="J1553" s="40">
        <f>COUNTIF(System_configuration!B:B,A1553)</f>
        <v>0</v>
      </c>
    </row>
    <row r="1554" spans="1:10" s="29" customFormat="1" x14ac:dyDescent="0.2">
      <c r="A1554" s="83" t="s">
        <v>2438</v>
      </c>
      <c r="B1554" s="43" t="s">
        <v>1534</v>
      </c>
      <c r="C1554" s="39">
        <v>0</v>
      </c>
      <c r="D1554" s="37" t="s">
        <v>203</v>
      </c>
      <c r="E1554" s="37" t="s">
        <v>971</v>
      </c>
      <c r="F1554" s="39">
        <v>12</v>
      </c>
      <c r="G1554" s="49" t="s">
        <v>3568</v>
      </c>
      <c r="H1554" s="49" t="s">
        <v>3568</v>
      </c>
      <c r="I1554" s="49"/>
      <c r="J1554" s="40">
        <f>COUNTIF(System_configuration!B:B,A1554)</f>
        <v>0</v>
      </c>
    </row>
    <row r="1555" spans="1:10" s="29" customFormat="1" x14ac:dyDescent="0.2">
      <c r="A1555" s="83" t="s">
        <v>2439</v>
      </c>
      <c r="B1555" s="43" t="s">
        <v>1534</v>
      </c>
      <c r="C1555" s="39">
        <v>0</v>
      </c>
      <c r="D1555" s="37" t="s">
        <v>204</v>
      </c>
      <c r="E1555" s="37" t="s">
        <v>972</v>
      </c>
      <c r="F1555" s="39">
        <v>12</v>
      </c>
      <c r="G1555" s="49" t="s">
        <v>3568</v>
      </c>
      <c r="H1555" s="49" t="s">
        <v>3568</v>
      </c>
      <c r="I1555" s="49"/>
      <c r="J1555" s="40">
        <f>COUNTIF(System_configuration!B:B,A1555)</f>
        <v>0</v>
      </c>
    </row>
    <row r="1556" spans="1:10" s="29" customFormat="1" x14ac:dyDescent="0.2">
      <c r="A1556" s="83" t="s">
        <v>2440</v>
      </c>
      <c r="B1556" s="43" t="s">
        <v>1534</v>
      </c>
      <c r="C1556" s="39">
        <v>0</v>
      </c>
      <c r="D1556" s="37" t="s">
        <v>621</v>
      </c>
      <c r="E1556" s="37" t="s">
        <v>975</v>
      </c>
      <c r="F1556" s="39">
        <v>12</v>
      </c>
      <c r="G1556" s="49" t="s">
        <v>3567</v>
      </c>
      <c r="H1556" s="49" t="s">
        <v>3567</v>
      </c>
      <c r="I1556" s="49" t="s">
        <v>3567</v>
      </c>
      <c r="J1556" s="40">
        <f>COUNTIF(System_configuration!B:B,A1556)</f>
        <v>0</v>
      </c>
    </row>
    <row r="1557" spans="1:10" s="29" customFormat="1" x14ac:dyDescent="0.2">
      <c r="A1557" s="83" t="s">
        <v>2441</v>
      </c>
      <c r="B1557" s="43" t="s">
        <v>1534</v>
      </c>
      <c r="C1557" s="39">
        <v>0</v>
      </c>
      <c r="D1557" s="37" t="s">
        <v>2092</v>
      </c>
      <c r="E1557" s="37" t="s">
        <v>2093</v>
      </c>
      <c r="F1557" s="39">
        <v>12</v>
      </c>
      <c r="G1557" s="49" t="s">
        <v>3568</v>
      </c>
      <c r="H1557" s="49" t="s">
        <v>3568</v>
      </c>
      <c r="I1557" s="49"/>
      <c r="J1557" s="40">
        <f>COUNTIF(System_configuration!B:B,A1557)</f>
        <v>0</v>
      </c>
    </row>
    <row r="1558" spans="1:10" s="29" customFormat="1" x14ac:dyDescent="0.2">
      <c r="A1558" s="83" t="s">
        <v>2442</v>
      </c>
      <c r="B1558" s="43" t="s">
        <v>1534</v>
      </c>
      <c r="C1558" s="39">
        <v>0</v>
      </c>
      <c r="D1558" s="37" t="s">
        <v>2101</v>
      </c>
      <c r="E1558" s="37" t="s">
        <v>2102</v>
      </c>
      <c r="F1558" s="39">
        <v>12</v>
      </c>
      <c r="G1558" s="49" t="s">
        <v>3568</v>
      </c>
      <c r="H1558" s="49" t="s">
        <v>3568</v>
      </c>
      <c r="I1558" s="49"/>
      <c r="J1558" s="40">
        <f>COUNTIF(System_configuration!B:B,A1558)</f>
        <v>0</v>
      </c>
    </row>
    <row r="1559" spans="1:10" s="29" customFormat="1" x14ac:dyDescent="0.2">
      <c r="A1559" s="83" t="s">
        <v>2443</v>
      </c>
      <c r="B1559" s="43" t="s">
        <v>1534</v>
      </c>
      <c r="C1559" s="39">
        <v>0</v>
      </c>
      <c r="D1559" s="37" t="s">
        <v>2104</v>
      </c>
      <c r="E1559" s="37" t="s">
        <v>2105</v>
      </c>
      <c r="F1559" s="39">
        <v>12</v>
      </c>
      <c r="G1559" s="49" t="s">
        <v>3568</v>
      </c>
      <c r="H1559" s="49" t="s">
        <v>3568</v>
      </c>
      <c r="I1559" s="49"/>
      <c r="J1559" s="40">
        <f>COUNTIF(System_configuration!B:B,A1559)</f>
        <v>0</v>
      </c>
    </row>
    <row r="1560" spans="1:10" s="29" customFormat="1" x14ac:dyDescent="0.2">
      <c r="A1560" s="83" t="s">
        <v>2444</v>
      </c>
      <c r="B1560" s="43" t="s">
        <v>1534</v>
      </c>
      <c r="C1560" s="39">
        <v>0</v>
      </c>
      <c r="D1560" s="37" t="s">
        <v>2107</v>
      </c>
      <c r="E1560" s="37" t="s">
        <v>2108</v>
      </c>
      <c r="F1560" s="39">
        <v>12</v>
      </c>
      <c r="G1560" s="49" t="s">
        <v>3568</v>
      </c>
      <c r="H1560" s="49" t="s">
        <v>3568</v>
      </c>
      <c r="I1560" s="49"/>
      <c r="J1560" s="40">
        <f>COUNTIF(System_configuration!B:B,A1560)</f>
        <v>0</v>
      </c>
    </row>
    <row r="1561" spans="1:10" s="29" customFormat="1" x14ac:dyDescent="0.2">
      <c r="A1561" s="83" t="s">
        <v>2445</v>
      </c>
      <c r="B1561" s="43" t="s">
        <v>1534</v>
      </c>
      <c r="C1561" s="39">
        <v>2000</v>
      </c>
      <c r="D1561" s="37" t="s">
        <v>2115</v>
      </c>
      <c r="E1561" s="37" t="s">
        <v>2116</v>
      </c>
      <c r="F1561" s="39">
        <v>12</v>
      </c>
      <c r="G1561" s="49" t="s">
        <v>3567</v>
      </c>
      <c r="H1561" s="49" t="s">
        <v>3567</v>
      </c>
      <c r="I1561" s="49" t="s">
        <v>3567</v>
      </c>
      <c r="J1561" s="40">
        <f>COUNTIF(System_configuration!B:B,A1561)</f>
        <v>0</v>
      </c>
    </row>
    <row r="1562" spans="1:10" s="29" customFormat="1" x14ac:dyDescent="0.2">
      <c r="A1562" s="83" t="s">
        <v>2446</v>
      </c>
      <c r="B1562" s="43" t="s">
        <v>1534</v>
      </c>
      <c r="C1562" s="39">
        <v>0</v>
      </c>
      <c r="D1562" s="37" t="s">
        <v>628</v>
      </c>
      <c r="E1562" s="37" t="s">
        <v>984</v>
      </c>
      <c r="F1562" s="39">
        <v>12</v>
      </c>
      <c r="G1562" s="49" t="s">
        <v>3567</v>
      </c>
      <c r="H1562" s="49" t="s">
        <v>3567</v>
      </c>
      <c r="I1562" s="49" t="s">
        <v>3567</v>
      </c>
      <c r="J1562" s="40">
        <f>COUNTIF(System_configuration!B:B,A1562)</f>
        <v>0</v>
      </c>
    </row>
    <row r="1563" spans="1:10" s="29" customFormat="1" x14ac:dyDescent="0.2">
      <c r="A1563" s="83" t="s">
        <v>2447</v>
      </c>
      <c r="B1563" s="43" t="s">
        <v>1534</v>
      </c>
      <c r="C1563" s="39">
        <v>0</v>
      </c>
      <c r="D1563" s="37" t="s">
        <v>630</v>
      </c>
      <c r="E1563" s="37" t="s">
        <v>985</v>
      </c>
      <c r="F1563" s="39">
        <v>12</v>
      </c>
      <c r="G1563" s="49" t="s">
        <v>3567</v>
      </c>
      <c r="H1563" s="49" t="s">
        <v>3567</v>
      </c>
      <c r="I1563" s="49" t="s">
        <v>3567</v>
      </c>
      <c r="J1563" s="40">
        <f>COUNTIF(System_configuration!B:B,A1563)</f>
        <v>0</v>
      </c>
    </row>
    <row r="1564" spans="1:10" s="29" customFormat="1" x14ac:dyDescent="0.2">
      <c r="A1564" s="83" t="s">
        <v>2448</v>
      </c>
      <c r="B1564" s="43" t="s">
        <v>1534</v>
      </c>
      <c r="C1564" s="39">
        <v>0</v>
      </c>
      <c r="D1564" s="37" t="s">
        <v>632</v>
      </c>
      <c r="E1564" s="37" t="s">
        <v>986</v>
      </c>
      <c r="F1564" s="39">
        <v>12</v>
      </c>
      <c r="G1564" s="49" t="s">
        <v>3567</v>
      </c>
      <c r="H1564" s="49" t="s">
        <v>3567</v>
      </c>
      <c r="I1564" s="49" t="s">
        <v>3567</v>
      </c>
      <c r="J1564" s="40">
        <f>COUNTIF(System_configuration!B:B,A1564)</f>
        <v>0</v>
      </c>
    </row>
    <row r="1565" spans="1:10" s="29" customFormat="1" x14ac:dyDescent="0.2">
      <c r="A1565" s="83" t="s">
        <v>2449</v>
      </c>
      <c r="B1565" s="43" t="s">
        <v>1534</v>
      </c>
      <c r="C1565" s="39">
        <v>0</v>
      </c>
      <c r="D1565" s="37" t="s">
        <v>634</v>
      </c>
      <c r="E1565" s="37" t="s">
        <v>987</v>
      </c>
      <c r="F1565" s="39">
        <v>12</v>
      </c>
      <c r="G1565" s="49" t="s">
        <v>3567</v>
      </c>
      <c r="H1565" s="49" t="s">
        <v>3567</v>
      </c>
      <c r="I1565" s="49" t="s">
        <v>3567</v>
      </c>
      <c r="J1565" s="40">
        <f>COUNTIF(System_configuration!B:B,A1565)</f>
        <v>0</v>
      </c>
    </row>
    <row r="1566" spans="1:10" s="29" customFormat="1" x14ac:dyDescent="0.2">
      <c r="A1566" s="83" t="s">
        <v>2450</v>
      </c>
      <c r="B1566" s="43" t="s">
        <v>1534</v>
      </c>
      <c r="C1566" s="39">
        <v>0</v>
      </c>
      <c r="D1566" s="37" t="s">
        <v>636</v>
      </c>
      <c r="E1566" s="37" t="s">
        <v>988</v>
      </c>
      <c r="F1566" s="39">
        <v>12</v>
      </c>
      <c r="G1566" s="49" t="s">
        <v>3567</v>
      </c>
      <c r="H1566" s="49" t="s">
        <v>3567</v>
      </c>
      <c r="I1566" s="49" t="s">
        <v>3567</v>
      </c>
      <c r="J1566" s="40">
        <f>COUNTIF(System_configuration!B:B,A1566)</f>
        <v>0</v>
      </c>
    </row>
    <row r="1567" spans="1:10" s="29" customFormat="1" x14ac:dyDescent="0.2">
      <c r="A1567" s="83" t="s">
        <v>2451</v>
      </c>
      <c r="B1567" s="43" t="s">
        <v>1534</v>
      </c>
      <c r="C1567" s="39">
        <v>0</v>
      </c>
      <c r="D1567" s="37" t="s">
        <v>207</v>
      </c>
      <c r="E1567" s="37" t="s">
        <v>989</v>
      </c>
      <c r="F1567" s="39">
        <v>12</v>
      </c>
      <c r="G1567" s="49" t="s">
        <v>3567</v>
      </c>
      <c r="H1567" s="49" t="s">
        <v>3567</v>
      </c>
      <c r="I1567" s="49"/>
      <c r="J1567" s="40">
        <f>COUNTIF(System_configuration!B:B,A1567)</f>
        <v>0</v>
      </c>
    </row>
    <row r="1568" spans="1:10" s="29" customFormat="1" x14ac:dyDescent="0.2">
      <c r="A1568" s="83" t="s">
        <v>2452</v>
      </c>
      <c r="B1568" s="43" t="s">
        <v>1534</v>
      </c>
      <c r="C1568" s="39">
        <v>-10</v>
      </c>
      <c r="D1568" s="37" t="s">
        <v>2124</v>
      </c>
      <c r="E1568" s="37" t="s">
        <v>2125</v>
      </c>
      <c r="F1568" s="39">
        <v>24</v>
      </c>
      <c r="G1568" s="49" t="s">
        <v>3567</v>
      </c>
      <c r="H1568" s="49" t="s">
        <v>3567</v>
      </c>
      <c r="I1568" s="49"/>
      <c r="J1568" s="40">
        <f>COUNTIF(System_configuration!B:B,A1568)</f>
        <v>0</v>
      </c>
    </row>
    <row r="1569" spans="1:10" s="29" customFormat="1" x14ac:dyDescent="0.2">
      <c r="A1569" s="83" t="s">
        <v>2453</v>
      </c>
      <c r="B1569" s="43" t="s">
        <v>1534</v>
      </c>
      <c r="C1569" s="39">
        <v>0</v>
      </c>
      <c r="D1569" s="37" t="s">
        <v>640</v>
      </c>
      <c r="E1569" s="37" t="s">
        <v>990</v>
      </c>
      <c r="F1569" s="39">
        <v>12</v>
      </c>
      <c r="G1569" s="49" t="s">
        <v>3568</v>
      </c>
      <c r="H1569" s="49" t="s">
        <v>3568</v>
      </c>
      <c r="I1569" s="49" t="s">
        <v>3568</v>
      </c>
      <c r="J1569" s="40">
        <f>COUNTIF(System_configuration!B:B,A1569)</f>
        <v>0</v>
      </c>
    </row>
    <row r="1570" spans="1:10" s="29" customFormat="1" x14ac:dyDescent="0.2">
      <c r="A1570" s="83" t="s">
        <v>2454</v>
      </c>
      <c r="B1570" s="43" t="s">
        <v>1534</v>
      </c>
      <c r="C1570" s="39">
        <v>0</v>
      </c>
      <c r="D1570" s="37" t="s">
        <v>2131</v>
      </c>
      <c r="E1570" s="37" t="s">
        <v>991</v>
      </c>
      <c r="F1570" s="39">
        <v>12</v>
      </c>
      <c r="G1570" s="49" t="s">
        <v>3567</v>
      </c>
      <c r="H1570" s="49" t="s">
        <v>3567</v>
      </c>
      <c r="I1570" s="49"/>
      <c r="J1570" s="40">
        <f>COUNTIF(System_configuration!B:B,A1570)</f>
        <v>0</v>
      </c>
    </row>
    <row r="1571" spans="1:10" s="29" customFormat="1" x14ac:dyDescent="0.2">
      <c r="A1571" s="83" t="s">
        <v>2455</v>
      </c>
      <c r="B1571" s="43" t="s">
        <v>1534</v>
      </c>
      <c r="C1571" s="39">
        <v>0</v>
      </c>
      <c r="D1571" s="37" t="s">
        <v>2133</v>
      </c>
      <c r="E1571" s="37" t="s">
        <v>992</v>
      </c>
      <c r="F1571" s="39">
        <v>12</v>
      </c>
      <c r="G1571" s="49" t="s">
        <v>3567</v>
      </c>
      <c r="H1571" s="49" t="s">
        <v>3567</v>
      </c>
      <c r="I1571" s="49" t="s">
        <v>3567</v>
      </c>
      <c r="J1571" s="40">
        <f>COUNTIF(System_configuration!B:B,A1571)</f>
        <v>0</v>
      </c>
    </row>
    <row r="1572" spans="1:10" s="29" customFormat="1" x14ac:dyDescent="0.2">
      <c r="A1572" s="83" t="s">
        <v>2456</v>
      </c>
      <c r="B1572" s="43" t="s">
        <v>1534</v>
      </c>
      <c r="C1572" s="39">
        <v>0</v>
      </c>
      <c r="D1572" s="37" t="s">
        <v>647</v>
      </c>
      <c r="E1572" s="37" t="s">
        <v>993</v>
      </c>
      <c r="F1572" s="39">
        <v>12</v>
      </c>
      <c r="G1572" s="49" t="s">
        <v>3568</v>
      </c>
      <c r="H1572" s="49" t="s">
        <v>3568</v>
      </c>
      <c r="I1572" s="49"/>
      <c r="J1572" s="40">
        <f>COUNTIF(System_configuration!B:B,A1572)</f>
        <v>0</v>
      </c>
    </row>
    <row r="1573" spans="1:10" s="29" customFormat="1" x14ac:dyDescent="0.2">
      <c r="A1573" s="83" t="s">
        <v>2457</v>
      </c>
      <c r="B1573" s="43" t="s">
        <v>1534</v>
      </c>
      <c r="C1573" s="39">
        <v>500</v>
      </c>
      <c r="D1573" s="37" t="s">
        <v>2458</v>
      </c>
      <c r="E1573" s="37" t="s">
        <v>2459</v>
      </c>
      <c r="F1573" s="39">
        <v>21</v>
      </c>
      <c r="G1573" s="49" t="s">
        <v>3569</v>
      </c>
      <c r="H1573" s="49" t="s">
        <v>3569</v>
      </c>
      <c r="I1573" s="49" t="s">
        <v>3569</v>
      </c>
      <c r="J1573" s="40">
        <f>COUNTIF(System_configuration!B:B,A1573)</f>
        <v>0</v>
      </c>
    </row>
    <row r="1574" spans="1:10" s="29" customFormat="1" x14ac:dyDescent="0.2">
      <c r="A1574" s="83" t="s">
        <v>2460</v>
      </c>
      <c r="B1574" s="43" t="s">
        <v>1534</v>
      </c>
      <c r="C1574" s="39">
        <v>500</v>
      </c>
      <c r="D1574" s="37" t="s">
        <v>2461</v>
      </c>
      <c r="E1574" s="37" t="s">
        <v>2462</v>
      </c>
      <c r="F1574" s="39">
        <v>21</v>
      </c>
      <c r="G1574" s="49" t="s">
        <v>3569</v>
      </c>
      <c r="H1574" s="49" t="s">
        <v>3569</v>
      </c>
      <c r="I1574" s="49" t="s">
        <v>3569</v>
      </c>
      <c r="J1574" s="40">
        <f>COUNTIF(System_configuration!B:B,A1574)</f>
        <v>0</v>
      </c>
    </row>
    <row r="1575" spans="1:10" s="29" customFormat="1" x14ac:dyDescent="0.2">
      <c r="A1575" s="83" t="s">
        <v>2463</v>
      </c>
      <c r="B1575" s="43" t="s">
        <v>1534</v>
      </c>
      <c r="C1575" s="39">
        <v>500</v>
      </c>
      <c r="D1575" s="37" t="s">
        <v>2464</v>
      </c>
      <c r="E1575" s="37" t="s">
        <v>2465</v>
      </c>
      <c r="F1575" s="39">
        <v>21</v>
      </c>
      <c r="G1575" s="49" t="s">
        <v>3569</v>
      </c>
      <c r="H1575" s="49" t="s">
        <v>3569</v>
      </c>
      <c r="I1575" s="49" t="s">
        <v>3569</v>
      </c>
      <c r="J1575" s="40">
        <f>COUNTIF(System_configuration!B:B,A1575)</f>
        <v>0</v>
      </c>
    </row>
    <row r="1576" spans="1:10" s="29" customFormat="1" x14ac:dyDescent="0.2">
      <c r="A1576" s="30"/>
      <c r="B1576" s="40"/>
      <c r="C1576" s="40"/>
      <c r="D1576" s="30"/>
      <c r="E1576" s="30"/>
      <c r="F1576" s="40"/>
      <c r="G1576" s="51"/>
      <c r="H1576" s="51"/>
      <c r="I1576" s="51"/>
      <c r="J1576" s="40"/>
    </row>
    <row r="1577" spans="1:10" s="29" customFormat="1" x14ac:dyDescent="0.2">
      <c r="A1577" s="36"/>
      <c r="B1577" s="39"/>
      <c r="C1577" s="39"/>
      <c r="D1577" s="37"/>
      <c r="E1577" s="37"/>
      <c r="F1577" s="39"/>
      <c r="G1577" s="49"/>
      <c r="H1577" s="49"/>
      <c r="I1577" s="49"/>
      <c r="J1577" s="40"/>
    </row>
    <row r="1578" spans="1:10" s="29" customFormat="1" x14ac:dyDescent="0.2">
      <c r="A1578" s="36"/>
      <c r="B1578" s="39"/>
      <c r="C1578" s="39"/>
      <c r="D1578" s="37"/>
      <c r="E1578" s="37"/>
      <c r="F1578" s="39"/>
      <c r="G1578" s="49"/>
      <c r="H1578" s="49"/>
      <c r="I1578" s="49"/>
      <c r="J1578" s="40"/>
    </row>
    <row r="1579" spans="1:10" s="29" customFormat="1" x14ac:dyDescent="0.2">
      <c r="A1579" s="36"/>
      <c r="B1579" s="39"/>
      <c r="C1579" s="39"/>
      <c r="D1579" s="37"/>
      <c r="E1579" s="37"/>
      <c r="F1579" s="39"/>
      <c r="G1579" s="49"/>
      <c r="H1579" s="49"/>
      <c r="I1579" s="49"/>
      <c r="J1579" s="40"/>
    </row>
    <row r="1580" spans="1:10" s="29" customFormat="1" x14ac:dyDescent="0.2">
      <c r="A1580" s="30"/>
      <c r="B1580" s="40"/>
      <c r="C1580" s="40"/>
      <c r="D1580" s="30"/>
      <c r="E1580" s="30"/>
      <c r="F1580" s="40"/>
      <c r="G1580" s="51"/>
      <c r="H1580" s="51"/>
      <c r="I1580" s="51"/>
      <c r="J1580" s="40"/>
    </row>
    <row r="1581" spans="1:10" s="29" customFormat="1" x14ac:dyDescent="0.2">
      <c r="A1581" s="30"/>
      <c r="B1581" s="40"/>
      <c r="C1581" s="40"/>
      <c r="D1581" s="30"/>
      <c r="E1581" s="30"/>
      <c r="F1581" s="40"/>
      <c r="G1581" s="51"/>
      <c r="H1581" s="51"/>
      <c r="I1581" s="51"/>
      <c r="J1581" s="40"/>
    </row>
    <row r="1582" spans="1:10" s="29" customFormat="1" x14ac:dyDescent="0.2">
      <c r="A1582" s="36"/>
      <c r="B1582" s="39"/>
      <c r="C1582" s="39"/>
      <c r="D1582" s="37"/>
      <c r="E1582" s="37"/>
      <c r="F1582" s="39"/>
      <c r="G1582" s="49"/>
      <c r="H1582" s="49"/>
      <c r="I1582" s="49"/>
      <c r="J1582" s="40"/>
    </row>
    <row r="1583" spans="1:10" s="29" customFormat="1" x14ac:dyDescent="0.2">
      <c r="A1583" s="36"/>
      <c r="B1583" s="39"/>
      <c r="C1583" s="39"/>
      <c r="D1583" s="37"/>
      <c r="E1583" s="37"/>
      <c r="F1583" s="39"/>
      <c r="G1583" s="49"/>
      <c r="H1583" s="49"/>
      <c r="I1583" s="49"/>
      <c r="J1583" s="40"/>
    </row>
    <row r="1584" spans="1:10" s="29" customFormat="1" x14ac:dyDescent="0.2">
      <c r="A1584" s="36"/>
      <c r="B1584" s="39"/>
      <c r="C1584" s="39"/>
      <c r="D1584" s="37"/>
      <c r="E1584" s="37"/>
      <c r="F1584" s="39"/>
      <c r="G1584" s="49"/>
      <c r="H1584" s="49"/>
      <c r="I1584" s="49"/>
      <c r="J1584" s="40"/>
    </row>
    <row r="1585" spans="1:10" s="29" customFormat="1" x14ac:dyDescent="0.2">
      <c r="A1585" s="36"/>
      <c r="B1585" s="39"/>
      <c r="C1585" s="39"/>
      <c r="D1585" s="37"/>
      <c r="E1585" s="37"/>
      <c r="F1585" s="39"/>
      <c r="G1585" s="49"/>
      <c r="H1585" s="49"/>
      <c r="I1585" s="49"/>
      <c r="J1585" s="40"/>
    </row>
    <row r="1586" spans="1:10" s="29" customFormat="1" x14ac:dyDescent="0.2">
      <c r="A1586" s="36"/>
      <c r="B1586" s="39"/>
      <c r="C1586" s="39"/>
      <c r="D1586" s="37"/>
      <c r="E1586" s="37"/>
      <c r="F1586" s="39"/>
      <c r="G1586" s="49"/>
      <c r="H1586" s="49"/>
      <c r="I1586" s="49"/>
      <c r="J1586" s="40"/>
    </row>
    <row r="1587" spans="1:10" s="29" customFormat="1" x14ac:dyDescent="0.2">
      <c r="A1587" s="36"/>
      <c r="B1587" s="39"/>
      <c r="C1587" s="39"/>
      <c r="D1587" s="37"/>
      <c r="E1587" s="37"/>
      <c r="F1587" s="39"/>
      <c r="G1587" s="49"/>
      <c r="H1587" s="49"/>
      <c r="I1587" s="49"/>
      <c r="J1587" s="40"/>
    </row>
    <row r="1588" spans="1:10" s="29" customFormat="1" x14ac:dyDescent="0.2">
      <c r="A1588" s="36"/>
      <c r="B1588" s="39"/>
      <c r="C1588" s="39"/>
      <c r="D1588" s="37"/>
      <c r="E1588" s="37"/>
      <c r="F1588" s="39"/>
      <c r="G1588" s="49"/>
      <c r="H1588" s="49"/>
      <c r="I1588" s="49"/>
      <c r="J1588" s="40"/>
    </row>
    <row r="1589" spans="1:10" s="29" customFormat="1" x14ac:dyDescent="0.2">
      <c r="A1589" s="36"/>
      <c r="B1589" s="39"/>
      <c r="C1589" s="39"/>
      <c r="D1589" s="37"/>
      <c r="E1589" s="37"/>
      <c r="F1589" s="39"/>
      <c r="G1589" s="49"/>
      <c r="H1589" s="49"/>
      <c r="I1589" s="49"/>
      <c r="J1589" s="40"/>
    </row>
    <row r="1590" spans="1:10" s="29" customFormat="1" x14ac:dyDescent="0.2">
      <c r="A1590" s="36"/>
      <c r="B1590" s="39"/>
      <c r="C1590" s="39"/>
      <c r="D1590" s="37"/>
      <c r="E1590" s="37"/>
      <c r="F1590" s="39"/>
      <c r="G1590" s="49"/>
      <c r="H1590" s="49"/>
      <c r="I1590" s="49"/>
      <c r="J1590" s="40"/>
    </row>
    <row r="1591" spans="1:10" s="29" customFormat="1" x14ac:dyDescent="0.2">
      <c r="A1591" s="36"/>
      <c r="B1591" s="39"/>
      <c r="C1591" s="39"/>
      <c r="D1591" s="37"/>
      <c r="E1591" s="37"/>
      <c r="F1591" s="39"/>
      <c r="G1591" s="49"/>
      <c r="H1591" s="49"/>
      <c r="I1591" s="49"/>
      <c r="J1591" s="40"/>
    </row>
    <row r="1592" spans="1:10" s="29" customFormat="1" x14ac:dyDescent="0.2">
      <c r="A1592" s="36"/>
      <c r="B1592" s="39"/>
      <c r="C1592" s="39"/>
      <c r="D1592" s="37"/>
      <c r="E1592" s="37"/>
      <c r="F1592" s="39"/>
      <c r="G1592" s="49"/>
      <c r="H1592" s="49"/>
      <c r="I1592" s="49"/>
      <c r="J1592" s="40"/>
    </row>
    <row r="1593" spans="1:10" s="29" customFormat="1" x14ac:dyDescent="0.2">
      <c r="A1593" s="36"/>
      <c r="B1593" s="39"/>
      <c r="C1593" s="39"/>
      <c r="D1593" s="37"/>
      <c r="E1593" s="37"/>
      <c r="F1593" s="39"/>
      <c r="G1593" s="49"/>
      <c r="H1593" s="49"/>
      <c r="I1593" s="49"/>
      <c r="J1593" s="40"/>
    </row>
    <row r="1594" spans="1:10" s="29" customFormat="1" x14ac:dyDescent="0.2">
      <c r="A1594" s="36"/>
      <c r="B1594" s="39"/>
      <c r="C1594" s="39"/>
      <c r="D1594" s="37"/>
      <c r="E1594" s="37"/>
      <c r="F1594" s="39"/>
      <c r="G1594" s="49"/>
      <c r="H1594" s="49"/>
      <c r="I1594" s="49"/>
      <c r="J1594" s="40"/>
    </row>
    <row r="1595" spans="1:10" s="29" customFormat="1" x14ac:dyDescent="0.2">
      <c r="A1595" s="36"/>
      <c r="B1595" s="39"/>
      <c r="C1595" s="39"/>
      <c r="D1595" s="37"/>
      <c r="E1595" s="37"/>
      <c r="F1595" s="39"/>
      <c r="G1595" s="49"/>
      <c r="H1595" s="49"/>
      <c r="I1595" s="49"/>
      <c r="J1595" s="40"/>
    </row>
    <row r="1596" spans="1:10" s="29" customFormat="1" x14ac:dyDescent="0.2">
      <c r="A1596" s="36"/>
      <c r="B1596" s="39"/>
      <c r="C1596" s="39"/>
      <c r="D1596" s="37"/>
      <c r="E1596" s="37"/>
      <c r="F1596" s="39"/>
      <c r="G1596" s="49"/>
      <c r="H1596" s="49"/>
      <c r="I1596" s="49"/>
      <c r="J1596" s="40"/>
    </row>
    <row r="1597" spans="1:10" s="29" customFormat="1" x14ac:dyDescent="0.2">
      <c r="A1597" s="30"/>
      <c r="B1597" s="40"/>
      <c r="C1597" s="40"/>
      <c r="D1597" s="30"/>
      <c r="E1597" s="30"/>
      <c r="F1597" s="40"/>
      <c r="G1597" s="51"/>
      <c r="H1597" s="51"/>
      <c r="I1597" s="51"/>
      <c r="J1597" s="40"/>
    </row>
    <row r="1598" spans="1:10" s="29" customFormat="1" x14ac:dyDescent="0.2">
      <c r="A1598" s="30"/>
      <c r="B1598" s="40"/>
      <c r="C1598" s="40"/>
      <c r="D1598" s="30"/>
      <c r="E1598" s="30"/>
      <c r="F1598" s="40"/>
      <c r="G1598" s="51"/>
      <c r="H1598" s="51"/>
      <c r="I1598" s="51"/>
      <c r="J1598" s="40"/>
    </row>
    <row r="1599" spans="1:10" s="29" customFormat="1" x14ac:dyDescent="0.2">
      <c r="A1599" s="30"/>
      <c r="B1599" s="40"/>
      <c r="C1599" s="40"/>
      <c r="D1599" s="30"/>
      <c r="E1599" s="30"/>
      <c r="F1599" s="40"/>
      <c r="G1599" s="51"/>
      <c r="H1599" s="51"/>
      <c r="I1599" s="51"/>
      <c r="J1599" s="40"/>
    </row>
    <row r="1600" spans="1:10" s="29" customFormat="1" x14ac:dyDescent="0.2">
      <c r="A1600" s="30"/>
      <c r="B1600" s="40"/>
      <c r="C1600" s="40"/>
      <c r="D1600" s="30"/>
      <c r="E1600" s="30"/>
      <c r="F1600" s="40"/>
      <c r="G1600" s="51"/>
      <c r="H1600" s="51"/>
      <c r="I1600" s="51"/>
      <c r="J1600" s="40"/>
    </row>
    <row r="1601" spans="1:10" s="29" customFormat="1" x14ac:dyDescent="0.2">
      <c r="A1601" s="30"/>
      <c r="B1601" s="40"/>
      <c r="C1601" s="40"/>
      <c r="D1601" s="30"/>
      <c r="E1601" s="30"/>
      <c r="F1601" s="40"/>
      <c r="G1601" s="51"/>
      <c r="H1601" s="51"/>
      <c r="I1601" s="51"/>
      <c r="J1601" s="40"/>
    </row>
    <row r="1602" spans="1:10" s="29" customFormat="1" ht="13.5" thickBot="1" x14ac:dyDescent="0.25">
      <c r="A1602" s="38"/>
      <c r="B1602" s="41"/>
      <c r="C1602" s="41"/>
      <c r="D1602" s="38"/>
      <c r="E1602" s="38"/>
      <c r="F1602" s="41"/>
      <c r="G1602" s="54"/>
      <c r="H1602" s="54"/>
      <c r="I1602" s="54"/>
      <c r="J1602" s="41"/>
    </row>
    <row r="1603" spans="1:10" s="29" customFormat="1" x14ac:dyDescent="0.2">
      <c r="G1603" s="31"/>
      <c r="H1603" s="31"/>
      <c r="I1603" s="31"/>
      <c r="J1603" s="31"/>
    </row>
    <row r="1604" spans="1:10" s="29" customFormat="1" x14ac:dyDescent="0.2">
      <c r="G1604" s="31"/>
      <c r="H1604" s="31"/>
      <c r="I1604" s="31"/>
      <c r="J1604" s="31"/>
    </row>
    <row r="1605" spans="1:10" s="29" customFormat="1" x14ac:dyDescent="0.2">
      <c r="G1605" s="31"/>
      <c r="H1605" s="31"/>
      <c r="I1605" s="31"/>
      <c r="J1605" s="31"/>
    </row>
    <row r="1606" spans="1:10" s="29" customFormat="1" x14ac:dyDescent="0.2">
      <c r="G1606" s="31"/>
      <c r="H1606" s="31"/>
      <c r="I1606" s="31"/>
      <c r="J1606" s="31"/>
    </row>
    <row r="1607" spans="1:10" s="29" customFormat="1" x14ac:dyDescent="0.2">
      <c r="G1607" s="31"/>
      <c r="H1607" s="31"/>
      <c r="I1607" s="31"/>
      <c r="J1607" s="31"/>
    </row>
    <row r="1608" spans="1:10" s="29" customFormat="1" x14ac:dyDescent="0.2">
      <c r="G1608" s="31"/>
      <c r="H1608" s="31"/>
      <c r="I1608" s="31"/>
      <c r="J1608" s="31"/>
    </row>
    <row r="1609" spans="1:10" s="29" customFormat="1" x14ac:dyDescent="0.2">
      <c r="G1609" s="31"/>
      <c r="H1609" s="31"/>
      <c r="I1609" s="31"/>
      <c r="J1609" s="31"/>
    </row>
    <row r="1610" spans="1:10" s="29" customFormat="1" x14ac:dyDescent="0.2">
      <c r="G1610" s="31"/>
      <c r="H1610" s="31"/>
      <c r="I1610" s="31"/>
      <c r="J1610" s="31"/>
    </row>
    <row r="1611" spans="1:10" s="29" customFormat="1" x14ac:dyDescent="0.2">
      <c r="G1611" s="31"/>
      <c r="H1611" s="31"/>
      <c r="I1611" s="31"/>
      <c r="J1611" s="31"/>
    </row>
    <row r="1612" spans="1:10" s="29" customFormat="1" x14ac:dyDescent="0.2">
      <c r="G1612" s="31"/>
      <c r="H1612" s="31"/>
      <c r="I1612" s="31"/>
      <c r="J1612" s="31"/>
    </row>
    <row r="1613" spans="1:10" s="29" customFormat="1" x14ac:dyDescent="0.2">
      <c r="G1613" s="31"/>
      <c r="H1613" s="31"/>
      <c r="I1613" s="31"/>
      <c r="J1613" s="31"/>
    </row>
    <row r="1614" spans="1:10" s="29" customFormat="1" x14ac:dyDescent="0.2">
      <c r="G1614" s="31"/>
      <c r="H1614" s="31"/>
      <c r="I1614" s="31"/>
      <c r="J1614" s="31"/>
    </row>
    <row r="1615" spans="1:10" s="29" customFormat="1" x14ac:dyDescent="0.2">
      <c r="G1615" s="31"/>
      <c r="H1615" s="31"/>
      <c r="I1615" s="31"/>
      <c r="J1615" s="31"/>
    </row>
    <row r="1616" spans="1:10" s="29" customFormat="1" x14ac:dyDescent="0.2">
      <c r="G1616" s="31"/>
      <c r="H1616" s="31"/>
      <c r="I1616" s="31"/>
      <c r="J1616" s="31"/>
    </row>
    <row r="1617" spans="7:10" s="29" customFormat="1" x14ac:dyDescent="0.2">
      <c r="G1617" s="31"/>
      <c r="H1617" s="31"/>
      <c r="I1617" s="31"/>
      <c r="J1617" s="31"/>
    </row>
    <row r="1618" spans="7:10" s="29" customFormat="1" x14ac:dyDescent="0.2">
      <c r="G1618" s="31"/>
      <c r="H1618" s="31"/>
      <c r="I1618" s="31"/>
      <c r="J1618" s="31"/>
    </row>
    <row r="1619" spans="7:10" s="29" customFormat="1" x14ac:dyDescent="0.2">
      <c r="G1619" s="31"/>
      <c r="H1619" s="31"/>
      <c r="I1619" s="31"/>
      <c r="J1619" s="31"/>
    </row>
    <row r="1620" spans="7:10" s="29" customFormat="1" x14ac:dyDescent="0.2">
      <c r="G1620" s="31"/>
      <c r="H1620" s="31"/>
      <c r="I1620" s="31"/>
      <c r="J1620" s="31"/>
    </row>
    <row r="1621" spans="7:10" s="29" customFormat="1" x14ac:dyDescent="0.2">
      <c r="G1621" s="31"/>
      <c r="H1621" s="31"/>
      <c r="I1621" s="31"/>
      <c r="J1621" s="31"/>
    </row>
    <row r="1622" spans="7:10" s="29" customFormat="1" x14ac:dyDescent="0.2">
      <c r="G1622" s="31"/>
      <c r="H1622" s="31"/>
      <c r="I1622" s="31"/>
      <c r="J1622" s="31"/>
    </row>
    <row r="1623" spans="7:10" s="29" customFormat="1" x14ac:dyDescent="0.2">
      <c r="G1623" s="31"/>
      <c r="H1623" s="31"/>
      <c r="I1623" s="31"/>
      <c r="J1623" s="31"/>
    </row>
    <row r="1624" spans="7:10" s="29" customFormat="1" x14ac:dyDescent="0.2">
      <c r="G1624" s="31"/>
      <c r="H1624" s="31"/>
      <c r="I1624" s="31"/>
      <c r="J1624" s="31"/>
    </row>
    <row r="1625" spans="7:10" s="29" customFormat="1" x14ac:dyDescent="0.2">
      <c r="G1625" s="31"/>
      <c r="H1625" s="31"/>
      <c r="I1625" s="31"/>
      <c r="J1625" s="31"/>
    </row>
    <row r="1626" spans="7:10" s="29" customFormat="1" x14ac:dyDescent="0.2">
      <c r="G1626" s="31"/>
      <c r="H1626" s="31"/>
      <c r="I1626" s="31"/>
      <c r="J1626" s="31"/>
    </row>
    <row r="1627" spans="7:10" s="29" customFormat="1" x14ac:dyDescent="0.2">
      <c r="G1627" s="31"/>
      <c r="H1627" s="31"/>
      <c r="I1627" s="31"/>
      <c r="J1627" s="31"/>
    </row>
    <row r="1628" spans="7:10" s="29" customFormat="1" x14ac:dyDescent="0.2">
      <c r="G1628" s="31"/>
      <c r="H1628" s="31"/>
      <c r="I1628" s="31"/>
      <c r="J1628" s="31"/>
    </row>
    <row r="1629" spans="7:10" s="29" customFormat="1" x14ac:dyDescent="0.2">
      <c r="G1629" s="31"/>
      <c r="H1629" s="31"/>
      <c r="I1629" s="31"/>
      <c r="J1629" s="31"/>
    </row>
    <row r="1630" spans="7:10" s="29" customFormat="1" x14ac:dyDescent="0.2">
      <c r="G1630" s="31"/>
      <c r="H1630" s="31"/>
      <c r="I1630" s="31"/>
      <c r="J1630" s="31"/>
    </row>
    <row r="1631" spans="7:10" s="29" customFormat="1" x14ac:dyDescent="0.2">
      <c r="G1631" s="31"/>
      <c r="H1631" s="31"/>
      <c r="I1631" s="31"/>
      <c r="J1631" s="31"/>
    </row>
    <row r="1632" spans="7:10" s="29" customFormat="1" x14ac:dyDescent="0.2">
      <c r="G1632" s="31"/>
      <c r="H1632" s="31"/>
      <c r="I1632" s="31"/>
      <c r="J1632" s="31"/>
    </row>
    <row r="1633" spans="7:10" s="29" customFormat="1" x14ac:dyDescent="0.2">
      <c r="G1633" s="31"/>
      <c r="H1633" s="31"/>
      <c r="I1633" s="31"/>
      <c r="J1633" s="31"/>
    </row>
    <row r="1634" spans="7:10" s="29" customFormat="1" x14ac:dyDescent="0.2">
      <c r="G1634" s="31"/>
      <c r="H1634" s="31"/>
      <c r="I1634" s="31"/>
      <c r="J1634" s="31"/>
    </row>
    <row r="1635" spans="7:10" s="29" customFormat="1" x14ac:dyDescent="0.2">
      <c r="G1635" s="31"/>
      <c r="H1635" s="31"/>
      <c r="I1635" s="31"/>
      <c r="J1635" s="31"/>
    </row>
    <row r="1636" spans="7:10" s="29" customFormat="1" x14ac:dyDescent="0.2">
      <c r="G1636" s="31"/>
      <c r="H1636" s="31"/>
      <c r="I1636" s="31"/>
      <c r="J1636" s="31"/>
    </row>
    <row r="1637" spans="7:10" s="29" customFormat="1" x14ac:dyDescent="0.2">
      <c r="G1637" s="31"/>
      <c r="H1637" s="31"/>
      <c r="I1637" s="31"/>
      <c r="J1637" s="31"/>
    </row>
    <row r="1638" spans="7:10" s="29" customFormat="1" x14ac:dyDescent="0.2">
      <c r="G1638" s="31"/>
      <c r="H1638" s="31"/>
      <c r="I1638" s="31"/>
      <c r="J1638" s="31"/>
    </row>
    <row r="1639" spans="7:10" s="29" customFormat="1" x14ac:dyDescent="0.2">
      <c r="G1639" s="31"/>
      <c r="H1639" s="31"/>
      <c r="I1639" s="31"/>
      <c r="J1639" s="31"/>
    </row>
    <row r="1640" spans="7:10" s="29" customFormat="1" x14ac:dyDescent="0.2">
      <c r="G1640" s="31"/>
      <c r="H1640" s="31"/>
      <c r="I1640" s="31"/>
      <c r="J1640" s="31"/>
    </row>
    <row r="1641" spans="7:10" s="29" customFormat="1" x14ac:dyDescent="0.2">
      <c r="G1641" s="31"/>
      <c r="H1641" s="31"/>
      <c r="I1641" s="31"/>
      <c r="J1641" s="31"/>
    </row>
    <row r="1642" spans="7:10" s="29" customFormat="1" x14ac:dyDescent="0.2">
      <c r="G1642" s="31"/>
      <c r="H1642" s="31"/>
      <c r="I1642" s="31"/>
      <c r="J1642" s="31"/>
    </row>
    <row r="1643" spans="7:10" s="29" customFormat="1" x14ac:dyDescent="0.2">
      <c r="G1643" s="31"/>
      <c r="H1643" s="31"/>
      <c r="I1643" s="31"/>
      <c r="J1643" s="31"/>
    </row>
    <row r="1644" spans="7:10" s="29" customFormat="1" x14ac:dyDescent="0.2">
      <c r="G1644" s="31"/>
      <c r="H1644" s="31"/>
      <c r="I1644" s="31"/>
      <c r="J1644" s="31"/>
    </row>
    <row r="1645" spans="7:10" s="29" customFormat="1" x14ac:dyDescent="0.2">
      <c r="G1645" s="31"/>
      <c r="H1645" s="31"/>
      <c r="I1645" s="31"/>
      <c r="J1645" s="31"/>
    </row>
    <row r="1646" spans="7:10" s="29" customFormat="1" x14ac:dyDescent="0.2">
      <c r="G1646" s="31"/>
      <c r="H1646" s="31"/>
      <c r="I1646" s="31"/>
      <c r="J1646" s="31"/>
    </row>
    <row r="1647" spans="7:10" s="29" customFormat="1" x14ac:dyDescent="0.2">
      <c r="G1647" s="31"/>
      <c r="H1647" s="31"/>
      <c r="I1647" s="31"/>
      <c r="J1647" s="31"/>
    </row>
    <row r="1648" spans="7:10" s="29" customFormat="1" x14ac:dyDescent="0.2">
      <c r="G1648" s="31"/>
      <c r="H1648" s="31"/>
      <c r="I1648" s="31"/>
      <c r="J1648" s="31"/>
    </row>
    <row r="1649" spans="7:10" s="29" customFormat="1" x14ac:dyDescent="0.2">
      <c r="G1649" s="31"/>
      <c r="H1649" s="31"/>
      <c r="I1649" s="31"/>
      <c r="J1649" s="31"/>
    </row>
    <row r="1650" spans="7:10" s="29" customFormat="1" x14ac:dyDescent="0.2">
      <c r="G1650" s="31"/>
      <c r="H1650" s="31"/>
      <c r="I1650" s="31"/>
      <c r="J1650" s="31"/>
    </row>
    <row r="1651" spans="7:10" s="29" customFormat="1" x14ac:dyDescent="0.2">
      <c r="G1651" s="31"/>
      <c r="H1651" s="31"/>
      <c r="I1651" s="31"/>
      <c r="J1651" s="31"/>
    </row>
    <row r="1652" spans="7:10" s="29" customFormat="1" x14ac:dyDescent="0.2">
      <c r="G1652" s="31"/>
      <c r="H1652" s="31"/>
      <c r="I1652" s="31"/>
      <c r="J1652" s="31"/>
    </row>
    <row r="1653" spans="7:10" s="29" customFormat="1" x14ac:dyDescent="0.2">
      <c r="G1653" s="31"/>
      <c r="H1653" s="31"/>
      <c r="I1653" s="31"/>
      <c r="J1653" s="31"/>
    </row>
    <row r="1654" spans="7:10" s="29" customFormat="1" x14ac:dyDescent="0.2">
      <c r="G1654" s="31"/>
      <c r="H1654" s="31"/>
      <c r="I1654" s="31"/>
      <c r="J1654" s="31"/>
    </row>
    <row r="1655" spans="7:10" s="29" customFormat="1" x14ac:dyDescent="0.2">
      <c r="G1655" s="31"/>
      <c r="H1655" s="31"/>
      <c r="I1655" s="31"/>
      <c r="J1655" s="31"/>
    </row>
    <row r="1656" spans="7:10" s="29" customFormat="1" x14ac:dyDescent="0.2">
      <c r="G1656" s="31"/>
      <c r="H1656" s="31"/>
      <c r="I1656" s="31"/>
      <c r="J1656" s="31"/>
    </row>
    <row r="1657" spans="7:10" s="29" customFormat="1" x14ac:dyDescent="0.2">
      <c r="G1657" s="31"/>
      <c r="H1657" s="31"/>
      <c r="I1657" s="31"/>
      <c r="J1657" s="31"/>
    </row>
    <row r="1658" spans="7:10" s="29" customFormat="1" x14ac:dyDescent="0.2">
      <c r="G1658" s="31"/>
      <c r="H1658" s="31"/>
      <c r="I1658" s="31"/>
      <c r="J1658" s="31"/>
    </row>
    <row r="1659" spans="7:10" s="29" customFormat="1" x14ac:dyDescent="0.2">
      <c r="G1659" s="31"/>
      <c r="H1659" s="31"/>
      <c r="I1659" s="31"/>
      <c r="J1659" s="31"/>
    </row>
    <row r="1660" spans="7:10" s="29" customFormat="1" x14ac:dyDescent="0.2">
      <c r="G1660" s="31"/>
      <c r="H1660" s="31"/>
      <c r="I1660" s="31"/>
      <c r="J1660" s="31"/>
    </row>
    <row r="1661" spans="7:10" s="29" customFormat="1" x14ac:dyDescent="0.2">
      <c r="G1661" s="31"/>
      <c r="H1661" s="31"/>
      <c r="I1661" s="31"/>
      <c r="J1661" s="31"/>
    </row>
    <row r="1662" spans="7:10" s="29" customFormat="1" x14ac:dyDescent="0.2">
      <c r="G1662" s="31"/>
      <c r="H1662" s="31"/>
      <c r="I1662" s="31"/>
      <c r="J1662" s="31"/>
    </row>
    <row r="1663" spans="7:10" s="29" customFormat="1" x14ac:dyDescent="0.2">
      <c r="G1663" s="31"/>
      <c r="H1663" s="31"/>
      <c r="I1663" s="31"/>
      <c r="J1663" s="31"/>
    </row>
    <row r="1664" spans="7:10" s="29" customFormat="1" x14ac:dyDescent="0.2">
      <c r="G1664" s="31"/>
      <c r="H1664" s="31"/>
      <c r="I1664" s="31"/>
      <c r="J1664" s="31"/>
    </row>
    <row r="1665" spans="7:10" s="29" customFormat="1" x14ac:dyDescent="0.2">
      <c r="G1665" s="31"/>
      <c r="H1665" s="31"/>
      <c r="I1665" s="31"/>
      <c r="J1665" s="31"/>
    </row>
    <row r="1666" spans="7:10" s="29" customFormat="1" x14ac:dyDescent="0.2">
      <c r="G1666" s="31"/>
      <c r="H1666" s="31"/>
      <c r="I1666" s="31"/>
      <c r="J1666" s="31"/>
    </row>
    <row r="1667" spans="7:10" s="29" customFormat="1" x14ac:dyDescent="0.2">
      <c r="G1667" s="31"/>
      <c r="H1667" s="31"/>
      <c r="I1667" s="31"/>
      <c r="J1667" s="31"/>
    </row>
    <row r="1668" spans="7:10" s="29" customFormat="1" x14ac:dyDescent="0.2">
      <c r="G1668" s="31"/>
      <c r="H1668" s="31"/>
      <c r="I1668" s="31"/>
      <c r="J1668" s="31"/>
    </row>
    <row r="1669" spans="7:10" s="29" customFormat="1" x14ac:dyDescent="0.2">
      <c r="G1669" s="31"/>
      <c r="H1669" s="31"/>
      <c r="I1669" s="31"/>
      <c r="J1669" s="31"/>
    </row>
    <row r="1670" spans="7:10" s="29" customFormat="1" x14ac:dyDescent="0.2">
      <c r="G1670" s="31"/>
      <c r="H1670" s="31"/>
      <c r="I1670" s="31"/>
      <c r="J1670" s="31"/>
    </row>
    <row r="1671" spans="7:10" s="29" customFormat="1" x14ac:dyDescent="0.2">
      <c r="G1671" s="31"/>
      <c r="H1671" s="31"/>
      <c r="I1671" s="31"/>
      <c r="J1671" s="31"/>
    </row>
    <row r="1672" spans="7:10" s="29" customFormat="1" x14ac:dyDescent="0.2">
      <c r="G1672" s="31"/>
      <c r="H1672" s="31"/>
      <c r="I1672" s="31"/>
      <c r="J1672" s="31"/>
    </row>
    <row r="1673" spans="7:10" s="29" customFormat="1" x14ac:dyDescent="0.2">
      <c r="G1673" s="31"/>
      <c r="H1673" s="31"/>
      <c r="I1673" s="31"/>
      <c r="J1673" s="31"/>
    </row>
    <row r="1674" spans="7:10" s="29" customFormat="1" x14ac:dyDescent="0.2">
      <c r="G1674" s="31"/>
      <c r="H1674" s="31"/>
      <c r="I1674" s="31"/>
      <c r="J1674" s="31"/>
    </row>
    <row r="1675" spans="7:10" s="29" customFormat="1" x14ac:dyDescent="0.2">
      <c r="G1675" s="31"/>
      <c r="H1675" s="31"/>
      <c r="I1675" s="31"/>
      <c r="J1675" s="31"/>
    </row>
    <row r="1676" spans="7:10" s="29" customFormat="1" x14ac:dyDescent="0.2">
      <c r="G1676" s="31"/>
      <c r="H1676" s="31"/>
      <c r="I1676" s="31"/>
      <c r="J1676" s="31"/>
    </row>
    <row r="1677" spans="7:10" s="29" customFormat="1" x14ac:dyDescent="0.2">
      <c r="G1677" s="31"/>
      <c r="H1677" s="31"/>
      <c r="I1677" s="31"/>
      <c r="J1677" s="31"/>
    </row>
    <row r="1678" spans="7:10" s="29" customFormat="1" x14ac:dyDescent="0.2">
      <c r="G1678" s="31"/>
      <c r="H1678" s="31"/>
      <c r="I1678" s="31"/>
      <c r="J1678" s="31"/>
    </row>
    <row r="1679" spans="7:10" s="29" customFormat="1" x14ac:dyDescent="0.2">
      <c r="G1679" s="31"/>
      <c r="H1679" s="31"/>
      <c r="I1679" s="31"/>
      <c r="J1679" s="31"/>
    </row>
    <row r="1680" spans="7:10" s="29" customFormat="1" x14ac:dyDescent="0.2">
      <c r="G1680" s="31"/>
      <c r="H1680" s="31"/>
      <c r="I1680" s="31"/>
      <c r="J1680" s="31"/>
    </row>
    <row r="1681" spans="7:10" s="29" customFormat="1" x14ac:dyDescent="0.2">
      <c r="G1681" s="31"/>
      <c r="H1681" s="31"/>
      <c r="I1681" s="31"/>
      <c r="J1681" s="31"/>
    </row>
    <row r="1682" spans="7:10" s="29" customFormat="1" x14ac:dyDescent="0.2">
      <c r="G1682" s="31"/>
      <c r="H1682" s="31"/>
      <c r="I1682" s="31"/>
      <c r="J1682" s="31"/>
    </row>
    <row r="1683" spans="7:10" s="29" customFormat="1" x14ac:dyDescent="0.2">
      <c r="G1683" s="31"/>
      <c r="H1683" s="31"/>
      <c r="I1683" s="31"/>
      <c r="J1683" s="31"/>
    </row>
    <row r="1684" spans="7:10" s="29" customFormat="1" x14ac:dyDescent="0.2">
      <c r="G1684" s="31"/>
      <c r="H1684" s="31"/>
      <c r="I1684" s="31"/>
      <c r="J1684" s="31"/>
    </row>
    <row r="1685" spans="7:10" s="29" customFormat="1" x14ac:dyDescent="0.2">
      <c r="G1685" s="31"/>
      <c r="H1685" s="31"/>
      <c r="I1685" s="31"/>
      <c r="J1685" s="31"/>
    </row>
    <row r="1686" spans="7:10" s="29" customFormat="1" x14ac:dyDescent="0.2">
      <c r="G1686" s="31"/>
      <c r="H1686" s="31"/>
      <c r="I1686" s="31"/>
      <c r="J1686" s="31"/>
    </row>
    <row r="1687" spans="7:10" s="29" customFormat="1" x14ac:dyDescent="0.2">
      <c r="G1687" s="31"/>
      <c r="H1687" s="31"/>
      <c r="I1687" s="31"/>
      <c r="J1687" s="31"/>
    </row>
    <row r="1688" spans="7:10" s="29" customFormat="1" x14ac:dyDescent="0.2">
      <c r="G1688" s="31"/>
      <c r="H1688" s="31"/>
      <c r="I1688" s="31"/>
      <c r="J1688" s="31"/>
    </row>
    <row r="1689" spans="7:10" s="29" customFormat="1" x14ac:dyDescent="0.2">
      <c r="G1689" s="31"/>
      <c r="H1689" s="31"/>
      <c r="I1689" s="31"/>
      <c r="J1689" s="31"/>
    </row>
    <row r="1690" spans="7:10" s="29" customFormat="1" x14ac:dyDescent="0.2">
      <c r="G1690" s="31"/>
      <c r="H1690" s="31"/>
      <c r="I1690" s="31"/>
      <c r="J1690" s="31"/>
    </row>
    <row r="1691" spans="7:10" s="29" customFormat="1" x14ac:dyDescent="0.2">
      <c r="G1691" s="31"/>
      <c r="H1691" s="31"/>
      <c r="I1691" s="31"/>
      <c r="J1691" s="31"/>
    </row>
    <row r="1692" spans="7:10" s="29" customFormat="1" x14ac:dyDescent="0.2">
      <c r="G1692" s="31"/>
      <c r="H1692" s="31"/>
      <c r="I1692" s="31"/>
      <c r="J1692" s="31"/>
    </row>
    <row r="1693" spans="7:10" s="29" customFormat="1" x14ac:dyDescent="0.2">
      <c r="G1693" s="31"/>
      <c r="H1693" s="31"/>
      <c r="I1693" s="31"/>
      <c r="J1693" s="31"/>
    </row>
    <row r="1694" spans="7:10" s="29" customFormat="1" x14ac:dyDescent="0.2">
      <c r="G1694" s="31"/>
      <c r="H1694" s="31"/>
      <c r="I1694" s="31"/>
      <c r="J1694" s="31"/>
    </row>
    <row r="1695" spans="7:10" s="29" customFormat="1" x14ac:dyDescent="0.2">
      <c r="G1695" s="31"/>
      <c r="H1695" s="31"/>
      <c r="I1695" s="31"/>
      <c r="J1695" s="31"/>
    </row>
    <row r="1696" spans="7:10" s="29" customFormat="1" x14ac:dyDescent="0.2">
      <c r="G1696" s="31"/>
      <c r="H1696" s="31"/>
      <c r="I1696" s="31"/>
      <c r="J1696" s="31"/>
    </row>
    <row r="1697" spans="7:10" s="29" customFormat="1" x14ac:dyDescent="0.2">
      <c r="G1697" s="31"/>
      <c r="H1697" s="31"/>
      <c r="I1697" s="31"/>
      <c r="J1697" s="31"/>
    </row>
    <row r="1698" spans="7:10" s="29" customFormat="1" x14ac:dyDescent="0.2">
      <c r="G1698" s="31"/>
      <c r="H1698" s="31"/>
      <c r="I1698" s="31"/>
      <c r="J1698" s="31"/>
    </row>
    <row r="1699" spans="7:10" s="29" customFormat="1" x14ac:dyDescent="0.2">
      <c r="G1699" s="31"/>
      <c r="H1699" s="31"/>
      <c r="I1699" s="31"/>
      <c r="J1699" s="31"/>
    </row>
    <row r="1700" spans="7:10" s="29" customFormat="1" x14ac:dyDescent="0.2">
      <c r="G1700" s="31"/>
      <c r="H1700" s="31"/>
      <c r="I1700" s="31"/>
      <c r="J1700" s="31"/>
    </row>
    <row r="1701" spans="7:10" s="29" customFormat="1" x14ac:dyDescent="0.2">
      <c r="G1701" s="31"/>
      <c r="H1701" s="31"/>
      <c r="I1701" s="31"/>
      <c r="J1701" s="31"/>
    </row>
    <row r="1702" spans="7:10" s="29" customFormat="1" x14ac:dyDescent="0.2">
      <c r="G1702" s="31"/>
      <c r="H1702" s="31"/>
      <c r="I1702" s="31"/>
      <c r="J1702" s="31"/>
    </row>
    <row r="1703" spans="7:10" s="29" customFormat="1" x14ac:dyDescent="0.2">
      <c r="G1703" s="31"/>
      <c r="H1703" s="31"/>
      <c r="I1703" s="31"/>
      <c r="J1703" s="31"/>
    </row>
    <row r="1704" spans="7:10" s="29" customFormat="1" x14ac:dyDescent="0.2">
      <c r="G1704" s="31"/>
      <c r="H1704" s="31"/>
      <c r="I1704" s="31"/>
      <c r="J1704" s="31"/>
    </row>
    <row r="1705" spans="7:10" s="29" customFormat="1" x14ac:dyDescent="0.2">
      <c r="G1705" s="31"/>
      <c r="H1705" s="31"/>
      <c r="I1705" s="31"/>
      <c r="J1705" s="31"/>
    </row>
    <row r="1706" spans="7:10" s="29" customFormat="1" x14ac:dyDescent="0.2">
      <c r="G1706" s="31"/>
      <c r="H1706" s="31"/>
      <c r="I1706" s="31"/>
      <c r="J1706" s="31"/>
    </row>
    <row r="1707" spans="7:10" s="29" customFormat="1" x14ac:dyDescent="0.2">
      <c r="G1707" s="31"/>
      <c r="H1707" s="31"/>
      <c r="I1707" s="31"/>
      <c r="J1707" s="31"/>
    </row>
    <row r="1708" spans="7:10" s="29" customFormat="1" x14ac:dyDescent="0.2">
      <c r="G1708" s="31"/>
      <c r="H1708" s="31"/>
      <c r="I1708" s="31"/>
      <c r="J1708" s="31"/>
    </row>
    <row r="1709" spans="7:10" s="29" customFormat="1" x14ac:dyDescent="0.2">
      <c r="G1709" s="31"/>
      <c r="H1709" s="31"/>
      <c r="I1709" s="31"/>
      <c r="J1709" s="31"/>
    </row>
    <row r="1710" spans="7:10" s="29" customFormat="1" x14ac:dyDescent="0.2">
      <c r="G1710" s="31"/>
      <c r="H1710" s="31"/>
      <c r="I1710" s="31"/>
      <c r="J1710" s="31"/>
    </row>
    <row r="1711" spans="7:10" s="29" customFormat="1" x14ac:dyDescent="0.2">
      <c r="G1711" s="31"/>
      <c r="H1711" s="31"/>
      <c r="I1711" s="31"/>
      <c r="J1711" s="31"/>
    </row>
    <row r="1712" spans="7:10" s="29" customFormat="1" x14ac:dyDescent="0.2">
      <c r="G1712" s="31"/>
      <c r="H1712" s="31"/>
      <c r="I1712" s="31"/>
      <c r="J1712" s="31"/>
    </row>
    <row r="1713" spans="7:10" s="29" customFormat="1" x14ac:dyDescent="0.2">
      <c r="G1713" s="31"/>
      <c r="H1713" s="31"/>
      <c r="I1713" s="31"/>
      <c r="J1713" s="31"/>
    </row>
    <row r="1714" spans="7:10" s="29" customFormat="1" x14ac:dyDescent="0.2">
      <c r="G1714" s="31"/>
      <c r="H1714" s="31"/>
      <c r="I1714" s="31"/>
      <c r="J1714" s="31"/>
    </row>
    <row r="1715" spans="7:10" s="29" customFormat="1" x14ac:dyDescent="0.2">
      <c r="G1715" s="31"/>
      <c r="H1715" s="31"/>
      <c r="I1715" s="31"/>
      <c r="J1715" s="31"/>
    </row>
    <row r="1716" spans="7:10" s="29" customFormat="1" x14ac:dyDescent="0.2">
      <c r="G1716" s="31"/>
      <c r="H1716" s="31"/>
      <c r="I1716" s="31"/>
      <c r="J1716" s="31"/>
    </row>
    <row r="1717" spans="7:10" s="29" customFormat="1" x14ac:dyDescent="0.2">
      <c r="G1717" s="31"/>
      <c r="H1717" s="31"/>
      <c r="I1717" s="31"/>
      <c r="J1717" s="31"/>
    </row>
    <row r="1718" spans="7:10" s="29" customFormat="1" x14ac:dyDescent="0.2">
      <c r="G1718" s="31"/>
      <c r="H1718" s="31"/>
      <c r="I1718" s="31"/>
      <c r="J1718" s="31"/>
    </row>
    <row r="1719" spans="7:10" s="29" customFormat="1" x14ac:dyDescent="0.2">
      <c r="G1719" s="31"/>
      <c r="H1719" s="31"/>
      <c r="I1719" s="31"/>
      <c r="J1719" s="31"/>
    </row>
    <row r="1720" spans="7:10" s="29" customFormat="1" x14ac:dyDescent="0.2">
      <c r="G1720" s="31"/>
      <c r="H1720" s="31"/>
      <c r="I1720" s="31"/>
      <c r="J1720" s="31"/>
    </row>
    <row r="1721" spans="7:10" s="29" customFormat="1" x14ac:dyDescent="0.2">
      <c r="G1721" s="31"/>
      <c r="H1721" s="31"/>
      <c r="I1721" s="31"/>
      <c r="J1721" s="31"/>
    </row>
    <row r="1722" spans="7:10" s="29" customFormat="1" x14ac:dyDescent="0.2">
      <c r="G1722" s="31"/>
      <c r="H1722" s="31"/>
      <c r="I1722" s="31"/>
      <c r="J1722" s="31"/>
    </row>
    <row r="1723" spans="7:10" s="29" customFormat="1" x14ac:dyDescent="0.2">
      <c r="G1723" s="31"/>
      <c r="H1723" s="31"/>
      <c r="I1723" s="31"/>
      <c r="J1723" s="31"/>
    </row>
    <row r="1724" spans="7:10" s="29" customFormat="1" x14ac:dyDescent="0.2">
      <c r="G1724" s="31"/>
      <c r="H1724" s="31"/>
      <c r="I1724" s="31"/>
      <c r="J1724" s="31"/>
    </row>
    <row r="1725" spans="7:10" s="29" customFormat="1" x14ac:dyDescent="0.2">
      <c r="G1725" s="31"/>
      <c r="H1725" s="31"/>
      <c r="I1725" s="31"/>
      <c r="J1725" s="31"/>
    </row>
    <row r="1726" spans="7:10" s="29" customFormat="1" x14ac:dyDescent="0.2">
      <c r="G1726" s="31"/>
      <c r="H1726" s="31"/>
      <c r="I1726" s="31"/>
      <c r="J1726" s="31"/>
    </row>
    <row r="1727" spans="7:10" s="29" customFormat="1" x14ac:dyDescent="0.2">
      <c r="G1727" s="31"/>
      <c r="H1727" s="31"/>
      <c r="I1727" s="31"/>
      <c r="J1727" s="31"/>
    </row>
    <row r="1728" spans="7:10" s="29" customFormat="1" x14ac:dyDescent="0.2">
      <c r="G1728" s="31"/>
      <c r="H1728" s="31"/>
      <c r="I1728" s="31"/>
      <c r="J1728" s="31"/>
    </row>
    <row r="1729" spans="7:10" s="29" customFormat="1" x14ac:dyDescent="0.2">
      <c r="G1729" s="31"/>
      <c r="H1729" s="31"/>
      <c r="I1729" s="31"/>
      <c r="J1729" s="31"/>
    </row>
    <row r="1730" spans="7:10" s="29" customFormat="1" x14ac:dyDescent="0.2">
      <c r="G1730" s="31"/>
      <c r="H1730" s="31"/>
      <c r="I1730" s="31"/>
      <c r="J1730" s="31"/>
    </row>
    <row r="1731" spans="7:10" s="29" customFormat="1" x14ac:dyDescent="0.2">
      <c r="G1731" s="31"/>
      <c r="H1731" s="31"/>
      <c r="I1731" s="31"/>
      <c r="J1731" s="31"/>
    </row>
    <row r="1732" spans="7:10" s="29" customFormat="1" x14ac:dyDescent="0.2">
      <c r="G1732" s="31"/>
      <c r="H1732" s="31"/>
      <c r="I1732" s="31"/>
      <c r="J1732" s="31"/>
    </row>
    <row r="1733" spans="7:10" s="29" customFormat="1" x14ac:dyDescent="0.2">
      <c r="G1733" s="31"/>
      <c r="H1733" s="31"/>
      <c r="I1733" s="31"/>
      <c r="J1733" s="31"/>
    </row>
    <row r="1734" spans="7:10" s="29" customFormat="1" x14ac:dyDescent="0.2">
      <c r="G1734" s="31"/>
      <c r="H1734" s="31"/>
      <c r="I1734" s="31"/>
      <c r="J1734" s="31"/>
    </row>
    <row r="1735" spans="7:10" s="29" customFormat="1" x14ac:dyDescent="0.2">
      <c r="G1735" s="31"/>
      <c r="H1735" s="31"/>
      <c r="I1735" s="31"/>
      <c r="J1735" s="31"/>
    </row>
    <row r="1736" spans="7:10" s="29" customFormat="1" x14ac:dyDescent="0.2">
      <c r="G1736" s="31"/>
      <c r="H1736" s="31"/>
      <c r="I1736" s="31"/>
      <c r="J1736" s="31"/>
    </row>
    <row r="1737" spans="7:10" s="29" customFormat="1" x14ac:dyDescent="0.2">
      <c r="G1737" s="31"/>
      <c r="H1737" s="31"/>
      <c r="I1737" s="31"/>
      <c r="J1737" s="31"/>
    </row>
    <row r="1738" spans="7:10" s="29" customFormat="1" x14ac:dyDescent="0.2">
      <c r="G1738" s="31"/>
      <c r="H1738" s="31"/>
      <c r="I1738" s="31"/>
      <c r="J1738" s="31"/>
    </row>
    <row r="1739" spans="7:10" s="29" customFormat="1" x14ac:dyDescent="0.2">
      <c r="G1739" s="31"/>
      <c r="H1739" s="31"/>
      <c r="I1739" s="31"/>
      <c r="J1739" s="31"/>
    </row>
    <row r="1740" spans="7:10" s="29" customFormat="1" x14ac:dyDescent="0.2">
      <c r="G1740" s="31"/>
      <c r="H1740" s="31"/>
      <c r="I1740" s="31"/>
      <c r="J1740" s="31"/>
    </row>
    <row r="1741" spans="7:10" s="29" customFormat="1" x14ac:dyDescent="0.2">
      <c r="G1741" s="31"/>
      <c r="H1741" s="31"/>
      <c r="I1741" s="31"/>
      <c r="J1741" s="31"/>
    </row>
    <row r="1742" spans="7:10" s="29" customFormat="1" x14ac:dyDescent="0.2">
      <c r="G1742" s="31"/>
      <c r="H1742" s="31"/>
      <c r="I1742" s="31"/>
      <c r="J1742" s="31"/>
    </row>
    <row r="1743" spans="7:10" s="29" customFormat="1" x14ac:dyDescent="0.2">
      <c r="G1743" s="31"/>
      <c r="H1743" s="31"/>
      <c r="I1743" s="31"/>
      <c r="J1743" s="31"/>
    </row>
    <row r="1744" spans="7:10" s="29" customFormat="1" x14ac:dyDescent="0.2">
      <c r="G1744" s="31"/>
      <c r="H1744" s="31"/>
      <c r="I1744" s="31"/>
      <c r="J1744" s="31"/>
    </row>
    <row r="1745" spans="7:10" s="29" customFormat="1" x14ac:dyDescent="0.2">
      <c r="G1745" s="31"/>
      <c r="H1745" s="31"/>
      <c r="I1745" s="31"/>
      <c r="J1745" s="31"/>
    </row>
    <row r="1746" spans="7:10" s="29" customFormat="1" x14ac:dyDescent="0.2">
      <c r="G1746" s="31"/>
      <c r="H1746" s="31"/>
      <c r="I1746" s="31"/>
      <c r="J1746" s="31"/>
    </row>
    <row r="1747" spans="7:10" s="29" customFormat="1" x14ac:dyDescent="0.2">
      <c r="G1747" s="31"/>
      <c r="H1747" s="31"/>
      <c r="I1747" s="31"/>
      <c r="J1747" s="31"/>
    </row>
    <row r="1748" spans="7:10" s="29" customFormat="1" x14ac:dyDescent="0.2">
      <c r="G1748" s="31"/>
      <c r="H1748" s="31"/>
      <c r="I1748" s="31"/>
      <c r="J1748" s="31"/>
    </row>
    <row r="1749" spans="7:10" s="29" customFormat="1" x14ac:dyDescent="0.2">
      <c r="G1749" s="31"/>
      <c r="H1749" s="31"/>
      <c r="I1749" s="31"/>
      <c r="J1749" s="31"/>
    </row>
    <row r="1750" spans="7:10" s="29" customFormat="1" x14ac:dyDescent="0.2">
      <c r="G1750" s="31"/>
      <c r="H1750" s="31"/>
      <c r="I1750" s="31"/>
      <c r="J1750" s="31"/>
    </row>
    <row r="1751" spans="7:10" s="29" customFormat="1" x14ac:dyDescent="0.2">
      <c r="G1751" s="31"/>
      <c r="H1751" s="31"/>
      <c r="I1751" s="31"/>
      <c r="J1751" s="31"/>
    </row>
    <row r="1752" spans="7:10" s="29" customFormat="1" x14ac:dyDescent="0.2">
      <c r="G1752" s="31"/>
      <c r="H1752" s="31"/>
      <c r="I1752" s="31"/>
      <c r="J1752" s="31"/>
    </row>
    <row r="1753" spans="7:10" s="29" customFormat="1" x14ac:dyDescent="0.2">
      <c r="G1753" s="31"/>
      <c r="H1753" s="31"/>
      <c r="I1753" s="31"/>
      <c r="J1753" s="31"/>
    </row>
    <row r="1754" spans="7:10" s="29" customFormat="1" x14ac:dyDescent="0.2">
      <c r="G1754" s="31"/>
      <c r="H1754" s="31"/>
      <c r="I1754" s="31"/>
      <c r="J1754" s="31"/>
    </row>
    <row r="1755" spans="7:10" s="29" customFormat="1" x14ac:dyDescent="0.2">
      <c r="G1755" s="31"/>
      <c r="H1755" s="31"/>
      <c r="I1755" s="31"/>
      <c r="J1755" s="31"/>
    </row>
    <row r="1756" spans="7:10" s="29" customFormat="1" x14ac:dyDescent="0.2">
      <c r="G1756" s="31"/>
      <c r="H1756" s="31"/>
      <c r="I1756" s="31"/>
      <c r="J1756" s="31"/>
    </row>
    <row r="1757" spans="7:10" s="29" customFormat="1" x14ac:dyDescent="0.2">
      <c r="G1757" s="31"/>
      <c r="H1757" s="31"/>
      <c r="I1757" s="31"/>
      <c r="J1757" s="31"/>
    </row>
    <row r="1758" spans="7:10" s="29" customFormat="1" x14ac:dyDescent="0.2">
      <c r="G1758" s="31"/>
      <c r="H1758" s="31"/>
      <c r="I1758" s="31"/>
      <c r="J1758" s="31"/>
    </row>
    <row r="1759" spans="7:10" s="29" customFormat="1" x14ac:dyDescent="0.2">
      <c r="G1759" s="31"/>
      <c r="H1759" s="31"/>
      <c r="I1759" s="31"/>
      <c r="J1759" s="31"/>
    </row>
    <row r="1760" spans="7:10" s="29" customFormat="1" x14ac:dyDescent="0.2">
      <c r="G1760" s="31"/>
      <c r="H1760" s="31"/>
      <c r="I1760" s="31"/>
      <c r="J1760" s="31"/>
    </row>
    <row r="1761" spans="7:10" s="29" customFormat="1" x14ac:dyDescent="0.2">
      <c r="G1761" s="31"/>
      <c r="H1761" s="31"/>
      <c r="I1761" s="31"/>
      <c r="J1761" s="31"/>
    </row>
    <row r="1762" spans="7:10" s="29" customFormat="1" x14ac:dyDescent="0.2">
      <c r="G1762" s="31"/>
      <c r="H1762" s="31"/>
      <c r="I1762" s="31"/>
      <c r="J1762" s="31"/>
    </row>
    <row r="1763" spans="7:10" s="29" customFormat="1" x14ac:dyDescent="0.2">
      <c r="G1763" s="31"/>
      <c r="H1763" s="31"/>
      <c r="I1763" s="31"/>
      <c r="J1763" s="31"/>
    </row>
    <row r="1764" spans="7:10" s="29" customFormat="1" x14ac:dyDescent="0.2">
      <c r="G1764" s="31"/>
      <c r="H1764" s="31"/>
      <c r="I1764" s="31"/>
      <c r="J1764" s="31"/>
    </row>
    <row r="1765" spans="7:10" s="29" customFormat="1" x14ac:dyDescent="0.2">
      <c r="G1765" s="31"/>
      <c r="H1765" s="31"/>
      <c r="I1765" s="31"/>
      <c r="J1765" s="31"/>
    </row>
    <row r="1766" spans="7:10" s="29" customFormat="1" x14ac:dyDescent="0.2">
      <c r="G1766" s="31"/>
      <c r="H1766" s="31"/>
      <c r="I1766" s="31"/>
      <c r="J1766" s="31"/>
    </row>
    <row r="1767" spans="7:10" s="29" customFormat="1" x14ac:dyDescent="0.2">
      <c r="G1767" s="31"/>
      <c r="H1767" s="31"/>
      <c r="I1767" s="31"/>
      <c r="J1767" s="31"/>
    </row>
    <row r="1768" spans="7:10" s="29" customFormat="1" x14ac:dyDescent="0.2">
      <c r="G1768" s="31"/>
      <c r="H1768" s="31"/>
      <c r="I1768" s="31"/>
      <c r="J1768" s="31"/>
    </row>
    <row r="1769" spans="7:10" s="29" customFormat="1" x14ac:dyDescent="0.2">
      <c r="G1769" s="31"/>
      <c r="H1769" s="31"/>
      <c r="I1769" s="31"/>
      <c r="J1769" s="31"/>
    </row>
    <row r="1770" spans="7:10" s="29" customFormat="1" x14ac:dyDescent="0.2">
      <c r="G1770" s="31"/>
      <c r="H1770" s="31"/>
      <c r="I1770" s="31"/>
      <c r="J1770" s="31"/>
    </row>
    <row r="1771" spans="7:10" s="29" customFormat="1" x14ac:dyDescent="0.2">
      <c r="G1771" s="31"/>
      <c r="H1771" s="31"/>
      <c r="I1771" s="31"/>
      <c r="J1771" s="31"/>
    </row>
    <row r="1772" spans="7:10" s="29" customFormat="1" x14ac:dyDescent="0.2">
      <c r="G1772" s="31"/>
      <c r="H1772" s="31"/>
      <c r="I1772" s="31"/>
      <c r="J1772" s="31"/>
    </row>
    <row r="1773" spans="7:10" s="29" customFormat="1" x14ac:dyDescent="0.2">
      <c r="G1773" s="31"/>
      <c r="H1773" s="31"/>
      <c r="I1773" s="31"/>
      <c r="J1773" s="31"/>
    </row>
    <row r="1774" spans="7:10" s="29" customFormat="1" x14ac:dyDescent="0.2">
      <c r="G1774" s="31"/>
      <c r="H1774" s="31"/>
      <c r="I1774" s="31"/>
      <c r="J1774" s="31"/>
    </row>
    <row r="1775" spans="7:10" s="29" customFormat="1" x14ac:dyDescent="0.2">
      <c r="G1775" s="31"/>
      <c r="H1775" s="31"/>
      <c r="I1775" s="31"/>
      <c r="J1775" s="31"/>
    </row>
    <row r="1776" spans="7:10" s="29" customFormat="1" x14ac:dyDescent="0.2">
      <c r="G1776" s="31"/>
      <c r="H1776" s="31"/>
      <c r="I1776" s="31"/>
      <c r="J1776" s="31"/>
    </row>
    <row r="1777" spans="7:10" s="29" customFormat="1" x14ac:dyDescent="0.2">
      <c r="G1777" s="31"/>
      <c r="H1777" s="31"/>
      <c r="I1777" s="31"/>
      <c r="J1777" s="31"/>
    </row>
    <row r="1778" spans="7:10" s="29" customFormat="1" x14ac:dyDescent="0.2">
      <c r="G1778" s="31"/>
      <c r="H1778" s="31"/>
      <c r="I1778" s="31"/>
      <c r="J1778" s="31"/>
    </row>
    <row r="1779" spans="7:10" s="29" customFormat="1" x14ac:dyDescent="0.2">
      <c r="G1779" s="31"/>
      <c r="H1779" s="31"/>
      <c r="I1779" s="31"/>
      <c r="J1779" s="31"/>
    </row>
    <row r="1780" spans="7:10" s="29" customFormat="1" x14ac:dyDescent="0.2">
      <c r="G1780" s="31"/>
      <c r="H1780" s="31"/>
      <c r="I1780" s="31"/>
      <c r="J1780" s="31"/>
    </row>
    <row r="1781" spans="7:10" s="29" customFormat="1" x14ac:dyDescent="0.2">
      <c r="G1781" s="31"/>
      <c r="H1781" s="31"/>
      <c r="I1781" s="31"/>
      <c r="J1781" s="31"/>
    </row>
    <row r="1782" spans="7:10" s="29" customFormat="1" x14ac:dyDescent="0.2">
      <c r="G1782" s="31"/>
      <c r="H1782" s="31"/>
      <c r="I1782" s="31"/>
      <c r="J1782" s="31"/>
    </row>
    <row r="1783" spans="7:10" s="29" customFormat="1" x14ac:dyDescent="0.2">
      <c r="G1783" s="31"/>
      <c r="H1783" s="31"/>
      <c r="I1783" s="31"/>
      <c r="J1783" s="31"/>
    </row>
    <row r="1784" spans="7:10" s="29" customFormat="1" x14ac:dyDescent="0.2">
      <c r="G1784" s="31"/>
      <c r="H1784" s="31"/>
      <c r="I1784" s="31"/>
      <c r="J1784" s="31"/>
    </row>
    <row r="1785" spans="7:10" s="29" customFormat="1" x14ac:dyDescent="0.2">
      <c r="G1785" s="31"/>
      <c r="H1785" s="31"/>
      <c r="I1785" s="31"/>
      <c r="J1785" s="31"/>
    </row>
    <row r="1786" spans="7:10" s="29" customFormat="1" x14ac:dyDescent="0.2">
      <c r="G1786" s="31"/>
      <c r="H1786" s="31"/>
      <c r="I1786" s="31"/>
      <c r="J1786" s="31"/>
    </row>
    <row r="1787" spans="7:10" s="29" customFormat="1" x14ac:dyDescent="0.2">
      <c r="G1787" s="31"/>
      <c r="H1787" s="31"/>
      <c r="I1787" s="31"/>
      <c r="J1787" s="31"/>
    </row>
    <row r="1788" spans="7:10" s="29" customFormat="1" x14ac:dyDescent="0.2">
      <c r="G1788" s="31"/>
      <c r="H1788" s="31"/>
      <c r="I1788" s="31"/>
      <c r="J1788" s="31"/>
    </row>
    <row r="1789" spans="7:10" s="29" customFormat="1" x14ac:dyDescent="0.2">
      <c r="G1789" s="31"/>
      <c r="H1789" s="31"/>
      <c r="I1789" s="31"/>
      <c r="J1789" s="31"/>
    </row>
    <row r="1790" spans="7:10" s="29" customFormat="1" x14ac:dyDescent="0.2">
      <c r="G1790" s="31"/>
      <c r="H1790" s="31"/>
      <c r="I1790" s="31"/>
      <c r="J1790" s="31"/>
    </row>
    <row r="1791" spans="7:10" s="29" customFormat="1" x14ac:dyDescent="0.2">
      <c r="G1791" s="31"/>
      <c r="H1791" s="31"/>
      <c r="I1791" s="31"/>
      <c r="J1791" s="31"/>
    </row>
    <row r="1792" spans="7:10" s="29" customFormat="1" x14ac:dyDescent="0.2">
      <c r="G1792" s="31"/>
      <c r="H1792" s="31"/>
      <c r="I1792" s="31"/>
      <c r="J1792" s="31"/>
    </row>
    <row r="1793" spans="7:10" s="29" customFormat="1" x14ac:dyDescent="0.2">
      <c r="G1793" s="31"/>
      <c r="H1793" s="31"/>
      <c r="I1793" s="31"/>
      <c r="J1793" s="31"/>
    </row>
    <row r="1794" spans="7:10" s="29" customFormat="1" x14ac:dyDescent="0.2">
      <c r="G1794" s="31"/>
      <c r="H1794" s="31"/>
      <c r="I1794" s="31"/>
      <c r="J1794" s="31"/>
    </row>
    <row r="1795" spans="7:10" s="29" customFormat="1" x14ac:dyDescent="0.2">
      <c r="G1795" s="31"/>
      <c r="H1795" s="31"/>
      <c r="I1795" s="31"/>
      <c r="J1795" s="31"/>
    </row>
    <row r="1796" spans="7:10" s="29" customFormat="1" x14ac:dyDescent="0.2">
      <c r="G1796" s="31"/>
      <c r="H1796" s="31"/>
      <c r="I1796" s="31"/>
      <c r="J1796" s="31"/>
    </row>
    <row r="1797" spans="7:10" s="29" customFormat="1" x14ac:dyDescent="0.2">
      <c r="G1797" s="31"/>
      <c r="H1797" s="31"/>
      <c r="I1797" s="31"/>
      <c r="J1797" s="31"/>
    </row>
    <row r="1798" spans="7:10" s="29" customFormat="1" x14ac:dyDescent="0.2">
      <c r="G1798" s="31"/>
      <c r="H1798" s="31"/>
      <c r="I1798" s="31"/>
      <c r="J1798" s="31"/>
    </row>
    <row r="1799" spans="7:10" s="29" customFormat="1" x14ac:dyDescent="0.2">
      <c r="G1799" s="31"/>
      <c r="H1799" s="31"/>
      <c r="I1799" s="31"/>
      <c r="J1799" s="31"/>
    </row>
    <row r="1800" spans="7:10" s="29" customFormat="1" x14ac:dyDescent="0.2">
      <c r="G1800" s="31"/>
      <c r="H1800" s="31"/>
      <c r="I1800" s="31"/>
      <c r="J1800" s="31"/>
    </row>
    <row r="1801" spans="7:10" s="29" customFormat="1" x14ac:dyDescent="0.2">
      <c r="G1801" s="31"/>
      <c r="H1801" s="31"/>
      <c r="I1801" s="31"/>
      <c r="J1801" s="31"/>
    </row>
    <row r="1802" spans="7:10" s="29" customFormat="1" x14ac:dyDescent="0.2">
      <c r="G1802" s="31"/>
      <c r="H1802" s="31"/>
      <c r="I1802" s="31"/>
      <c r="J1802" s="31"/>
    </row>
    <row r="1803" spans="7:10" s="29" customFormat="1" x14ac:dyDescent="0.2">
      <c r="G1803" s="31"/>
      <c r="H1803" s="31"/>
      <c r="I1803" s="31"/>
      <c r="J1803" s="31"/>
    </row>
    <row r="1804" spans="7:10" s="29" customFormat="1" x14ac:dyDescent="0.2">
      <c r="G1804" s="31"/>
      <c r="H1804" s="31"/>
      <c r="I1804" s="31"/>
      <c r="J1804" s="31"/>
    </row>
    <row r="1805" spans="7:10" s="29" customFormat="1" x14ac:dyDescent="0.2">
      <c r="G1805" s="31"/>
      <c r="H1805" s="31"/>
      <c r="I1805" s="31"/>
      <c r="J1805" s="31"/>
    </row>
    <row r="1806" spans="7:10" s="29" customFormat="1" x14ac:dyDescent="0.2">
      <c r="G1806" s="31"/>
      <c r="H1806" s="31"/>
      <c r="I1806" s="31"/>
      <c r="J1806" s="31"/>
    </row>
    <row r="1807" spans="7:10" s="29" customFormat="1" x14ac:dyDescent="0.2">
      <c r="G1807" s="31"/>
      <c r="H1807" s="31"/>
      <c r="I1807" s="31"/>
      <c r="J1807" s="31"/>
    </row>
    <row r="1808" spans="7:10" s="29" customFormat="1" x14ac:dyDescent="0.2">
      <c r="G1808" s="31"/>
      <c r="H1808" s="31"/>
      <c r="I1808" s="31"/>
      <c r="J1808" s="31"/>
    </row>
    <row r="1809" spans="7:10" s="29" customFormat="1" x14ac:dyDescent="0.2">
      <c r="G1809" s="31"/>
      <c r="H1809" s="31"/>
      <c r="I1809" s="31"/>
      <c r="J1809" s="31"/>
    </row>
    <row r="1810" spans="7:10" s="29" customFormat="1" x14ac:dyDescent="0.2">
      <c r="G1810" s="31"/>
      <c r="H1810" s="31"/>
      <c r="I1810" s="31"/>
      <c r="J1810" s="31"/>
    </row>
    <row r="1811" spans="7:10" s="29" customFormat="1" x14ac:dyDescent="0.2">
      <c r="G1811" s="31"/>
      <c r="H1811" s="31"/>
      <c r="I1811" s="31"/>
      <c r="J1811" s="31"/>
    </row>
    <row r="1812" spans="7:10" s="29" customFormat="1" x14ac:dyDescent="0.2">
      <c r="G1812" s="31"/>
      <c r="H1812" s="31"/>
      <c r="I1812" s="31"/>
      <c r="J1812" s="31"/>
    </row>
    <row r="1813" spans="7:10" s="29" customFormat="1" x14ac:dyDescent="0.2">
      <c r="G1813" s="31"/>
      <c r="H1813" s="31"/>
      <c r="I1813" s="31"/>
      <c r="J1813" s="31"/>
    </row>
    <row r="1814" spans="7:10" s="29" customFormat="1" x14ac:dyDescent="0.2">
      <c r="G1814" s="31"/>
      <c r="H1814" s="31"/>
      <c r="I1814" s="31"/>
      <c r="J1814" s="31"/>
    </row>
    <row r="1815" spans="7:10" s="29" customFormat="1" x14ac:dyDescent="0.2">
      <c r="G1815" s="31"/>
      <c r="H1815" s="31"/>
      <c r="I1815" s="31"/>
      <c r="J1815" s="31"/>
    </row>
    <row r="1816" spans="7:10" s="29" customFormat="1" x14ac:dyDescent="0.2">
      <c r="G1816" s="31"/>
      <c r="H1816" s="31"/>
      <c r="I1816" s="31"/>
      <c r="J1816" s="31"/>
    </row>
    <row r="1817" spans="7:10" s="29" customFormat="1" x14ac:dyDescent="0.2">
      <c r="G1817" s="31"/>
      <c r="H1817" s="31"/>
      <c r="I1817" s="31"/>
      <c r="J1817" s="31"/>
    </row>
    <row r="1818" spans="7:10" s="29" customFormat="1" x14ac:dyDescent="0.2">
      <c r="G1818" s="31"/>
      <c r="H1818" s="31"/>
      <c r="I1818" s="31"/>
      <c r="J1818" s="31"/>
    </row>
    <row r="1819" spans="7:10" s="29" customFormat="1" x14ac:dyDescent="0.2">
      <c r="G1819" s="31"/>
      <c r="H1819" s="31"/>
      <c r="I1819" s="31"/>
      <c r="J1819" s="31"/>
    </row>
    <row r="1820" spans="7:10" s="29" customFormat="1" x14ac:dyDescent="0.2">
      <c r="G1820" s="31"/>
      <c r="H1820" s="31"/>
      <c r="I1820" s="31"/>
      <c r="J1820" s="31"/>
    </row>
    <row r="1821" spans="7:10" s="29" customFormat="1" x14ac:dyDescent="0.2">
      <c r="G1821" s="31"/>
      <c r="H1821" s="31"/>
      <c r="I1821" s="31"/>
      <c r="J1821" s="31"/>
    </row>
    <row r="1822" spans="7:10" s="29" customFormat="1" x14ac:dyDescent="0.2">
      <c r="G1822" s="31"/>
      <c r="H1822" s="31"/>
      <c r="I1822" s="31"/>
      <c r="J1822" s="31"/>
    </row>
    <row r="1823" spans="7:10" s="29" customFormat="1" x14ac:dyDescent="0.2">
      <c r="G1823" s="31"/>
      <c r="H1823" s="31"/>
      <c r="I1823" s="31"/>
      <c r="J1823" s="31"/>
    </row>
    <row r="1824" spans="7:10" s="29" customFormat="1" x14ac:dyDescent="0.2">
      <c r="G1824" s="31"/>
      <c r="H1824" s="31"/>
      <c r="I1824" s="31"/>
      <c r="J1824" s="31"/>
    </row>
    <row r="1825" spans="7:10" s="29" customFormat="1" x14ac:dyDescent="0.2">
      <c r="G1825" s="31"/>
      <c r="H1825" s="31"/>
      <c r="I1825" s="31"/>
      <c r="J1825" s="31"/>
    </row>
    <row r="1826" spans="7:10" s="29" customFormat="1" x14ac:dyDescent="0.2">
      <c r="G1826" s="31"/>
      <c r="H1826" s="31"/>
      <c r="I1826" s="31"/>
      <c r="J1826" s="31"/>
    </row>
    <row r="1827" spans="7:10" s="29" customFormat="1" x14ac:dyDescent="0.2">
      <c r="G1827" s="31"/>
      <c r="H1827" s="31"/>
      <c r="I1827" s="31"/>
      <c r="J1827" s="31"/>
    </row>
    <row r="1828" spans="7:10" s="29" customFormat="1" x14ac:dyDescent="0.2">
      <c r="G1828" s="31"/>
      <c r="H1828" s="31"/>
      <c r="I1828" s="31"/>
      <c r="J1828" s="31"/>
    </row>
    <row r="1829" spans="7:10" s="29" customFormat="1" x14ac:dyDescent="0.2">
      <c r="G1829" s="31"/>
      <c r="H1829" s="31"/>
      <c r="I1829" s="31"/>
      <c r="J1829" s="31"/>
    </row>
    <row r="1830" spans="7:10" s="29" customFormat="1" x14ac:dyDescent="0.2">
      <c r="G1830" s="31"/>
      <c r="H1830" s="31"/>
      <c r="I1830" s="31"/>
      <c r="J1830" s="31"/>
    </row>
    <row r="1831" spans="7:10" s="29" customFormat="1" x14ac:dyDescent="0.2">
      <c r="G1831" s="31"/>
      <c r="H1831" s="31"/>
      <c r="I1831" s="31"/>
      <c r="J1831" s="31"/>
    </row>
    <row r="1832" spans="7:10" s="29" customFormat="1" x14ac:dyDescent="0.2">
      <c r="G1832" s="31"/>
      <c r="H1832" s="31"/>
      <c r="I1832" s="31"/>
      <c r="J1832" s="31"/>
    </row>
    <row r="1833" spans="7:10" s="29" customFormat="1" x14ac:dyDescent="0.2">
      <c r="G1833" s="31"/>
      <c r="H1833" s="31"/>
      <c r="I1833" s="31"/>
      <c r="J1833" s="31"/>
    </row>
    <row r="1834" spans="7:10" s="29" customFormat="1" x14ac:dyDescent="0.2">
      <c r="G1834" s="31"/>
      <c r="H1834" s="31"/>
      <c r="I1834" s="31"/>
      <c r="J1834" s="31"/>
    </row>
    <row r="1835" spans="7:10" s="29" customFormat="1" x14ac:dyDescent="0.2">
      <c r="G1835" s="31"/>
      <c r="H1835" s="31"/>
      <c r="I1835" s="31"/>
      <c r="J1835" s="31"/>
    </row>
    <row r="1836" spans="7:10" s="29" customFormat="1" x14ac:dyDescent="0.2">
      <c r="G1836" s="31"/>
      <c r="H1836" s="31"/>
      <c r="I1836" s="31"/>
      <c r="J1836" s="31"/>
    </row>
    <row r="1837" spans="7:10" s="29" customFormat="1" x14ac:dyDescent="0.2">
      <c r="G1837" s="31"/>
      <c r="H1837" s="31"/>
      <c r="I1837" s="31"/>
      <c r="J1837" s="31"/>
    </row>
    <row r="1838" spans="7:10" s="29" customFormat="1" x14ac:dyDescent="0.2">
      <c r="G1838" s="31"/>
      <c r="H1838" s="31"/>
      <c r="I1838" s="31"/>
      <c r="J1838" s="31"/>
    </row>
    <row r="1839" spans="7:10" s="29" customFormat="1" x14ac:dyDescent="0.2">
      <c r="G1839" s="31"/>
      <c r="H1839" s="31"/>
      <c r="I1839" s="31"/>
      <c r="J1839" s="31"/>
    </row>
    <row r="1840" spans="7:10" s="29" customFormat="1" x14ac:dyDescent="0.2">
      <c r="G1840" s="31"/>
      <c r="H1840" s="31"/>
      <c r="I1840" s="31"/>
      <c r="J1840" s="31"/>
    </row>
    <row r="1841" spans="7:10" s="29" customFormat="1" x14ac:dyDescent="0.2">
      <c r="G1841" s="31"/>
      <c r="H1841" s="31"/>
      <c r="I1841" s="31"/>
      <c r="J1841" s="31"/>
    </row>
    <row r="1842" spans="7:10" s="29" customFormat="1" x14ac:dyDescent="0.2">
      <c r="G1842" s="31"/>
      <c r="H1842" s="31"/>
      <c r="I1842" s="31"/>
      <c r="J1842" s="31"/>
    </row>
    <row r="1843" spans="7:10" s="29" customFormat="1" x14ac:dyDescent="0.2">
      <c r="G1843" s="31"/>
      <c r="H1843" s="31"/>
      <c r="I1843" s="31"/>
      <c r="J1843" s="31"/>
    </row>
    <row r="1844" spans="7:10" s="29" customFormat="1" x14ac:dyDescent="0.2">
      <c r="G1844" s="31"/>
      <c r="H1844" s="31"/>
      <c r="I1844" s="31"/>
      <c r="J1844" s="31"/>
    </row>
    <row r="1845" spans="7:10" s="29" customFormat="1" x14ac:dyDescent="0.2">
      <c r="G1845" s="31"/>
      <c r="H1845" s="31"/>
      <c r="I1845" s="31"/>
      <c r="J1845" s="31"/>
    </row>
    <row r="1846" spans="7:10" s="29" customFormat="1" x14ac:dyDescent="0.2">
      <c r="G1846" s="31"/>
      <c r="H1846" s="31"/>
      <c r="I1846" s="31"/>
      <c r="J1846" s="31"/>
    </row>
    <row r="1847" spans="7:10" s="29" customFormat="1" x14ac:dyDescent="0.2">
      <c r="G1847" s="31"/>
      <c r="H1847" s="31"/>
      <c r="I1847" s="31"/>
      <c r="J1847" s="31"/>
    </row>
    <row r="1848" spans="7:10" s="29" customFormat="1" x14ac:dyDescent="0.2">
      <c r="G1848" s="31"/>
      <c r="H1848" s="31"/>
      <c r="I1848" s="31"/>
      <c r="J1848" s="31"/>
    </row>
    <row r="1849" spans="7:10" s="29" customFormat="1" x14ac:dyDescent="0.2">
      <c r="G1849" s="31"/>
      <c r="H1849" s="31"/>
      <c r="I1849" s="31"/>
      <c r="J1849" s="31"/>
    </row>
    <row r="1850" spans="7:10" s="29" customFormat="1" x14ac:dyDescent="0.2">
      <c r="G1850" s="31"/>
      <c r="H1850" s="31"/>
      <c r="I1850" s="31"/>
      <c r="J1850" s="31"/>
    </row>
    <row r="1851" spans="7:10" s="29" customFormat="1" x14ac:dyDescent="0.2">
      <c r="G1851" s="31"/>
      <c r="H1851" s="31"/>
      <c r="I1851" s="31"/>
      <c r="J1851" s="31"/>
    </row>
    <row r="1852" spans="7:10" s="29" customFormat="1" x14ac:dyDescent="0.2">
      <c r="G1852" s="31"/>
      <c r="H1852" s="31"/>
      <c r="I1852" s="31"/>
      <c r="J1852" s="31"/>
    </row>
    <row r="1853" spans="7:10" s="29" customFormat="1" x14ac:dyDescent="0.2">
      <c r="G1853" s="31"/>
      <c r="H1853" s="31"/>
      <c r="I1853" s="31"/>
      <c r="J1853" s="31"/>
    </row>
    <row r="1854" spans="7:10" s="29" customFormat="1" x14ac:dyDescent="0.2">
      <c r="G1854" s="31"/>
      <c r="H1854" s="31"/>
      <c r="I1854" s="31"/>
      <c r="J1854" s="31"/>
    </row>
    <row r="1855" spans="7:10" s="29" customFormat="1" x14ac:dyDescent="0.2">
      <c r="G1855" s="31"/>
      <c r="H1855" s="31"/>
      <c r="I1855" s="31"/>
      <c r="J1855" s="31"/>
    </row>
    <row r="1856" spans="7:10" s="29" customFormat="1" x14ac:dyDescent="0.2">
      <c r="G1856" s="31"/>
      <c r="H1856" s="31"/>
      <c r="I1856" s="31"/>
      <c r="J1856" s="31"/>
    </row>
    <row r="1857" spans="7:10" s="29" customFormat="1" x14ac:dyDescent="0.2">
      <c r="G1857" s="31"/>
      <c r="H1857" s="31"/>
      <c r="I1857" s="31"/>
      <c r="J1857" s="31"/>
    </row>
    <row r="1858" spans="7:10" s="29" customFormat="1" x14ac:dyDescent="0.2">
      <c r="G1858" s="31"/>
      <c r="H1858" s="31"/>
      <c r="I1858" s="31"/>
      <c r="J1858" s="31"/>
    </row>
    <row r="1859" spans="7:10" s="29" customFormat="1" x14ac:dyDescent="0.2">
      <c r="G1859" s="31"/>
      <c r="H1859" s="31"/>
      <c r="I1859" s="31"/>
      <c r="J1859" s="31"/>
    </row>
    <row r="1860" spans="7:10" s="29" customFormat="1" x14ac:dyDescent="0.2">
      <c r="G1860" s="31"/>
      <c r="H1860" s="31"/>
      <c r="I1860" s="31"/>
      <c r="J1860" s="31"/>
    </row>
    <row r="1861" spans="7:10" s="29" customFormat="1" x14ac:dyDescent="0.2">
      <c r="G1861" s="31"/>
      <c r="H1861" s="31"/>
      <c r="I1861" s="31"/>
      <c r="J1861" s="31"/>
    </row>
    <row r="1862" spans="7:10" s="29" customFormat="1" x14ac:dyDescent="0.2">
      <c r="G1862" s="31"/>
      <c r="H1862" s="31"/>
      <c r="I1862" s="31"/>
      <c r="J1862" s="31"/>
    </row>
    <row r="1863" spans="7:10" s="29" customFormat="1" x14ac:dyDescent="0.2">
      <c r="G1863" s="31"/>
      <c r="H1863" s="31"/>
      <c r="I1863" s="31"/>
      <c r="J1863" s="31"/>
    </row>
    <row r="1864" spans="7:10" s="29" customFormat="1" x14ac:dyDescent="0.2">
      <c r="G1864" s="31"/>
      <c r="H1864" s="31"/>
      <c r="I1864" s="31"/>
      <c r="J1864" s="31"/>
    </row>
    <row r="1865" spans="7:10" s="29" customFormat="1" x14ac:dyDescent="0.2">
      <c r="G1865" s="31"/>
      <c r="H1865" s="31"/>
      <c r="I1865" s="31"/>
      <c r="J1865" s="31"/>
    </row>
    <row r="1866" spans="7:10" s="29" customFormat="1" x14ac:dyDescent="0.2">
      <c r="G1866" s="31"/>
      <c r="H1866" s="31"/>
      <c r="I1866" s="31"/>
      <c r="J1866" s="31"/>
    </row>
    <row r="1867" spans="7:10" s="29" customFormat="1" x14ac:dyDescent="0.2">
      <c r="G1867" s="31"/>
      <c r="H1867" s="31"/>
      <c r="I1867" s="31"/>
      <c r="J1867" s="31"/>
    </row>
    <row r="1868" spans="7:10" s="29" customFormat="1" x14ac:dyDescent="0.2">
      <c r="G1868" s="31"/>
      <c r="H1868" s="31"/>
      <c r="I1868" s="31"/>
      <c r="J1868" s="31"/>
    </row>
    <row r="1869" spans="7:10" s="29" customFormat="1" x14ac:dyDescent="0.2">
      <c r="G1869" s="31"/>
      <c r="H1869" s="31"/>
      <c r="I1869" s="31"/>
      <c r="J1869" s="31"/>
    </row>
    <row r="1870" spans="7:10" s="29" customFormat="1" x14ac:dyDescent="0.2">
      <c r="G1870" s="31"/>
      <c r="H1870" s="31"/>
      <c r="I1870" s="31"/>
      <c r="J1870" s="31"/>
    </row>
    <row r="1871" spans="7:10" s="29" customFormat="1" x14ac:dyDescent="0.2">
      <c r="G1871" s="31"/>
      <c r="H1871" s="31"/>
      <c r="I1871" s="31"/>
      <c r="J1871" s="31"/>
    </row>
    <row r="1872" spans="7:10" s="29" customFormat="1" x14ac:dyDescent="0.2">
      <c r="G1872" s="31"/>
      <c r="H1872" s="31"/>
      <c r="I1872" s="31"/>
      <c r="J1872" s="31"/>
    </row>
    <row r="1873" spans="7:10" s="29" customFormat="1" x14ac:dyDescent="0.2">
      <c r="G1873" s="31"/>
      <c r="H1873" s="31"/>
      <c r="I1873" s="31"/>
      <c r="J1873" s="31"/>
    </row>
    <row r="1874" spans="7:10" s="29" customFormat="1" x14ac:dyDescent="0.2">
      <c r="G1874" s="31"/>
      <c r="H1874" s="31"/>
      <c r="I1874" s="31"/>
      <c r="J1874" s="31"/>
    </row>
    <row r="1875" spans="7:10" s="29" customFormat="1" x14ac:dyDescent="0.2">
      <c r="G1875" s="31"/>
      <c r="H1875" s="31"/>
      <c r="I1875" s="31"/>
      <c r="J1875" s="31"/>
    </row>
    <row r="1876" spans="7:10" s="29" customFormat="1" x14ac:dyDescent="0.2">
      <c r="G1876" s="31"/>
      <c r="H1876" s="31"/>
      <c r="I1876" s="31"/>
      <c r="J1876" s="31"/>
    </row>
    <row r="1877" spans="7:10" s="29" customFormat="1" x14ac:dyDescent="0.2">
      <c r="G1877" s="31"/>
      <c r="H1877" s="31"/>
      <c r="I1877" s="31"/>
      <c r="J1877" s="31"/>
    </row>
    <row r="1878" spans="7:10" s="29" customFormat="1" x14ac:dyDescent="0.2">
      <c r="G1878" s="31"/>
      <c r="H1878" s="31"/>
      <c r="I1878" s="31"/>
      <c r="J1878" s="31"/>
    </row>
    <row r="1879" spans="7:10" s="29" customFormat="1" x14ac:dyDescent="0.2">
      <c r="G1879" s="31"/>
      <c r="H1879" s="31"/>
      <c r="I1879" s="31"/>
      <c r="J1879" s="31"/>
    </row>
    <row r="1880" spans="7:10" s="29" customFormat="1" x14ac:dyDescent="0.2">
      <c r="G1880" s="31"/>
      <c r="H1880" s="31"/>
      <c r="I1880" s="31"/>
      <c r="J1880" s="31"/>
    </row>
    <row r="1881" spans="7:10" s="29" customFormat="1" x14ac:dyDescent="0.2">
      <c r="G1881" s="31"/>
      <c r="H1881" s="31"/>
      <c r="I1881" s="31"/>
      <c r="J1881" s="31"/>
    </row>
    <row r="1882" spans="7:10" s="29" customFormat="1" x14ac:dyDescent="0.2">
      <c r="G1882" s="31"/>
      <c r="H1882" s="31"/>
      <c r="I1882" s="31"/>
      <c r="J1882" s="31"/>
    </row>
    <row r="1883" spans="7:10" s="29" customFormat="1" x14ac:dyDescent="0.2">
      <c r="G1883" s="31"/>
      <c r="H1883" s="31"/>
      <c r="I1883" s="31"/>
      <c r="J1883" s="31"/>
    </row>
    <row r="1884" spans="7:10" s="29" customFormat="1" x14ac:dyDescent="0.2">
      <c r="G1884" s="31"/>
      <c r="H1884" s="31"/>
      <c r="I1884" s="31"/>
      <c r="J1884" s="31"/>
    </row>
    <row r="1885" spans="7:10" s="29" customFormat="1" x14ac:dyDescent="0.2">
      <c r="G1885" s="31"/>
      <c r="H1885" s="31"/>
      <c r="I1885" s="31"/>
      <c r="J1885" s="31"/>
    </row>
    <row r="1886" spans="7:10" s="29" customFormat="1" x14ac:dyDescent="0.2">
      <c r="G1886" s="31"/>
      <c r="H1886" s="31"/>
      <c r="I1886" s="31"/>
      <c r="J1886" s="31"/>
    </row>
    <row r="1887" spans="7:10" s="29" customFormat="1" x14ac:dyDescent="0.2">
      <c r="G1887" s="31"/>
      <c r="H1887" s="31"/>
      <c r="I1887" s="31"/>
      <c r="J1887" s="31"/>
    </row>
    <row r="1888" spans="7:10" s="29" customFormat="1" x14ac:dyDescent="0.2">
      <c r="G1888" s="31"/>
      <c r="H1888" s="31"/>
      <c r="I1888" s="31"/>
      <c r="J1888" s="31"/>
    </row>
    <row r="1889" spans="7:10" s="29" customFormat="1" x14ac:dyDescent="0.2">
      <c r="G1889" s="31"/>
      <c r="H1889" s="31"/>
      <c r="I1889" s="31"/>
      <c r="J1889" s="31"/>
    </row>
    <row r="1890" spans="7:10" s="29" customFormat="1" x14ac:dyDescent="0.2">
      <c r="G1890" s="31"/>
      <c r="H1890" s="31"/>
      <c r="I1890" s="31"/>
      <c r="J1890" s="31"/>
    </row>
    <row r="1891" spans="7:10" s="29" customFormat="1" x14ac:dyDescent="0.2">
      <c r="G1891" s="31"/>
      <c r="H1891" s="31"/>
      <c r="I1891" s="31"/>
      <c r="J1891" s="31"/>
    </row>
    <row r="1892" spans="7:10" s="29" customFormat="1" x14ac:dyDescent="0.2">
      <c r="G1892" s="31"/>
      <c r="H1892" s="31"/>
      <c r="I1892" s="31"/>
      <c r="J1892" s="31"/>
    </row>
    <row r="1893" spans="7:10" s="29" customFormat="1" x14ac:dyDescent="0.2">
      <c r="G1893" s="31"/>
      <c r="H1893" s="31"/>
      <c r="I1893" s="31"/>
      <c r="J1893" s="31"/>
    </row>
    <row r="1894" spans="7:10" s="29" customFormat="1" x14ac:dyDescent="0.2">
      <c r="G1894" s="31"/>
      <c r="H1894" s="31"/>
      <c r="I1894" s="31"/>
      <c r="J1894" s="31"/>
    </row>
    <row r="1895" spans="7:10" s="29" customFormat="1" x14ac:dyDescent="0.2">
      <c r="G1895" s="31"/>
      <c r="H1895" s="31"/>
      <c r="I1895" s="31"/>
      <c r="J1895" s="31"/>
    </row>
    <row r="1896" spans="7:10" s="29" customFormat="1" x14ac:dyDescent="0.2">
      <c r="G1896" s="31"/>
      <c r="H1896" s="31"/>
      <c r="I1896" s="31"/>
      <c r="J1896" s="31"/>
    </row>
    <row r="1897" spans="7:10" s="29" customFormat="1" x14ac:dyDescent="0.2">
      <c r="G1897" s="31"/>
      <c r="H1897" s="31"/>
      <c r="I1897" s="31"/>
      <c r="J1897" s="31"/>
    </row>
    <row r="1898" spans="7:10" s="29" customFormat="1" x14ac:dyDescent="0.2">
      <c r="G1898" s="31"/>
      <c r="H1898" s="31"/>
      <c r="I1898" s="31"/>
      <c r="J1898" s="31"/>
    </row>
    <row r="1899" spans="7:10" s="29" customFormat="1" x14ac:dyDescent="0.2">
      <c r="G1899" s="31"/>
      <c r="H1899" s="31"/>
      <c r="I1899" s="31"/>
      <c r="J1899" s="31"/>
    </row>
    <row r="1900" spans="7:10" s="29" customFormat="1" x14ac:dyDescent="0.2">
      <c r="G1900" s="31"/>
      <c r="H1900" s="31"/>
      <c r="I1900" s="31"/>
      <c r="J1900" s="31"/>
    </row>
    <row r="1901" spans="7:10" s="29" customFormat="1" x14ac:dyDescent="0.2">
      <c r="G1901" s="31"/>
      <c r="H1901" s="31"/>
      <c r="I1901" s="31"/>
      <c r="J1901" s="31"/>
    </row>
    <row r="1902" spans="7:10" s="29" customFormat="1" x14ac:dyDescent="0.2">
      <c r="G1902" s="31"/>
      <c r="H1902" s="31"/>
      <c r="I1902" s="31"/>
      <c r="J1902" s="31"/>
    </row>
    <row r="1903" spans="7:10" s="29" customFormat="1" x14ac:dyDescent="0.2">
      <c r="G1903" s="31"/>
      <c r="H1903" s="31"/>
      <c r="I1903" s="31"/>
      <c r="J1903" s="31"/>
    </row>
    <row r="1904" spans="7:10" s="29" customFormat="1" x14ac:dyDescent="0.2">
      <c r="G1904" s="31"/>
      <c r="H1904" s="31"/>
      <c r="I1904" s="31"/>
      <c r="J1904" s="31"/>
    </row>
    <row r="1905" spans="7:10" s="29" customFormat="1" x14ac:dyDescent="0.2">
      <c r="G1905" s="31"/>
      <c r="H1905" s="31"/>
      <c r="I1905" s="31"/>
      <c r="J1905" s="31"/>
    </row>
    <row r="1906" spans="7:10" s="29" customFormat="1" x14ac:dyDescent="0.2">
      <c r="G1906" s="31"/>
      <c r="H1906" s="31"/>
      <c r="I1906" s="31"/>
      <c r="J1906" s="31"/>
    </row>
    <row r="1907" spans="7:10" s="29" customFormat="1" x14ac:dyDescent="0.2">
      <c r="G1907" s="31"/>
      <c r="H1907" s="31"/>
      <c r="I1907" s="31"/>
      <c r="J1907" s="31"/>
    </row>
    <row r="1908" spans="7:10" s="29" customFormat="1" x14ac:dyDescent="0.2">
      <c r="G1908" s="31"/>
      <c r="H1908" s="31"/>
      <c r="I1908" s="31"/>
      <c r="J1908" s="31"/>
    </row>
    <row r="1909" spans="7:10" s="29" customFormat="1" x14ac:dyDescent="0.2">
      <c r="G1909" s="31"/>
      <c r="H1909" s="31"/>
      <c r="I1909" s="31"/>
      <c r="J1909" s="31"/>
    </row>
    <row r="1910" spans="7:10" s="29" customFormat="1" x14ac:dyDescent="0.2">
      <c r="G1910" s="31"/>
      <c r="H1910" s="31"/>
      <c r="I1910" s="31"/>
      <c r="J1910" s="31"/>
    </row>
    <row r="1911" spans="7:10" s="29" customFormat="1" x14ac:dyDescent="0.2">
      <c r="G1911" s="31"/>
      <c r="H1911" s="31"/>
      <c r="I1911" s="31"/>
      <c r="J1911" s="31"/>
    </row>
    <row r="1912" spans="7:10" s="29" customFormat="1" x14ac:dyDescent="0.2">
      <c r="G1912" s="31"/>
      <c r="H1912" s="31"/>
      <c r="I1912" s="31"/>
      <c r="J1912" s="31"/>
    </row>
    <row r="1913" spans="7:10" s="29" customFormat="1" x14ac:dyDescent="0.2">
      <c r="G1913" s="31"/>
      <c r="H1913" s="31"/>
      <c r="I1913" s="31"/>
      <c r="J1913" s="31"/>
    </row>
    <row r="1914" spans="7:10" s="29" customFormat="1" x14ac:dyDescent="0.2">
      <c r="G1914" s="31"/>
      <c r="H1914" s="31"/>
      <c r="I1914" s="31"/>
      <c r="J1914" s="31"/>
    </row>
    <row r="1915" spans="7:10" s="29" customFormat="1" x14ac:dyDescent="0.2">
      <c r="G1915" s="31"/>
      <c r="H1915" s="31"/>
      <c r="I1915" s="31"/>
      <c r="J1915" s="31"/>
    </row>
    <row r="1916" spans="7:10" s="29" customFormat="1" x14ac:dyDescent="0.2">
      <c r="G1916" s="31"/>
      <c r="H1916" s="31"/>
      <c r="I1916" s="31"/>
      <c r="J1916" s="31"/>
    </row>
    <row r="1917" spans="7:10" s="29" customFormat="1" x14ac:dyDescent="0.2">
      <c r="G1917" s="31"/>
      <c r="H1917" s="31"/>
      <c r="I1917" s="31"/>
      <c r="J1917" s="31"/>
    </row>
    <row r="1918" spans="7:10" s="29" customFormat="1" x14ac:dyDescent="0.2">
      <c r="G1918" s="31"/>
      <c r="H1918" s="31"/>
      <c r="I1918" s="31"/>
      <c r="J1918" s="31"/>
    </row>
    <row r="1919" spans="7:10" s="29" customFormat="1" x14ac:dyDescent="0.2">
      <c r="G1919" s="31"/>
      <c r="H1919" s="31"/>
      <c r="I1919" s="31"/>
      <c r="J1919" s="31"/>
    </row>
    <row r="1920" spans="7:10" s="29" customFormat="1" x14ac:dyDescent="0.2">
      <c r="G1920" s="31"/>
      <c r="H1920" s="31"/>
      <c r="I1920" s="31"/>
      <c r="J1920" s="31"/>
    </row>
    <row r="1921" spans="7:10" s="29" customFormat="1" x14ac:dyDescent="0.2">
      <c r="G1921" s="31"/>
      <c r="H1921" s="31"/>
      <c r="I1921" s="31"/>
      <c r="J1921" s="31"/>
    </row>
    <row r="1922" spans="7:10" s="29" customFormat="1" x14ac:dyDescent="0.2">
      <c r="G1922" s="31"/>
      <c r="H1922" s="31"/>
      <c r="I1922" s="31"/>
      <c r="J1922" s="31"/>
    </row>
    <row r="1923" spans="7:10" s="29" customFormat="1" x14ac:dyDescent="0.2">
      <c r="G1923" s="31"/>
      <c r="H1923" s="31"/>
      <c r="I1923" s="31"/>
      <c r="J1923" s="31"/>
    </row>
    <row r="1924" spans="7:10" s="29" customFormat="1" x14ac:dyDescent="0.2">
      <c r="G1924" s="31"/>
      <c r="H1924" s="31"/>
      <c r="I1924" s="31"/>
      <c r="J1924" s="31"/>
    </row>
    <row r="1925" spans="7:10" s="29" customFormat="1" x14ac:dyDescent="0.2">
      <c r="G1925" s="31"/>
      <c r="H1925" s="31"/>
      <c r="I1925" s="31"/>
      <c r="J1925" s="31"/>
    </row>
    <row r="1926" spans="7:10" s="29" customFormat="1" x14ac:dyDescent="0.2">
      <c r="G1926" s="31"/>
      <c r="H1926" s="31"/>
      <c r="I1926" s="31"/>
      <c r="J1926" s="31"/>
    </row>
    <row r="1927" spans="7:10" s="29" customFormat="1" x14ac:dyDescent="0.2">
      <c r="G1927" s="31"/>
      <c r="H1927" s="31"/>
      <c r="I1927" s="31"/>
      <c r="J1927" s="31"/>
    </row>
    <row r="1928" spans="7:10" s="29" customFormat="1" x14ac:dyDescent="0.2">
      <c r="G1928" s="31"/>
      <c r="H1928" s="31"/>
      <c r="I1928" s="31"/>
      <c r="J1928" s="31"/>
    </row>
    <row r="1929" spans="7:10" s="29" customFormat="1" x14ac:dyDescent="0.2">
      <c r="G1929" s="31"/>
      <c r="H1929" s="31"/>
      <c r="I1929" s="31"/>
      <c r="J1929" s="31"/>
    </row>
    <row r="1930" spans="7:10" s="29" customFormat="1" x14ac:dyDescent="0.2">
      <c r="G1930" s="31"/>
      <c r="H1930" s="31"/>
      <c r="I1930" s="31"/>
      <c r="J1930" s="31"/>
    </row>
    <row r="1931" spans="7:10" s="29" customFormat="1" x14ac:dyDescent="0.2">
      <c r="G1931" s="31"/>
      <c r="H1931" s="31"/>
      <c r="I1931" s="31"/>
      <c r="J1931" s="31"/>
    </row>
    <row r="1932" spans="7:10" s="29" customFormat="1" x14ac:dyDescent="0.2">
      <c r="G1932" s="31"/>
      <c r="H1932" s="31"/>
      <c r="I1932" s="31"/>
      <c r="J1932" s="31"/>
    </row>
    <row r="1933" spans="7:10" s="29" customFormat="1" x14ac:dyDescent="0.2">
      <c r="G1933" s="31"/>
      <c r="H1933" s="31"/>
      <c r="I1933" s="31"/>
      <c r="J1933" s="31"/>
    </row>
    <row r="1934" spans="7:10" s="29" customFormat="1" x14ac:dyDescent="0.2">
      <c r="G1934" s="31"/>
      <c r="H1934" s="31"/>
      <c r="I1934" s="31"/>
      <c r="J1934" s="31"/>
    </row>
    <row r="1935" spans="7:10" s="29" customFormat="1" x14ac:dyDescent="0.2">
      <c r="G1935" s="31"/>
      <c r="H1935" s="31"/>
      <c r="I1935" s="31"/>
      <c r="J1935" s="31"/>
    </row>
    <row r="1936" spans="7:10" s="29" customFormat="1" x14ac:dyDescent="0.2">
      <c r="G1936" s="31"/>
      <c r="H1936" s="31"/>
      <c r="I1936" s="31"/>
      <c r="J1936" s="31"/>
    </row>
    <row r="1937" spans="7:10" s="29" customFormat="1" x14ac:dyDescent="0.2">
      <c r="G1937" s="31"/>
      <c r="H1937" s="31"/>
      <c r="I1937" s="31"/>
      <c r="J1937" s="31"/>
    </row>
    <row r="1938" spans="7:10" s="29" customFormat="1" x14ac:dyDescent="0.2">
      <c r="G1938" s="31"/>
      <c r="H1938" s="31"/>
      <c r="I1938" s="31"/>
      <c r="J1938" s="31"/>
    </row>
    <row r="1939" spans="7:10" s="29" customFormat="1" x14ac:dyDescent="0.2">
      <c r="G1939" s="31"/>
      <c r="H1939" s="31"/>
      <c r="I1939" s="31"/>
      <c r="J1939" s="31"/>
    </row>
    <row r="1940" spans="7:10" s="29" customFormat="1" x14ac:dyDescent="0.2">
      <c r="G1940" s="31"/>
      <c r="H1940" s="31"/>
      <c r="I1940" s="31"/>
      <c r="J1940" s="31"/>
    </row>
    <row r="1941" spans="7:10" s="29" customFormat="1" x14ac:dyDescent="0.2">
      <c r="G1941" s="31"/>
      <c r="H1941" s="31"/>
      <c r="I1941" s="31"/>
      <c r="J1941" s="31"/>
    </row>
    <row r="1942" spans="7:10" s="29" customFormat="1" x14ac:dyDescent="0.2">
      <c r="G1942" s="31"/>
      <c r="H1942" s="31"/>
      <c r="I1942" s="31"/>
      <c r="J1942" s="31"/>
    </row>
    <row r="1943" spans="7:10" s="29" customFormat="1" x14ac:dyDescent="0.2">
      <c r="G1943" s="31"/>
      <c r="H1943" s="31"/>
      <c r="I1943" s="31"/>
      <c r="J1943" s="31"/>
    </row>
    <row r="1944" spans="7:10" s="29" customFormat="1" x14ac:dyDescent="0.2">
      <c r="G1944" s="31"/>
      <c r="H1944" s="31"/>
      <c r="I1944" s="31"/>
      <c r="J1944" s="31"/>
    </row>
    <row r="1945" spans="7:10" s="29" customFormat="1" x14ac:dyDescent="0.2">
      <c r="G1945" s="31"/>
      <c r="H1945" s="31"/>
      <c r="I1945" s="31"/>
      <c r="J1945" s="31"/>
    </row>
    <row r="1946" spans="7:10" s="29" customFormat="1" x14ac:dyDescent="0.2">
      <c r="G1946" s="31"/>
      <c r="H1946" s="31"/>
      <c r="I1946" s="31"/>
      <c r="J1946" s="31"/>
    </row>
    <row r="1947" spans="7:10" s="29" customFormat="1" x14ac:dyDescent="0.2">
      <c r="G1947" s="31"/>
      <c r="H1947" s="31"/>
      <c r="I1947" s="31"/>
      <c r="J1947" s="31"/>
    </row>
    <row r="1948" spans="7:10" s="29" customFormat="1" x14ac:dyDescent="0.2">
      <c r="G1948" s="31"/>
      <c r="H1948" s="31"/>
      <c r="I1948" s="31"/>
      <c r="J1948" s="31"/>
    </row>
    <row r="1949" spans="7:10" s="29" customFormat="1" x14ac:dyDescent="0.2">
      <c r="G1949" s="31"/>
      <c r="H1949" s="31"/>
      <c r="I1949" s="31"/>
      <c r="J1949" s="31"/>
    </row>
    <row r="1950" spans="7:10" s="29" customFormat="1" x14ac:dyDescent="0.2">
      <c r="G1950" s="31"/>
      <c r="H1950" s="31"/>
      <c r="I1950" s="31"/>
      <c r="J1950" s="31"/>
    </row>
    <row r="1951" spans="7:10" s="29" customFormat="1" x14ac:dyDescent="0.2">
      <c r="G1951" s="31"/>
      <c r="H1951" s="31"/>
      <c r="I1951" s="31"/>
      <c r="J1951" s="31"/>
    </row>
    <row r="1952" spans="7:10" s="29" customFormat="1" x14ac:dyDescent="0.2">
      <c r="G1952" s="31"/>
      <c r="H1952" s="31"/>
      <c r="I1952" s="31"/>
      <c r="J1952" s="31"/>
    </row>
    <row r="1953" spans="7:10" s="29" customFormat="1" x14ac:dyDescent="0.2">
      <c r="G1953" s="31"/>
      <c r="H1953" s="31"/>
      <c r="I1953" s="31"/>
      <c r="J1953" s="31"/>
    </row>
    <row r="1954" spans="7:10" s="29" customFormat="1" x14ac:dyDescent="0.2">
      <c r="G1954" s="31"/>
      <c r="H1954" s="31"/>
      <c r="I1954" s="31"/>
      <c r="J1954" s="31"/>
    </row>
    <row r="1955" spans="7:10" s="29" customFormat="1" x14ac:dyDescent="0.2">
      <c r="G1955" s="31"/>
      <c r="H1955" s="31"/>
      <c r="I1955" s="31"/>
      <c r="J1955" s="31"/>
    </row>
    <row r="1956" spans="7:10" s="29" customFormat="1" x14ac:dyDescent="0.2">
      <c r="G1956" s="31"/>
      <c r="H1956" s="31"/>
      <c r="I1956" s="31"/>
      <c r="J1956" s="31"/>
    </row>
    <row r="1957" spans="7:10" s="29" customFormat="1" x14ac:dyDescent="0.2">
      <c r="G1957" s="31"/>
      <c r="H1957" s="31"/>
      <c r="I1957" s="31"/>
      <c r="J1957" s="31"/>
    </row>
    <row r="1958" spans="7:10" s="29" customFormat="1" x14ac:dyDescent="0.2">
      <c r="G1958" s="31"/>
      <c r="H1958" s="31"/>
      <c r="I1958" s="31"/>
      <c r="J1958" s="31"/>
    </row>
    <row r="1959" spans="7:10" s="29" customFormat="1" x14ac:dyDescent="0.2">
      <c r="G1959" s="31"/>
      <c r="H1959" s="31"/>
      <c r="I1959" s="31"/>
      <c r="J1959" s="31"/>
    </row>
    <row r="1960" spans="7:10" s="29" customFormat="1" x14ac:dyDescent="0.2">
      <c r="G1960" s="31"/>
      <c r="H1960" s="31"/>
      <c r="I1960" s="31"/>
      <c r="J1960" s="31"/>
    </row>
    <row r="1961" spans="7:10" s="29" customFormat="1" x14ac:dyDescent="0.2">
      <c r="G1961" s="31"/>
      <c r="H1961" s="31"/>
      <c r="I1961" s="31"/>
      <c r="J1961" s="31"/>
    </row>
    <row r="1962" spans="7:10" s="29" customFormat="1" x14ac:dyDescent="0.2">
      <c r="G1962" s="31"/>
      <c r="H1962" s="31"/>
      <c r="I1962" s="31"/>
      <c r="J1962" s="31"/>
    </row>
    <row r="1963" spans="7:10" s="29" customFormat="1" x14ac:dyDescent="0.2">
      <c r="G1963" s="31"/>
      <c r="H1963" s="31"/>
      <c r="I1963" s="31"/>
      <c r="J1963" s="31"/>
    </row>
    <row r="1964" spans="7:10" s="29" customFormat="1" x14ac:dyDescent="0.2">
      <c r="G1964" s="31"/>
      <c r="H1964" s="31"/>
      <c r="I1964" s="31"/>
      <c r="J1964" s="31"/>
    </row>
    <row r="1965" spans="7:10" s="29" customFormat="1" x14ac:dyDescent="0.2">
      <c r="G1965" s="31"/>
      <c r="H1965" s="31"/>
      <c r="I1965" s="31"/>
      <c r="J1965" s="31"/>
    </row>
    <row r="1966" spans="7:10" s="29" customFormat="1" x14ac:dyDescent="0.2">
      <c r="G1966" s="31"/>
      <c r="H1966" s="31"/>
      <c r="I1966" s="31"/>
      <c r="J1966" s="31"/>
    </row>
    <row r="1967" spans="7:10" s="29" customFormat="1" x14ac:dyDescent="0.2">
      <c r="G1967" s="31"/>
      <c r="H1967" s="31"/>
      <c r="I1967" s="31"/>
      <c r="J1967" s="31"/>
    </row>
    <row r="1968" spans="7:10" s="29" customFormat="1" x14ac:dyDescent="0.2">
      <c r="G1968" s="31"/>
      <c r="H1968" s="31"/>
      <c r="I1968" s="31"/>
      <c r="J1968" s="31"/>
    </row>
    <row r="1969" spans="7:10" s="29" customFormat="1" x14ac:dyDescent="0.2">
      <c r="G1969" s="31"/>
      <c r="H1969" s="31"/>
      <c r="I1969" s="31"/>
      <c r="J1969" s="31"/>
    </row>
    <row r="1970" spans="7:10" s="29" customFormat="1" x14ac:dyDescent="0.2">
      <c r="G1970" s="31"/>
      <c r="H1970" s="31"/>
      <c r="I1970" s="31"/>
      <c r="J1970" s="31"/>
    </row>
    <row r="1971" spans="7:10" s="29" customFormat="1" x14ac:dyDescent="0.2">
      <c r="G1971" s="31"/>
      <c r="H1971" s="31"/>
      <c r="I1971" s="31"/>
      <c r="J1971" s="31"/>
    </row>
    <row r="1972" spans="7:10" s="29" customFormat="1" x14ac:dyDescent="0.2">
      <c r="G1972" s="31"/>
      <c r="H1972" s="31"/>
      <c r="I1972" s="31"/>
      <c r="J1972" s="31"/>
    </row>
    <row r="1973" spans="7:10" s="29" customFormat="1" x14ac:dyDescent="0.2">
      <c r="G1973" s="31"/>
      <c r="H1973" s="31"/>
      <c r="I1973" s="31"/>
      <c r="J1973" s="31"/>
    </row>
    <row r="1974" spans="7:10" s="29" customFormat="1" x14ac:dyDescent="0.2">
      <c r="G1974" s="31"/>
      <c r="H1974" s="31"/>
      <c r="I1974" s="31"/>
      <c r="J1974" s="31"/>
    </row>
    <row r="1975" spans="7:10" s="29" customFormat="1" x14ac:dyDescent="0.2">
      <c r="G1975" s="31"/>
      <c r="H1975" s="31"/>
      <c r="I1975" s="31"/>
      <c r="J1975" s="31"/>
    </row>
    <row r="1976" spans="7:10" s="29" customFormat="1" x14ac:dyDescent="0.2">
      <c r="G1976" s="31"/>
      <c r="H1976" s="31"/>
      <c r="I1976" s="31"/>
      <c r="J1976" s="31"/>
    </row>
    <row r="1977" spans="7:10" s="29" customFormat="1" x14ac:dyDescent="0.2">
      <c r="G1977" s="31"/>
      <c r="H1977" s="31"/>
      <c r="I1977" s="31"/>
      <c r="J1977" s="31"/>
    </row>
    <row r="1978" spans="7:10" s="29" customFormat="1" x14ac:dyDescent="0.2">
      <c r="G1978" s="31"/>
      <c r="H1978" s="31"/>
      <c r="I1978" s="31"/>
      <c r="J1978" s="31"/>
    </row>
    <row r="1979" spans="7:10" s="29" customFormat="1" x14ac:dyDescent="0.2">
      <c r="G1979" s="31"/>
      <c r="H1979" s="31"/>
      <c r="I1979" s="31"/>
      <c r="J1979" s="31"/>
    </row>
    <row r="1980" spans="7:10" s="29" customFormat="1" x14ac:dyDescent="0.2">
      <c r="G1980" s="31"/>
      <c r="H1980" s="31"/>
      <c r="I1980" s="31"/>
      <c r="J1980" s="31"/>
    </row>
    <row r="1981" spans="7:10" s="29" customFormat="1" x14ac:dyDescent="0.2">
      <c r="G1981" s="31"/>
      <c r="H1981" s="31"/>
      <c r="I1981" s="31"/>
      <c r="J1981" s="31"/>
    </row>
    <row r="1982" spans="7:10" s="29" customFormat="1" x14ac:dyDescent="0.2">
      <c r="G1982" s="31"/>
      <c r="H1982" s="31"/>
      <c r="I1982" s="31"/>
      <c r="J1982" s="31"/>
    </row>
    <row r="1983" spans="7:10" s="29" customFormat="1" x14ac:dyDescent="0.2">
      <c r="G1983" s="31"/>
      <c r="H1983" s="31"/>
      <c r="I1983" s="31"/>
      <c r="J1983" s="31"/>
    </row>
    <row r="1984" spans="7:10" s="29" customFormat="1" x14ac:dyDescent="0.2">
      <c r="G1984" s="31"/>
      <c r="H1984" s="31"/>
      <c r="I1984" s="31"/>
      <c r="J1984" s="31"/>
    </row>
    <row r="1985" spans="7:10" s="29" customFormat="1" x14ac:dyDescent="0.2">
      <c r="G1985" s="31"/>
      <c r="H1985" s="31"/>
      <c r="I1985" s="31"/>
      <c r="J1985" s="31"/>
    </row>
    <row r="1986" spans="7:10" s="29" customFormat="1" x14ac:dyDescent="0.2">
      <c r="G1986" s="31"/>
      <c r="H1986" s="31"/>
      <c r="I1986" s="31"/>
      <c r="J1986" s="31"/>
    </row>
    <row r="1987" spans="7:10" s="29" customFormat="1" x14ac:dyDescent="0.2">
      <c r="G1987" s="31"/>
      <c r="H1987" s="31"/>
      <c r="I1987" s="31"/>
      <c r="J1987" s="31"/>
    </row>
    <row r="1988" spans="7:10" s="29" customFormat="1" x14ac:dyDescent="0.2">
      <c r="G1988" s="31"/>
      <c r="H1988" s="31"/>
      <c r="I1988" s="31"/>
      <c r="J1988" s="31"/>
    </row>
    <row r="1989" spans="7:10" s="29" customFormat="1" x14ac:dyDescent="0.2">
      <c r="G1989" s="31"/>
      <c r="H1989" s="31"/>
      <c r="I1989" s="31"/>
      <c r="J1989" s="31"/>
    </row>
    <row r="1990" spans="7:10" s="29" customFormat="1" x14ac:dyDescent="0.2">
      <c r="G1990" s="31"/>
      <c r="H1990" s="31"/>
      <c r="I1990" s="31"/>
      <c r="J1990" s="31"/>
    </row>
    <row r="1991" spans="7:10" s="29" customFormat="1" x14ac:dyDescent="0.2">
      <c r="G1991" s="31"/>
      <c r="H1991" s="31"/>
      <c r="I1991" s="31"/>
      <c r="J1991" s="31"/>
    </row>
    <row r="1992" spans="7:10" s="29" customFormat="1" x14ac:dyDescent="0.2">
      <c r="G1992" s="31"/>
      <c r="H1992" s="31"/>
      <c r="I1992" s="31"/>
      <c r="J1992" s="31"/>
    </row>
    <row r="1993" spans="7:10" s="29" customFormat="1" x14ac:dyDescent="0.2">
      <c r="G1993" s="31"/>
      <c r="H1993" s="31"/>
      <c r="I1993" s="31"/>
      <c r="J1993" s="31"/>
    </row>
    <row r="1994" spans="7:10" s="29" customFormat="1" x14ac:dyDescent="0.2">
      <c r="G1994" s="31"/>
      <c r="H1994" s="31"/>
      <c r="I1994" s="31"/>
      <c r="J1994" s="31"/>
    </row>
    <row r="1995" spans="7:10" s="29" customFormat="1" x14ac:dyDescent="0.2">
      <c r="G1995" s="31"/>
      <c r="H1995" s="31"/>
      <c r="I1995" s="31"/>
      <c r="J1995" s="31"/>
    </row>
    <row r="1996" spans="7:10" s="29" customFormat="1" x14ac:dyDescent="0.2">
      <c r="G1996" s="31"/>
      <c r="H1996" s="31"/>
      <c r="I1996" s="31"/>
      <c r="J1996" s="31"/>
    </row>
    <row r="1997" spans="7:10" s="29" customFormat="1" x14ac:dyDescent="0.2">
      <c r="G1997" s="31"/>
      <c r="H1997" s="31"/>
      <c r="I1997" s="31"/>
      <c r="J1997" s="31"/>
    </row>
    <row r="1998" spans="7:10" s="29" customFormat="1" x14ac:dyDescent="0.2">
      <c r="G1998" s="31"/>
      <c r="H1998" s="31"/>
      <c r="I1998" s="31"/>
      <c r="J1998" s="31"/>
    </row>
    <row r="1999" spans="7:10" s="29" customFormat="1" x14ac:dyDescent="0.2">
      <c r="G1999" s="31"/>
      <c r="H1999" s="31"/>
      <c r="I1999" s="31"/>
      <c r="J1999" s="31"/>
    </row>
    <row r="2000" spans="7:10" s="29" customFormat="1" x14ac:dyDescent="0.2">
      <c r="G2000" s="31"/>
      <c r="H2000" s="31"/>
      <c r="I2000" s="31"/>
      <c r="J2000" s="31"/>
    </row>
    <row r="2001" spans="7:10" s="29" customFormat="1" x14ac:dyDescent="0.2">
      <c r="G2001" s="31"/>
      <c r="H2001" s="31"/>
      <c r="I2001" s="31"/>
      <c r="J2001" s="31"/>
    </row>
    <row r="2002" spans="7:10" s="29" customFormat="1" x14ac:dyDescent="0.2">
      <c r="G2002" s="31"/>
      <c r="H2002" s="31"/>
      <c r="I2002" s="31"/>
      <c r="J2002" s="31"/>
    </row>
    <row r="2003" spans="7:10" s="29" customFormat="1" x14ac:dyDescent="0.2">
      <c r="G2003" s="31"/>
      <c r="H2003" s="31"/>
      <c r="I2003" s="31"/>
      <c r="J2003" s="31"/>
    </row>
    <row r="2004" spans="7:10" s="29" customFormat="1" x14ac:dyDescent="0.2">
      <c r="G2004" s="31"/>
      <c r="H2004" s="31"/>
      <c r="I2004" s="31"/>
      <c r="J2004" s="31"/>
    </row>
    <row r="2005" spans="7:10" s="29" customFormat="1" x14ac:dyDescent="0.2">
      <c r="G2005" s="31"/>
      <c r="H2005" s="31"/>
      <c r="I2005" s="31"/>
      <c r="J2005" s="31"/>
    </row>
    <row r="2006" spans="7:10" s="29" customFormat="1" x14ac:dyDescent="0.2">
      <c r="G2006" s="31"/>
      <c r="H2006" s="31"/>
      <c r="I2006" s="31"/>
      <c r="J2006" s="31"/>
    </row>
    <row r="2007" spans="7:10" s="29" customFormat="1" x14ac:dyDescent="0.2">
      <c r="G2007" s="31"/>
      <c r="H2007" s="31"/>
      <c r="I2007" s="31"/>
      <c r="J2007" s="31"/>
    </row>
    <row r="2008" spans="7:10" s="29" customFormat="1" x14ac:dyDescent="0.2">
      <c r="G2008" s="31"/>
      <c r="H2008" s="31"/>
      <c r="I2008" s="31"/>
      <c r="J2008" s="31"/>
    </row>
    <row r="2009" spans="7:10" s="29" customFormat="1" x14ac:dyDescent="0.2">
      <c r="G2009" s="31"/>
      <c r="H2009" s="31"/>
      <c r="I2009" s="31"/>
      <c r="J2009" s="31"/>
    </row>
    <row r="2010" spans="7:10" s="29" customFormat="1" x14ac:dyDescent="0.2">
      <c r="G2010" s="31"/>
      <c r="H2010" s="31"/>
      <c r="I2010" s="31"/>
      <c r="J2010" s="31"/>
    </row>
    <row r="2011" spans="7:10" s="29" customFormat="1" x14ac:dyDescent="0.2">
      <c r="G2011" s="31"/>
      <c r="H2011" s="31"/>
      <c r="I2011" s="31"/>
      <c r="J2011" s="31"/>
    </row>
    <row r="2012" spans="7:10" s="29" customFormat="1" x14ac:dyDescent="0.2">
      <c r="G2012" s="31"/>
      <c r="H2012" s="31"/>
      <c r="I2012" s="31"/>
      <c r="J2012" s="31"/>
    </row>
    <row r="2013" spans="7:10" s="29" customFormat="1" x14ac:dyDescent="0.2">
      <c r="G2013" s="31"/>
      <c r="H2013" s="31"/>
      <c r="I2013" s="31"/>
      <c r="J2013" s="31"/>
    </row>
    <row r="2014" spans="7:10" s="29" customFormat="1" x14ac:dyDescent="0.2">
      <c r="G2014" s="31"/>
      <c r="H2014" s="31"/>
      <c r="I2014" s="31"/>
      <c r="J2014" s="31"/>
    </row>
    <row r="2015" spans="7:10" s="29" customFormat="1" x14ac:dyDescent="0.2">
      <c r="G2015" s="31"/>
      <c r="H2015" s="31"/>
      <c r="I2015" s="31"/>
      <c r="J2015" s="31"/>
    </row>
    <row r="2016" spans="7:10" s="29" customFormat="1" x14ac:dyDescent="0.2">
      <c r="G2016" s="31"/>
      <c r="H2016" s="31"/>
      <c r="I2016" s="31"/>
      <c r="J2016" s="31"/>
    </row>
    <row r="2017" spans="7:10" s="29" customFormat="1" x14ac:dyDescent="0.2">
      <c r="G2017" s="31"/>
      <c r="H2017" s="31"/>
      <c r="I2017" s="31"/>
      <c r="J2017" s="31"/>
    </row>
    <row r="2018" spans="7:10" s="29" customFormat="1" x14ac:dyDescent="0.2">
      <c r="G2018" s="31"/>
      <c r="H2018" s="31"/>
      <c r="I2018" s="31"/>
      <c r="J2018" s="31"/>
    </row>
    <row r="2019" spans="7:10" s="29" customFormat="1" x14ac:dyDescent="0.2">
      <c r="G2019" s="31"/>
      <c r="H2019" s="31"/>
      <c r="I2019" s="31"/>
      <c r="J2019" s="31"/>
    </row>
    <row r="2020" spans="7:10" s="29" customFormat="1" x14ac:dyDescent="0.2">
      <c r="G2020" s="31"/>
      <c r="H2020" s="31"/>
      <c r="I2020" s="31"/>
      <c r="J2020" s="31"/>
    </row>
    <row r="2021" spans="7:10" s="29" customFormat="1" x14ac:dyDescent="0.2">
      <c r="G2021" s="31"/>
      <c r="H2021" s="31"/>
      <c r="I2021" s="31"/>
      <c r="J2021" s="31"/>
    </row>
    <row r="2022" spans="7:10" s="29" customFormat="1" x14ac:dyDescent="0.2">
      <c r="G2022" s="31"/>
      <c r="H2022" s="31"/>
      <c r="I2022" s="31"/>
      <c r="J2022" s="31"/>
    </row>
    <row r="2023" spans="7:10" s="29" customFormat="1" x14ac:dyDescent="0.2">
      <c r="G2023" s="31"/>
      <c r="H2023" s="31"/>
      <c r="I2023" s="31"/>
      <c r="J2023" s="31"/>
    </row>
    <row r="2024" spans="7:10" s="29" customFormat="1" x14ac:dyDescent="0.2">
      <c r="G2024" s="31"/>
      <c r="H2024" s="31"/>
      <c r="I2024" s="31"/>
      <c r="J2024" s="31"/>
    </row>
    <row r="2025" spans="7:10" s="29" customFormat="1" x14ac:dyDescent="0.2">
      <c r="G2025" s="31"/>
      <c r="H2025" s="31"/>
      <c r="I2025" s="31"/>
      <c r="J2025" s="31"/>
    </row>
    <row r="2026" spans="7:10" s="29" customFormat="1" x14ac:dyDescent="0.2">
      <c r="G2026" s="31"/>
      <c r="H2026" s="31"/>
      <c r="I2026" s="31"/>
      <c r="J2026" s="31"/>
    </row>
    <row r="2027" spans="7:10" s="29" customFormat="1" x14ac:dyDescent="0.2">
      <c r="G2027" s="31"/>
      <c r="H2027" s="31"/>
      <c r="I2027" s="31"/>
      <c r="J2027" s="31"/>
    </row>
    <row r="2028" spans="7:10" s="29" customFormat="1" x14ac:dyDescent="0.2">
      <c r="G2028" s="31"/>
      <c r="H2028" s="31"/>
      <c r="I2028" s="31"/>
      <c r="J2028" s="31"/>
    </row>
    <row r="2029" spans="7:10" s="29" customFormat="1" x14ac:dyDescent="0.2">
      <c r="G2029" s="31"/>
      <c r="H2029" s="31"/>
      <c r="I2029" s="31"/>
      <c r="J2029" s="31"/>
    </row>
    <row r="2030" spans="7:10" s="29" customFormat="1" x14ac:dyDescent="0.2">
      <c r="G2030" s="31"/>
      <c r="H2030" s="31"/>
      <c r="I2030" s="31"/>
      <c r="J2030" s="31"/>
    </row>
    <row r="2031" spans="7:10" s="29" customFormat="1" x14ac:dyDescent="0.2">
      <c r="G2031" s="31"/>
      <c r="H2031" s="31"/>
      <c r="I2031" s="31"/>
      <c r="J2031" s="31"/>
    </row>
    <row r="2032" spans="7:10" s="29" customFormat="1" x14ac:dyDescent="0.2">
      <c r="G2032" s="31"/>
      <c r="H2032" s="31"/>
      <c r="I2032" s="31"/>
      <c r="J2032" s="31"/>
    </row>
    <row r="2033" spans="7:10" s="29" customFormat="1" x14ac:dyDescent="0.2">
      <c r="G2033" s="31"/>
      <c r="H2033" s="31"/>
      <c r="I2033" s="31"/>
      <c r="J2033" s="31"/>
    </row>
    <row r="2034" spans="7:10" s="29" customFormat="1" x14ac:dyDescent="0.2">
      <c r="G2034" s="31"/>
      <c r="H2034" s="31"/>
      <c r="I2034" s="31"/>
      <c r="J2034" s="31"/>
    </row>
    <row r="2035" spans="7:10" s="29" customFormat="1" x14ac:dyDescent="0.2">
      <c r="G2035" s="31"/>
      <c r="H2035" s="31"/>
      <c r="I2035" s="31"/>
      <c r="J2035" s="31"/>
    </row>
    <row r="2036" spans="7:10" s="29" customFormat="1" x14ac:dyDescent="0.2">
      <c r="G2036" s="31"/>
      <c r="H2036" s="31"/>
      <c r="I2036" s="31"/>
      <c r="J2036" s="31"/>
    </row>
    <row r="2037" spans="7:10" s="29" customFormat="1" x14ac:dyDescent="0.2">
      <c r="G2037" s="31"/>
      <c r="H2037" s="31"/>
      <c r="I2037" s="31"/>
      <c r="J2037" s="31"/>
    </row>
    <row r="2038" spans="7:10" s="29" customFormat="1" x14ac:dyDescent="0.2">
      <c r="G2038" s="31"/>
      <c r="H2038" s="31"/>
      <c r="I2038" s="31"/>
      <c r="J2038" s="31"/>
    </row>
    <row r="2039" spans="7:10" s="29" customFormat="1" x14ac:dyDescent="0.2">
      <c r="G2039" s="31"/>
      <c r="H2039" s="31"/>
      <c r="I2039" s="31"/>
      <c r="J2039" s="31"/>
    </row>
    <row r="2040" spans="7:10" s="29" customFormat="1" x14ac:dyDescent="0.2">
      <c r="G2040" s="31"/>
      <c r="H2040" s="31"/>
      <c r="I2040" s="31"/>
      <c r="J2040" s="31"/>
    </row>
    <row r="2041" spans="7:10" s="29" customFormat="1" x14ac:dyDescent="0.2">
      <c r="G2041" s="31"/>
      <c r="H2041" s="31"/>
      <c r="I2041" s="31"/>
      <c r="J2041" s="31"/>
    </row>
    <row r="2042" spans="7:10" s="29" customFormat="1" x14ac:dyDescent="0.2">
      <c r="G2042" s="31"/>
      <c r="H2042" s="31"/>
      <c r="I2042" s="31"/>
      <c r="J2042" s="31"/>
    </row>
    <row r="2043" spans="7:10" s="29" customFormat="1" x14ac:dyDescent="0.2">
      <c r="G2043" s="31"/>
      <c r="H2043" s="31"/>
      <c r="I2043" s="31"/>
      <c r="J2043" s="31"/>
    </row>
    <row r="2044" spans="7:10" s="29" customFormat="1" x14ac:dyDescent="0.2">
      <c r="G2044" s="31"/>
      <c r="H2044" s="31"/>
      <c r="I2044" s="31"/>
      <c r="J2044" s="31"/>
    </row>
    <row r="2045" spans="7:10" s="29" customFormat="1" x14ac:dyDescent="0.2">
      <c r="G2045" s="31"/>
      <c r="H2045" s="31"/>
      <c r="I2045" s="31"/>
      <c r="J2045" s="31"/>
    </row>
    <row r="2046" spans="7:10" s="29" customFormat="1" x14ac:dyDescent="0.2">
      <c r="G2046" s="31"/>
      <c r="H2046" s="31"/>
      <c r="I2046" s="31"/>
      <c r="J2046" s="31"/>
    </row>
    <row r="2047" spans="7:10" s="29" customFormat="1" x14ac:dyDescent="0.2">
      <c r="G2047" s="31"/>
      <c r="H2047" s="31"/>
      <c r="I2047" s="31"/>
      <c r="J2047" s="31"/>
    </row>
    <row r="2048" spans="7:10" s="29" customFormat="1" x14ac:dyDescent="0.2">
      <c r="G2048" s="31"/>
      <c r="H2048" s="31"/>
      <c r="I2048" s="31"/>
      <c r="J2048" s="31"/>
    </row>
    <row r="2049" spans="7:10" s="29" customFormat="1" x14ac:dyDescent="0.2">
      <c r="G2049" s="31"/>
      <c r="H2049" s="31"/>
      <c r="I2049" s="31"/>
      <c r="J2049" s="31"/>
    </row>
    <row r="2050" spans="7:10" s="29" customFormat="1" x14ac:dyDescent="0.2">
      <c r="G2050" s="31"/>
      <c r="H2050" s="31"/>
      <c r="I2050" s="31"/>
      <c r="J2050" s="31"/>
    </row>
    <row r="2051" spans="7:10" s="29" customFormat="1" x14ac:dyDescent="0.2">
      <c r="G2051" s="31"/>
      <c r="H2051" s="31"/>
      <c r="I2051" s="31"/>
      <c r="J2051" s="31"/>
    </row>
    <row r="2052" spans="7:10" s="29" customFormat="1" x14ac:dyDescent="0.2">
      <c r="G2052" s="31"/>
      <c r="H2052" s="31"/>
      <c r="I2052" s="31"/>
      <c r="J2052" s="31"/>
    </row>
    <row r="2053" spans="7:10" s="29" customFormat="1" x14ac:dyDescent="0.2">
      <c r="G2053" s="31"/>
      <c r="H2053" s="31"/>
      <c r="I2053" s="31"/>
      <c r="J2053" s="31"/>
    </row>
    <row r="2054" spans="7:10" s="29" customFormat="1" x14ac:dyDescent="0.2">
      <c r="G2054" s="31"/>
      <c r="H2054" s="31"/>
      <c r="I2054" s="31"/>
      <c r="J2054" s="31"/>
    </row>
    <row r="2055" spans="7:10" s="29" customFormat="1" x14ac:dyDescent="0.2">
      <c r="G2055" s="31"/>
      <c r="H2055" s="31"/>
      <c r="I2055" s="31"/>
      <c r="J2055" s="31"/>
    </row>
    <row r="2056" spans="7:10" s="29" customFormat="1" x14ac:dyDescent="0.2">
      <c r="G2056" s="31"/>
      <c r="H2056" s="31"/>
      <c r="I2056" s="31"/>
      <c r="J2056" s="31"/>
    </row>
    <row r="2057" spans="7:10" s="29" customFormat="1" x14ac:dyDescent="0.2">
      <c r="G2057" s="31"/>
      <c r="H2057" s="31"/>
      <c r="I2057" s="31"/>
      <c r="J2057" s="31"/>
    </row>
    <row r="2058" spans="7:10" s="29" customFormat="1" x14ac:dyDescent="0.2">
      <c r="G2058" s="31"/>
      <c r="H2058" s="31"/>
      <c r="I2058" s="31"/>
      <c r="J2058" s="31"/>
    </row>
    <row r="2059" spans="7:10" s="29" customFormat="1" x14ac:dyDescent="0.2">
      <c r="G2059" s="31"/>
      <c r="H2059" s="31"/>
      <c r="I2059" s="31"/>
      <c r="J2059" s="31"/>
    </row>
    <row r="2060" spans="7:10" s="29" customFormat="1" x14ac:dyDescent="0.2">
      <c r="G2060" s="31"/>
      <c r="H2060" s="31"/>
      <c r="I2060" s="31"/>
      <c r="J2060" s="31"/>
    </row>
    <row r="2061" spans="7:10" s="29" customFormat="1" x14ac:dyDescent="0.2">
      <c r="G2061" s="31"/>
      <c r="H2061" s="31"/>
      <c r="I2061" s="31"/>
      <c r="J2061" s="31"/>
    </row>
    <row r="2062" spans="7:10" s="29" customFormat="1" x14ac:dyDescent="0.2">
      <c r="G2062" s="31"/>
      <c r="H2062" s="31"/>
      <c r="I2062" s="31"/>
      <c r="J2062" s="31"/>
    </row>
    <row r="2063" spans="7:10" s="29" customFormat="1" x14ac:dyDescent="0.2">
      <c r="G2063" s="31"/>
      <c r="H2063" s="31"/>
      <c r="I2063" s="31"/>
      <c r="J2063" s="31"/>
    </row>
    <row r="2064" spans="7:10" s="29" customFormat="1" x14ac:dyDescent="0.2">
      <c r="G2064" s="31"/>
      <c r="H2064" s="31"/>
      <c r="I2064" s="31"/>
      <c r="J2064" s="31"/>
    </row>
    <row r="2065" spans="7:10" s="29" customFormat="1" x14ac:dyDescent="0.2">
      <c r="G2065" s="31"/>
      <c r="H2065" s="31"/>
      <c r="I2065" s="31"/>
      <c r="J2065" s="31"/>
    </row>
    <row r="2066" spans="7:10" s="29" customFormat="1" x14ac:dyDescent="0.2">
      <c r="G2066" s="31"/>
      <c r="H2066" s="31"/>
      <c r="I2066" s="31"/>
      <c r="J2066" s="31"/>
    </row>
    <row r="2067" spans="7:10" s="29" customFormat="1" x14ac:dyDescent="0.2">
      <c r="G2067" s="31"/>
      <c r="H2067" s="31"/>
      <c r="I2067" s="31"/>
      <c r="J2067" s="31"/>
    </row>
    <row r="2068" spans="7:10" s="29" customFormat="1" x14ac:dyDescent="0.2">
      <c r="G2068" s="31"/>
      <c r="H2068" s="31"/>
      <c r="I2068" s="31"/>
      <c r="J2068" s="31"/>
    </row>
    <row r="2069" spans="7:10" s="29" customFormat="1" x14ac:dyDescent="0.2">
      <c r="G2069" s="31"/>
      <c r="H2069" s="31"/>
      <c r="I2069" s="31"/>
      <c r="J2069" s="31"/>
    </row>
    <row r="2070" spans="7:10" s="29" customFormat="1" x14ac:dyDescent="0.2">
      <c r="G2070" s="31"/>
      <c r="H2070" s="31"/>
      <c r="I2070" s="31"/>
      <c r="J2070" s="31"/>
    </row>
    <row r="2071" spans="7:10" s="29" customFormat="1" x14ac:dyDescent="0.2">
      <c r="G2071" s="31"/>
      <c r="H2071" s="31"/>
      <c r="I2071" s="31"/>
      <c r="J2071" s="31"/>
    </row>
    <row r="2072" spans="7:10" s="29" customFormat="1" x14ac:dyDescent="0.2">
      <c r="G2072" s="31"/>
      <c r="H2072" s="31"/>
      <c r="I2072" s="31"/>
      <c r="J2072" s="31"/>
    </row>
    <row r="2073" spans="7:10" s="29" customFormat="1" x14ac:dyDescent="0.2">
      <c r="G2073" s="31"/>
      <c r="H2073" s="31"/>
      <c r="I2073" s="31"/>
      <c r="J2073" s="31"/>
    </row>
    <row r="2074" spans="7:10" s="29" customFormat="1" x14ac:dyDescent="0.2">
      <c r="G2074" s="31"/>
      <c r="H2074" s="31"/>
      <c r="I2074" s="31"/>
      <c r="J2074" s="31"/>
    </row>
    <row r="2075" spans="7:10" s="29" customFormat="1" x14ac:dyDescent="0.2">
      <c r="G2075" s="31"/>
      <c r="H2075" s="31"/>
      <c r="I2075" s="31"/>
      <c r="J2075" s="31"/>
    </row>
    <row r="2076" spans="7:10" s="29" customFormat="1" x14ac:dyDescent="0.2">
      <c r="G2076" s="31"/>
      <c r="H2076" s="31"/>
      <c r="I2076" s="31"/>
      <c r="J2076" s="31"/>
    </row>
    <row r="2077" spans="7:10" s="29" customFormat="1" x14ac:dyDescent="0.2">
      <c r="G2077" s="31"/>
      <c r="H2077" s="31"/>
      <c r="I2077" s="31"/>
      <c r="J2077" s="31"/>
    </row>
    <row r="2078" spans="7:10" s="29" customFormat="1" x14ac:dyDescent="0.2">
      <c r="G2078" s="31"/>
      <c r="H2078" s="31"/>
      <c r="I2078" s="31"/>
      <c r="J2078" s="31"/>
    </row>
    <row r="2079" spans="7:10" s="29" customFormat="1" x14ac:dyDescent="0.2">
      <c r="G2079" s="31"/>
      <c r="H2079" s="31"/>
      <c r="I2079" s="31"/>
      <c r="J2079" s="31"/>
    </row>
    <row r="2080" spans="7:10" s="29" customFormat="1" x14ac:dyDescent="0.2">
      <c r="G2080" s="31"/>
      <c r="H2080" s="31"/>
      <c r="I2080" s="31"/>
      <c r="J2080" s="31"/>
    </row>
    <row r="2081" spans="7:10" s="29" customFormat="1" x14ac:dyDescent="0.2">
      <c r="G2081" s="31"/>
      <c r="H2081" s="31"/>
      <c r="I2081" s="31"/>
      <c r="J2081" s="31"/>
    </row>
    <row r="2082" spans="7:10" s="29" customFormat="1" x14ac:dyDescent="0.2">
      <c r="G2082" s="31"/>
      <c r="H2082" s="31"/>
      <c r="I2082" s="31"/>
      <c r="J2082" s="31"/>
    </row>
    <row r="2083" spans="7:10" s="29" customFormat="1" x14ac:dyDescent="0.2">
      <c r="G2083" s="31"/>
      <c r="H2083" s="31"/>
      <c r="I2083" s="31"/>
      <c r="J2083" s="31"/>
    </row>
    <row r="2084" spans="7:10" s="29" customFormat="1" x14ac:dyDescent="0.2">
      <c r="G2084" s="31"/>
      <c r="H2084" s="31"/>
      <c r="I2084" s="31"/>
      <c r="J2084" s="31"/>
    </row>
    <row r="2085" spans="7:10" s="29" customFormat="1" x14ac:dyDescent="0.2">
      <c r="G2085" s="31"/>
      <c r="H2085" s="31"/>
      <c r="I2085" s="31"/>
      <c r="J2085" s="31"/>
    </row>
    <row r="2086" spans="7:10" s="29" customFormat="1" x14ac:dyDescent="0.2">
      <c r="G2086" s="31"/>
      <c r="H2086" s="31"/>
      <c r="I2086" s="31"/>
      <c r="J2086" s="31"/>
    </row>
    <row r="2087" spans="7:10" s="29" customFormat="1" x14ac:dyDescent="0.2">
      <c r="G2087" s="31"/>
      <c r="H2087" s="31"/>
      <c r="I2087" s="31"/>
      <c r="J2087" s="31"/>
    </row>
    <row r="2088" spans="7:10" s="29" customFormat="1" x14ac:dyDescent="0.2">
      <c r="G2088" s="31"/>
      <c r="H2088" s="31"/>
      <c r="I2088" s="31"/>
      <c r="J2088" s="31"/>
    </row>
    <row r="2089" spans="7:10" s="29" customFormat="1" x14ac:dyDescent="0.2">
      <c r="G2089" s="31"/>
      <c r="H2089" s="31"/>
      <c r="I2089" s="31"/>
      <c r="J2089" s="31"/>
    </row>
    <row r="2090" spans="7:10" s="29" customFormat="1" x14ac:dyDescent="0.2">
      <c r="G2090" s="31"/>
      <c r="H2090" s="31"/>
      <c r="I2090" s="31"/>
      <c r="J2090" s="31"/>
    </row>
    <row r="2091" spans="7:10" s="29" customFormat="1" x14ac:dyDescent="0.2">
      <c r="G2091" s="31"/>
      <c r="H2091" s="31"/>
      <c r="I2091" s="31"/>
      <c r="J2091" s="31"/>
    </row>
    <row r="2092" spans="7:10" s="29" customFormat="1" x14ac:dyDescent="0.2">
      <c r="G2092" s="31"/>
      <c r="H2092" s="31"/>
      <c r="I2092" s="31"/>
      <c r="J2092" s="31"/>
    </row>
    <row r="2093" spans="7:10" s="29" customFormat="1" x14ac:dyDescent="0.2">
      <c r="G2093" s="31"/>
      <c r="H2093" s="31"/>
      <c r="I2093" s="31"/>
      <c r="J2093" s="31"/>
    </row>
    <row r="2094" spans="7:10" s="29" customFormat="1" x14ac:dyDescent="0.2">
      <c r="G2094" s="31"/>
      <c r="H2094" s="31"/>
      <c r="I2094" s="31"/>
      <c r="J2094" s="31"/>
    </row>
    <row r="2095" spans="7:10" s="29" customFormat="1" x14ac:dyDescent="0.2">
      <c r="G2095" s="31"/>
      <c r="H2095" s="31"/>
      <c r="I2095" s="31"/>
      <c r="J2095" s="31"/>
    </row>
    <row r="2096" spans="7:10" s="29" customFormat="1" x14ac:dyDescent="0.2">
      <c r="G2096" s="31"/>
      <c r="H2096" s="31"/>
      <c r="I2096" s="31"/>
      <c r="J2096" s="31"/>
    </row>
    <row r="2097" spans="7:10" s="29" customFormat="1" x14ac:dyDescent="0.2">
      <c r="G2097" s="31"/>
      <c r="H2097" s="31"/>
      <c r="I2097" s="31"/>
      <c r="J2097" s="31"/>
    </row>
    <row r="2098" spans="7:10" s="29" customFormat="1" x14ac:dyDescent="0.2">
      <c r="G2098" s="31"/>
      <c r="H2098" s="31"/>
      <c r="I2098" s="31"/>
      <c r="J2098" s="31"/>
    </row>
    <row r="2099" spans="7:10" s="29" customFormat="1" x14ac:dyDescent="0.2">
      <c r="G2099" s="31"/>
      <c r="H2099" s="31"/>
      <c r="I2099" s="31"/>
      <c r="J2099" s="31"/>
    </row>
    <row r="2100" spans="7:10" s="29" customFormat="1" x14ac:dyDescent="0.2">
      <c r="G2100" s="31"/>
      <c r="H2100" s="31"/>
      <c r="I2100" s="31"/>
      <c r="J2100" s="31"/>
    </row>
    <row r="2101" spans="7:10" s="29" customFormat="1" x14ac:dyDescent="0.2">
      <c r="G2101" s="31"/>
      <c r="H2101" s="31"/>
      <c r="I2101" s="31"/>
      <c r="J2101" s="31"/>
    </row>
    <row r="2102" spans="7:10" s="29" customFormat="1" x14ac:dyDescent="0.2">
      <c r="G2102" s="31"/>
      <c r="H2102" s="31"/>
      <c r="I2102" s="31"/>
      <c r="J2102" s="31"/>
    </row>
    <row r="2103" spans="7:10" s="29" customFormat="1" x14ac:dyDescent="0.2">
      <c r="G2103" s="31"/>
      <c r="H2103" s="31"/>
      <c r="I2103" s="31"/>
      <c r="J2103" s="31"/>
    </row>
    <row r="2104" spans="7:10" s="29" customFormat="1" x14ac:dyDescent="0.2">
      <c r="G2104" s="31"/>
      <c r="H2104" s="31"/>
      <c r="I2104" s="31"/>
      <c r="J2104" s="31"/>
    </row>
    <row r="2105" spans="7:10" s="29" customFormat="1" x14ac:dyDescent="0.2">
      <c r="G2105" s="31"/>
      <c r="H2105" s="31"/>
      <c r="I2105" s="31"/>
      <c r="J2105" s="31"/>
    </row>
    <row r="2106" spans="7:10" s="29" customFormat="1" x14ac:dyDescent="0.2">
      <c r="G2106" s="31"/>
      <c r="H2106" s="31"/>
      <c r="I2106" s="31"/>
      <c r="J2106" s="31"/>
    </row>
    <row r="2107" spans="7:10" s="29" customFormat="1" x14ac:dyDescent="0.2">
      <c r="G2107" s="31"/>
      <c r="H2107" s="31"/>
      <c r="I2107" s="31"/>
      <c r="J2107" s="31"/>
    </row>
    <row r="2108" spans="7:10" s="29" customFormat="1" x14ac:dyDescent="0.2">
      <c r="G2108" s="31"/>
      <c r="H2108" s="31"/>
      <c r="I2108" s="31"/>
      <c r="J2108" s="31"/>
    </row>
    <row r="2109" spans="7:10" s="29" customFormat="1" x14ac:dyDescent="0.2">
      <c r="G2109" s="31"/>
      <c r="H2109" s="31"/>
      <c r="I2109" s="31"/>
      <c r="J2109" s="31"/>
    </row>
    <row r="2110" spans="7:10" s="29" customFormat="1" x14ac:dyDescent="0.2">
      <c r="G2110" s="31"/>
      <c r="H2110" s="31"/>
      <c r="I2110" s="31"/>
      <c r="J2110" s="31"/>
    </row>
    <row r="2111" spans="7:10" s="29" customFormat="1" x14ac:dyDescent="0.2">
      <c r="G2111" s="31"/>
      <c r="H2111" s="31"/>
      <c r="I2111" s="31"/>
      <c r="J2111" s="31"/>
    </row>
    <row r="2112" spans="7:10" s="29" customFormat="1" x14ac:dyDescent="0.2">
      <c r="G2112" s="31"/>
      <c r="H2112" s="31"/>
      <c r="I2112" s="31"/>
      <c r="J2112" s="31"/>
    </row>
    <row r="2113" spans="7:10" s="29" customFormat="1" x14ac:dyDescent="0.2">
      <c r="G2113" s="31"/>
      <c r="H2113" s="31"/>
      <c r="I2113" s="31"/>
      <c r="J2113" s="31"/>
    </row>
    <row r="2114" spans="7:10" s="29" customFormat="1" x14ac:dyDescent="0.2">
      <c r="G2114" s="31"/>
      <c r="H2114" s="31"/>
      <c r="I2114" s="31"/>
      <c r="J2114" s="31"/>
    </row>
    <row r="2115" spans="7:10" s="29" customFormat="1" x14ac:dyDescent="0.2">
      <c r="G2115" s="31"/>
      <c r="H2115" s="31"/>
      <c r="I2115" s="31"/>
      <c r="J2115" s="31"/>
    </row>
    <row r="2116" spans="7:10" s="29" customFormat="1" x14ac:dyDescent="0.2">
      <c r="G2116" s="31"/>
      <c r="H2116" s="31"/>
      <c r="I2116" s="31"/>
      <c r="J2116" s="31"/>
    </row>
    <row r="2117" spans="7:10" s="29" customFormat="1" x14ac:dyDescent="0.2">
      <c r="G2117" s="31"/>
      <c r="H2117" s="31"/>
      <c r="I2117" s="31"/>
      <c r="J2117" s="31"/>
    </row>
    <row r="2118" spans="7:10" s="29" customFormat="1" x14ac:dyDescent="0.2">
      <c r="G2118" s="31"/>
      <c r="H2118" s="31"/>
      <c r="I2118" s="31"/>
      <c r="J2118" s="31"/>
    </row>
    <row r="2119" spans="7:10" s="29" customFormat="1" x14ac:dyDescent="0.2">
      <c r="G2119" s="31"/>
      <c r="H2119" s="31"/>
      <c r="I2119" s="31"/>
      <c r="J2119" s="31"/>
    </row>
    <row r="2120" spans="7:10" s="29" customFormat="1" x14ac:dyDescent="0.2">
      <c r="G2120" s="31"/>
      <c r="H2120" s="31"/>
      <c r="I2120" s="31"/>
      <c r="J2120" s="31"/>
    </row>
    <row r="2121" spans="7:10" s="29" customFormat="1" x14ac:dyDescent="0.2">
      <c r="G2121" s="31"/>
      <c r="H2121" s="31"/>
      <c r="I2121" s="31"/>
      <c r="J2121" s="31"/>
    </row>
    <row r="2122" spans="7:10" s="29" customFormat="1" x14ac:dyDescent="0.2">
      <c r="G2122" s="31"/>
      <c r="H2122" s="31"/>
      <c r="I2122" s="31"/>
      <c r="J2122" s="31"/>
    </row>
    <row r="2123" spans="7:10" s="29" customFormat="1" x14ac:dyDescent="0.2">
      <c r="G2123" s="31"/>
      <c r="H2123" s="31"/>
      <c r="I2123" s="31"/>
      <c r="J2123" s="31"/>
    </row>
    <row r="2124" spans="7:10" s="29" customFormat="1" x14ac:dyDescent="0.2">
      <c r="G2124" s="31"/>
      <c r="H2124" s="31"/>
      <c r="I2124" s="31"/>
      <c r="J2124" s="31"/>
    </row>
    <row r="2125" spans="7:10" s="29" customFormat="1" x14ac:dyDescent="0.2">
      <c r="G2125" s="31"/>
      <c r="H2125" s="31"/>
      <c r="I2125" s="31"/>
      <c r="J2125" s="31"/>
    </row>
    <row r="2126" spans="7:10" s="29" customFormat="1" x14ac:dyDescent="0.2">
      <c r="G2126" s="31"/>
      <c r="H2126" s="31"/>
      <c r="I2126" s="31"/>
      <c r="J2126" s="31"/>
    </row>
    <row r="2127" spans="7:10" s="29" customFormat="1" x14ac:dyDescent="0.2">
      <c r="G2127" s="31"/>
      <c r="H2127" s="31"/>
      <c r="I2127" s="31"/>
      <c r="J2127" s="31"/>
    </row>
    <row r="2128" spans="7:10" s="29" customFormat="1" x14ac:dyDescent="0.2">
      <c r="G2128" s="31"/>
      <c r="H2128" s="31"/>
      <c r="I2128" s="31"/>
      <c r="J2128" s="31"/>
    </row>
    <row r="2129" spans="7:10" s="29" customFormat="1" x14ac:dyDescent="0.2">
      <c r="G2129" s="31"/>
      <c r="H2129" s="31"/>
      <c r="I2129" s="31"/>
      <c r="J2129" s="31"/>
    </row>
    <row r="2130" spans="7:10" s="29" customFormat="1" x14ac:dyDescent="0.2">
      <c r="G2130" s="31"/>
      <c r="H2130" s="31"/>
      <c r="I2130" s="31"/>
      <c r="J2130" s="31"/>
    </row>
    <row r="2131" spans="7:10" s="29" customFormat="1" x14ac:dyDescent="0.2">
      <c r="G2131" s="31"/>
      <c r="H2131" s="31"/>
      <c r="I2131" s="31"/>
      <c r="J2131" s="31"/>
    </row>
    <row r="2132" spans="7:10" s="29" customFormat="1" x14ac:dyDescent="0.2">
      <c r="G2132" s="31"/>
      <c r="H2132" s="31"/>
      <c r="I2132" s="31"/>
      <c r="J2132" s="31"/>
    </row>
    <row r="2133" spans="7:10" s="29" customFormat="1" x14ac:dyDescent="0.2">
      <c r="G2133" s="31"/>
      <c r="H2133" s="31"/>
      <c r="I2133" s="31"/>
      <c r="J2133" s="31"/>
    </row>
    <row r="2134" spans="7:10" s="29" customFormat="1" x14ac:dyDescent="0.2">
      <c r="G2134" s="31"/>
      <c r="H2134" s="31"/>
      <c r="I2134" s="31"/>
      <c r="J2134" s="31"/>
    </row>
    <row r="2135" spans="7:10" s="29" customFormat="1" x14ac:dyDescent="0.2">
      <c r="G2135" s="31"/>
      <c r="H2135" s="31"/>
      <c r="I2135" s="31"/>
      <c r="J2135" s="31"/>
    </row>
    <row r="2136" spans="7:10" s="29" customFormat="1" x14ac:dyDescent="0.2">
      <c r="G2136" s="31"/>
      <c r="H2136" s="31"/>
      <c r="I2136" s="31"/>
      <c r="J2136" s="31"/>
    </row>
    <row r="2137" spans="7:10" s="29" customFormat="1" x14ac:dyDescent="0.2">
      <c r="G2137" s="31"/>
      <c r="H2137" s="31"/>
      <c r="I2137" s="31"/>
      <c r="J2137" s="31"/>
    </row>
    <row r="2138" spans="7:10" s="29" customFormat="1" x14ac:dyDescent="0.2">
      <c r="G2138" s="31"/>
      <c r="H2138" s="31"/>
      <c r="I2138" s="31"/>
      <c r="J2138" s="31"/>
    </row>
    <row r="2139" spans="7:10" s="29" customFormat="1" x14ac:dyDescent="0.2">
      <c r="G2139" s="31"/>
      <c r="H2139" s="31"/>
      <c r="I2139" s="31"/>
      <c r="J2139" s="31"/>
    </row>
    <row r="2140" spans="7:10" s="29" customFormat="1" x14ac:dyDescent="0.2">
      <c r="G2140" s="31"/>
      <c r="H2140" s="31"/>
      <c r="I2140" s="31"/>
      <c r="J2140" s="31"/>
    </row>
    <row r="2141" spans="7:10" s="29" customFormat="1" x14ac:dyDescent="0.2">
      <c r="G2141" s="31"/>
      <c r="H2141" s="31"/>
      <c r="I2141" s="31"/>
      <c r="J2141" s="31"/>
    </row>
    <row r="2142" spans="7:10" s="29" customFormat="1" x14ac:dyDescent="0.2">
      <c r="G2142" s="31"/>
      <c r="H2142" s="31"/>
      <c r="I2142" s="31"/>
      <c r="J2142" s="31"/>
    </row>
    <row r="2143" spans="7:10" s="29" customFormat="1" x14ac:dyDescent="0.2">
      <c r="G2143" s="31"/>
      <c r="H2143" s="31"/>
      <c r="I2143" s="31"/>
      <c r="J2143" s="31"/>
    </row>
    <row r="2144" spans="7:10" s="29" customFormat="1" x14ac:dyDescent="0.2">
      <c r="G2144" s="31"/>
      <c r="H2144" s="31"/>
      <c r="I2144" s="31"/>
      <c r="J2144" s="31"/>
    </row>
    <row r="2145" spans="7:10" s="29" customFormat="1" x14ac:dyDescent="0.2">
      <c r="G2145" s="31"/>
      <c r="H2145" s="31"/>
      <c r="I2145" s="31"/>
      <c r="J2145" s="31"/>
    </row>
    <row r="2146" spans="7:10" s="29" customFormat="1" x14ac:dyDescent="0.2">
      <c r="G2146" s="31"/>
      <c r="H2146" s="31"/>
      <c r="I2146" s="31"/>
      <c r="J2146" s="31"/>
    </row>
    <row r="2147" spans="7:10" s="29" customFormat="1" x14ac:dyDescent="0.2">
      <c r="G2147" s="31"/>
      <c r="H2147" s="31"/>
      <c r="I2147" s="31"/>
      <c r="J2147" s="31"/>
    </row>
    <row r="2148" spans="7:10" s="29" customFormat="1" x14ac:dyDescent="0.2">
      <c r="G2148" s="31"/>
      <c r="H2148" s="31"/>
      <c r="I2148" s="31"/>
      <c r="J2148" s="31"/>
    </row>
    <row r="2149" spans="7:10" s="29" customFormat="1" x14ac:dyDescent="0.2">
      <c r="G2149" s="31"/>
      <c r="H2149" s="31"/>
      <c r="I2149" s="31"/>
      <c r="J2149" s="31"/>
    </row>
    <row r="2150" spans="7:10" s="29" customFormat="1" x14ac:dyDescent="0.2">
      <c r="G2150" s="31"/>
      <c r="H2150" s="31"/>
      <c r="I2150" s="31"/>
      <c r="J2150" s="31"/>
    </row>
    <row r="2151" spans="7:10" s="29" customFormat="1" x14ac:dyDescent="0.2">
      <c r="G2151" s="31"/>
      <c r="H2151" s="31"/>
      <c r="I2151" s="31"/>
      <c r="J2151" s="31"/>
    </row>
    <row r="2152" spans="7:10" s="29" customFormat="1" x14ac:dyDescent="0.2">
      <c r="G2152" s="31"/>
      <c r="H2152" s="31"/>
      <c r="I2152" s="31"/>
      <c r="J2152" s="31"/>
    </row>
    <row r="2153" spans="7:10" s="29" customFormat="1" x14ac:dyDescent="0.2">
      <c r="G2153" s="31"/>
      <c r="H2153" s="31"/>
      <c r="I2153" s="31"/>
      <c r="J2153" s="31"/>
    </row>
    <row r="2154" spans="7:10" s="29" customFormat="1" x14ac:dyDescent="0.2">
      <c r="G2154" s="31"/>
      <c r="H2154" s="31"/>
      <c r="I2154" s="31"/>
      <c r="J2154" s="31"/>
    </row>
    <row r="2155" spans="7:10" s="29" customFormat="1" x14ac:dyDescent="0.2">
      <c r="G2155" s="31"/>
      <c r="H2155" s="31"/>
      <c r="I2155" s="31"/>
      <c r="J2155" s="31"/>
    </row>
    <row r="2156" spans="7:10" s="29" customFormat="1" x14ac:dyDescent="0.2">
      <c r="G2156" s="31"/>
      <c r="H2156" s="31"/>
      <c r="I2156" s="31"/>
      <c r="J2156" s="31"/>
    </row>
    <row r="2157" spans="7:10" s="29" customFormat="1" x14ac:dyDescent="0.2">
      <c r="G2157" s="31"/>
      <c r="H2157" s="31"/>
      <c r="I2157" s="31"/>
      <c r="J2157" s="31"/>
    </row>
    <row r="2158" spans="7:10" s="29" customFormat="1" x14ac:dyDescent="0.2">
      <c r="G2158" s="31"/>
      <c r="H2158" s="31"/>
      <c r="I2158" s="31"/>
      <c r="J2158" s="31"/>
    </row>
    <row r="2159" spans="7:10" s="29" customFormat="1" x14ac:dyDescent="0.2">
      <c r="G2159" s="31"/>
      <c r="H2159" s="31"/>
      <c r="I2159" s="31"/>
      <c r="J2159" s="31"/>
    </row>
    <row r="2160" spans="7:10" s="29" customFormat="1" x14ac:dyDescent="0.2">
      <c r="G2160" s="31"/>
      <c r="H2160" s="31"/>
      <c r="I2160" s="31"/>
      <c r="J2160" s="31"/>
    </row>
    <row r="2161" spans="7:10" s="29" customFormat="1" x14ac:dyDescent="0.2">
      <c r="G2161" s="31"/>
      <c r="H2161" s="31"/>
      <c r="I2161" s="31"/>
      <c r="J2161" s="31"/>
    </row>
    <row r="2162" spans="7:10" s="29" customFormat="1" x14ac:dyDescent="0.2">
      <c r="G2162" s="31"/>
      <c r="H2162" s="31"/>
      <c r="I2162" s="31"/>
      <c r="J2162" s="31"/>
    </row>
    <row r="2163" spans="7:10" s="29" customFormat="1" x14ac:dyDescent="0.2">
      <c r="G2163" s="31"/>
      <c r="H2163" s="31"/>
      <c r="I2163" s="31"/>
      <c r="J2163" s="31"/>
    </row>
    <row r="2164" spans="7:10" s="29" customFormat="1" x14ac:dyDescent="0.2">
      <c r="G2164" s="31"/>
      <c r="H2164" s="31"/>
      <c r="I2164" s="31"/>
      <c r="J2164" s="31"/>
    </row>
    <row r="2165" spans="7:10" s="29" customFormat="1" x14ac:dyDescent="0.2">
      <c r="G2165" s="31"/>
      <c r="H2165" s="31"/>
      <c r="I2165" s="31"/>
      <c r="J2165" s="31"/>
    </row>
    <row r="2166" spans="7:10" s="29" customFormat="1" x14ac:dyDescent="0.2">
      <c r="G2166" s="31"/>
      <c r="H2166" s="31"/>
      <c r="I2166" s="31"/>
      <c r="J2166" s="31"/>
    </row>
    <row r="2167" spans="7:10" s="29" customFormat="1" x14ac:dyDescent="0.2">
      <c r="G2167" s="31"/>
      <c r="H2167" s="31"/>
      <c r="I2167" s="31"/>
      <c r="J2167" s="31"/>
    </row>
    <row r="2168" spans="7:10" s="29" customFormat="1" x14ac:dyDescent="0.2">
      <c r="G2168" s="31"/>
      <c r="H2168" s="31"/>
      <c r="I2168" s="31"/>
      <c r="J2168" s="31"/>
    </row>
    <row r="2169" spans="7:10" s="29" customFormat="1" x14ac:dyDescent="0.2">
      <c r="G2169" s="31"/>
      <c r="H2169" s="31"/>
      <c r="I2169" s="31"/>
      <c r="J2169" s="31"/>
    </row>
    <row r="2170" spans="7:10" s="29" customFormat="1" x14ac:dyDescent="0.2">
      <c r="G2170" s="31"/>
      <c r="H2170" s="31"/>
      <c r="I2170" s="31"/>
      <c r="J2170" s="31"/>
    </row>
    <row r="2171" spans="7:10" s="29" customFormat="1" x14ac:dyDescent="0.2">
      <c r="G2171" s="31"/>
      <c r="H2171" s="31"/>
      <c r="I2171" s="31"/>
      <c r="J2171" s="31"/>
    </row>
    <row r="2172" spans="7:10" s="29" customFormat="1" x14ac:dyDescent="0.2">
      <c r="G2172" s="31"/>
      <c r="H2172" s="31"/>
      <c r="I2172" s="31"/>
      <c r="J2172" s="31"/>
    </row>
    <row r="2173" spans="7:10" s="29" customFormat="1" x14ac:dyDescent="0.2">
      <c r="G2173" s="31"/>
      <c r="H2173" s="31"/>
      <c r="I2173" s="31"/>
      <c r="J2173" s="31"/>
    </row>
    <row r="2174" spans="7:10" s="29" customFormat="1" x14ac:dyDescent="0.2">
      <c r="G2174" s="31"/>
      <c r="H2174" s="31"/>
      <c r="I2174" s="31"/>
      <c r="J2174" s="31"/>
    </row>
    <row r="2175" spans="7:10" s="29" customFormat="1" x14ac:dyDescent="0.2">
      <c r="G2175" s="31"/>
      <c r="H2175" s="31"/>
      <c r="I2175" s="31"/>
      <c r="J2175" s="31"/>
    </row>
    <row r="2176" spans="7:10" s="29" customFormat="1" x14ac:dyDescent="0.2">
      <c r="G2176" s="31"/>
      <c r="H2176" s="31"/>
      <c r="I2176" s="31"/>
      <c r="J2176" s="31"/>
    </row>
    <row r="2177" spans="7:10" s="29" customFormat="1" x14ac:dyDescent="0.2">
      <c r="G2177" s="31"/>
      <c r="H2177" s="31"/>
      <c r="I2177" s="31"/>
      <c r="J2177" s="31"/>
    </row>
    <row r="2178" spans="7:10" s="29" customFormat="1" x14ac:dyDescent="0.2">
      <c r="G2178" s="31"/>
      <c r="H2178" s="31"/>
      <c r="I2178" s="31"/>
      <c r="J2178" s="31"/>
    </row>
    <row r="2179" spans="7:10" s="29" customFormat="1" x14ac:dyDescent="0.2">
      <c r="G2179" s="31"/>
      <c r="H2179" s="31"/>
      <c r="I2179" s="31"/>
      <c r="J2179" s="31"/>
    </row>
    <row r="2180" spans="7:10" s="29" customFormat="1" x14ac:dyDescent="0.2">
      <c r="G2180" s="31"/>
      <c r="H2180" s="31"/>
      <c r="I2180" s="31"/>
      <c r="J2180" s="31"/>
    </row>
    <row r="2181" spans="7:10" s="29" customFormat="1" x14ac:dyDescent="0.2">
      <c r="G2181" s="31"/>
      <c r="H2181" s="31"/>
      <c r="I2181" s="31"/>
      <c r="J2181" s="31"/>
    </row>
    <row r="2182" spans="7:10" s="29" customFormat="1" x14ac:dyDescent="0.2">
      <c r="G2182" s="31"/>
      <c r="H2182" s="31"/>
      <c r="I2182" s="31"/>
      <c r="J2182" s="31"/>
    </row>
    <row r="2183" spans="7:10" s="29" customFormat="1" x14ac:dyDescent="0.2">
      <c r="G2183" s="31"/>
      <c r="H2183" s="31"/>
      <c r="I2183" s="31"/>
      <c r="J2183" s="31"/>
    </row>
    <row r="2184" spans="7:10" s="29" customFormat="1" x14ac:dyDescent="0.2">
      <c r="G2184" s="31"/>
      <c r="H2184" s="31"/>
      <c r="I2184" s="31"/>
      <c r="J2184" s="31"/>
    </row>
    <row r="2185" spans="7:10" s="29" customFormat="1" x14ac:dyDescent="0.2">
      <c r="G2185" s="31"/>
      <c r="H2185" s="31"/>
      <c r="I2185" s="31"/>
      <c r="J2185" s="31"/>
    </row>
    <row r="2186" spans="7:10" s="29" customFormat="1" x14ac:dyDescent="0.2">
      <c r="G2186" s="31"/>
      <c r="H2186" s="31"/>
      <c r="I2186" s="31"/>
      <c r="J2186" s="31"/>
    </row>
    <row r="2187" spans="7:10" s="29" customFormat="1" x14ac:dyDescent="0.2">
      <c r="G2187" s="31"/>
      <c r="H2187" s="31"/>
      <c r="I2187" s="31"/>
      <c r="J2187" s="31"/>
    </row>
    <row r="2188" spans="7:10" s="29" customFormat="1" x14ac:dyDescent="0.2">
      <c r="G2188" s="31"/>
      <c r="H2188" s="31"/>
      <c r="I2188" s="31"/>
      <c r="J2188" s="31"/>
    </row>
    <row r="2189" spans="7:10" s="29" customFormat="1" x14ac:dyDescent="0.2">
      <c r="G2189" s="31"/>
      <c r="H2189" s="31"/>
      <c r="I2189" s="31"/>
      <c r="J2189" s="31"/>
    </row>
    <row r="2190" spans="7:10" s="29" customFormat="1" x14ac:dyDescent="0.2">
      <c r="G2190" s="31"/>
      <c r="H2190" s="31"/>
      <c r="I2190" s="31"/>
      <c r="J2190" s="31"/>
    </row>
    <row r="2191" spans="7:10" s="29" customFormat="1" x14ac:dyDescent="0.2">
      <c r="G2191" s="31"/>
      <c r="H2191" s="31"/>
      <c r="I2191" s="31"/>
      <c r="J2191" s="31"/>
    </row>
    <row r="2192" spans="7:10" s="29" customFormat="1" x14ac:dyDescent="0.2">
      <c r="G2192" s="31"/>
      <c r="H2192" s="31"/>
      <c r="I2192" s="31"/>
      <c r="J2192" s="31"/>
    </row>
    <row r="2193" spans="7:10" s="29" customFormat="1" x14ac:dyDescent="0.2">
      <c r="G2193" s="31"/>
      <c r="H2193" s="31"/>
      <c r="I2193" s="31"/>
      <c r="J2193" s="31"/>
    </row>
    <row r="2194" spans="7:10" s="29" customFormat="1" x14ac:dyDescent="0.2">
      <c r="G2194" s="31"/>
      <c r="H2194" s="31"/>
      <c r="I2194" s="31"/>
      <c r="J2194" s="31"/>
    </row>
    <row r="2195" spans="7:10" s="29" customFormat="1" x14ac:dyDescent="0.2">
      <c r="G2195" s="31"/>
      <c r="H2195" s="31"/>
      <c r="I2195" s="31"/>
      <c r="J2195" s="31"/>
    </row>
    <row r="2196" spans="7:10" s="29" customFormat="1" x14ac:dyDescent="0.2">
      <c r="G2196" s="31"/>
      <c r="H2196" s="31"/>
      <c r="I2196" s="31"/>
      <c r="J2196" s="31"/>
    </row>
    <row r="2197" spans="7:10" s="29" customFormat="1" x14ac:dyDescent="0.2">
      <c r="G2197" s="31"/>
      <c r="H2197" s="31"/>
      <c r="I2197" s="31"/>
      <c r="J2197" s="31"/>
    </row>
    <row r="2198" spans="7:10" s="29" customFormat="1" x14ac:dyDescent="0.2">
      <c r="G2198" s="31"/>
      <c r="H2198" s="31"/>
      <c r="I2198" s="31"/>
      <c r="J2198" s="31"/>
    </row>
    <row r="2199" spans="7:10" s="29" customFormat="1" x14ac:dyDescent="0.2">
      <c r="G2199" s="31"/>
      <c r="H2199" s="31"/>
      <c r="I2199" s="31"/>
      <c r="J2199" s="31"/>
    </row>
    <row r="2200" spans="7:10" s="29" customFormat="1" x14ac:dyDescent="0.2">
      <c r="G2200" s="31"/>
      <c r="H2200" s="31"/>
      <c r="I2200" s="31"/>
      <c r="J2200" s="31"/>
    </row>
    <row r="2201" spans="7:10" s="29" customFormat="1" x14ac:dyDescent="0.2">
      <c r="G2201" s="31"/>
      <c r="H2201" s="31"/>
      <c r="I2201" s="31"/>
      <c r="J2201" s="31"/>
    </row>
    <row r="2202" spans="7:10" s="29" customFormat="1" x14ac:dyDescent="0.2">
      <c r="G2202" s="31"/>
      <c r="H2202" s="31"/>
      <c r="I2202" s="31"/>
      <c r="J2202" s="31"/>
    </row>
    <row r="2203" spans="7:10" s="29" customFormat="1" x14ac:dyDescent="0.2">
      <c r="G2203" s="31"/>
      <c r="H2203" s="31"/>
      <c r="I2203" s="31"/>
      <c r="J2203" s="31"/>
    </row>
    <row r="2204" spans="7:10" s="29" customFormat="1" x14ac:dyDescent="0.2">
      <c r="G2204" s="31"/>
      <c r="H2204" s="31"/>
      <c r="I2204" s="31"/>
      <c r="J2204" s="31"/>
    </row>
    <row r="2205" spans="7:10" s="29" customFormat="1" x14ac:dyDescent="0.2">
      <c r="G2205" s="31"/>
      <c r="H2205" s="31"/>
      <c r="I2205" s="31"/>
      <c r="J2205" s="31"/>
    </row>
    <row r="2206" spans="7:10" s="29" customFormat="1" x14ac:dyDescent="0.2">
      <c r="G2206" s="31"/>
      <c r="H2206" s="31"/>
      <c r="I2206" s="31"/>
      <c r="J2206" s="31"/>
    </row>
    <row r="2207" spans="7:10" s="29" customFormat="1" x14ac:dyDescent="0.2">
      <c r="G2207" s="31"/>
      <c r="H2207" s="31"/>
      <c r="I2207" s="31"/>
      <c r="J2207" s="31"/>
    </row>
    <row r="2208" spans="7:10" s="29" customFormat="1" x14ac:dyDescent="0.2">
      <c r="G2208" s="31"/>
      <c r="H2208" s="31"/>
      <c r="I2208" s="31"/>
      <c r="J2208" s="31"/>
    </row>
    <row r="2209" spans="7:10" s="29" customFormat="1" x14ac:dyDescent="0.2">
      <c r="G2209" s="31"/>
      <c r="H2209" s="31"/>
      <c r="I2209" s="31"/>
      <c r="J2209" s="31"/>
    </row>
    <row r="2210" spans="7:10" s="29" customFormat="1" x14ac:dyDescent="0.2">
      <c r="G2210" s="31"/>
      <c r="H2210" s="31"/>
      <c r="I2210" s="31"/>
      <c r="J2210" s="31"/>
    </row>
    <row r="2211" spans="7:10" s="29" customFormat="1" x14ac:dyDescent="0.2">
      <c r="G2211" s="31"/>
      <c r="H2211" s="31"/>
      <c r="I2211" s="31"/>
      <c r="J2211" s="31"/>
    </row>
    <row r="2212" spans="7:10" s="29" customFormat="1" x14ac:dyDescent="0.2">
      <c r="G2212" s="31"/>
      <c r="H2212" s="31"/>
      <c r="I2212" s="31"/>
      <c r="J2212" s="31"/>
    </row>
    <row r="2213" spans="7:10" s="29" customFormat="1" x14ac:dyDescent="0.2">
      <c r="G2213" s="31"/>
      <c r="H2213" s="31"/>
      <c r="I2213" s="31"/>
      <c r="J2213" s="31"/>
    </row>
    <row r="2214" spans="7:10" s="29" customFormat="1" x14ac:dyDescent="0.2">
      <c r="G2214" s="31"/>
      <c r="H2214" s="31"/>
      <c r="I2214" s="31"/>
      <c r="J2214" s="31"/>
    </row>
    <row r="2215" spans="7:10" s="29" customFormat="1" x14ac:dyDescent="0.2">
      <c r="G2215" s="31"/>
      <c r="H2215" s="31"/>
      <c r="I2215" s="31"/>
      <c r="J2215" s="31"/>
    </row>
    <row r="2216" spans="7:10" s="29" customFormat="1" x14ac:dyDescent="0.2">
      <c r="G2216" s="31"/>
      <c r="H2216" s="31"/>
      <c r="I2216" s="31"/>
      <c r="J2216" s="31"/>
    </row>
    <row r="2217" spans="7:10" s="29" customFormat="1" x14ac:dyDescent="0.2">
      <c r="G2217" s="31"/>
      <c r="H2217" s="31"/>
      <c r="I2217" s="31"/>
      <c r="J2217" s="31"/>
    </row>
    <row r="2218" spans="7:10" s="29" customFormat="1" x14ac:dyDescent="0.2">
      <c r="G2218" s="31"/>
      <c r="H2218" s="31"/>
      <c r="I2218" s="31"/>
      <c r="J2218" s="31"/>
    </row>
    <row r="2219" spans="7:10" s="29" customFormat="1" x14ac:dyDescent="0.2">
      <c r="G2219" s="31"/>
      <c r="H2219" s="31"/>
      <c r="I2219" s="31"/>
      <c r="J2219" s="31"/>
    </row>
    <row r="2220" spans="7:10" s="29" customFormat="1" x14ac:dyDescent="0.2">
      <c r="G2220" s="31"/>
      <c r="H2220" s="31"/>
      <c r="I2220" s="31"/>
      <c r="J2220" s="31"/>
    </row>
    <row r="2221" spans="7:10" s="29" customFormat="1" x14ac:dyDescent="0.2">
      <c r="G2221" s="31"/>
      <c r="H2221" s="31"/>
      <c r="I2221" s="31"/>
      <c r="J2221" s="31"/>
    </row>
    <row r="2222" spans="7:10" s="29" customFormat="1" x14ac:dyDescent="0.2">
      <c r="G2222" s="31"/>
      <c r="H2222" s="31"/>
      <c r="I2222" s="31"/>
      <c r="J2222" s="31"/>
    </row>
    <row r="2223" spans="7:10" s="29" customFormat="1" x14ac:dyDescent="0.2">
      <c r="G2223" s="31"/>
      <c r="H2223" s="31"/>
      <c r="I2223" s="31"/>
      <c r="J2223" s="31"/>
    </row>
    <row r="2224" spans="7:10" s="29" customFormat="1" x14ac:dyDescent="0.2">
      <c r="G2224" s="31"/>
      <c r="H2224" s="31"/>
      <c r="I2224" s="31"/>
      <c r="J2224" s="31"/>
    </row>
    <row r="2225" spans="7:10" s="29" customFormat="1" x14ac:dyDescent="0.2">
      <c r="G2225" s="31"/>
      <c r="H2225" s="31"/>
      <c r="I2225" s="31"/>
      <c r="J2225" s="31"/>
    </row>
    <row r="2226" spans="7:10" s="29" customFormat="1" x14ac:dyDescent="0.2">
      <c r="G2226" s="31"/>
      <c r="H2226" s="31"/>
      <c r="I2226" s="31"/>
      <c r="J2226" s="31"/>
    </row>
    <row r="2227" spans="7:10" s="29" customFormat="1" x14ac:dyDescent="0.2">
      <c r="G2227" s="31"/>
      <c r="H2227" s="31"/>
      <c r="I2227" s="31"/>
      <c r="J2227" s="31"/>
    </row>
    <row r="2228" spans="7:10" s="29" customFormat="1" x14ac:dyDescent="0.2">
      <c r="G2228" s="31"/>
      <c r="H2228" s="31"/>
      <c r="I2228" s="31"/>
      <c r="J2228" s="31"/>
    </row>
    <row r="2229" spans="7:10" s="29" customFormat="1" x14ac:dyDescent="0.2">
      <c r="G2229" s="31"/>
      <c r="H2229" s="31"/>
      <c r="I2229" s="31"/>
      <c r="J2229" s="31"/>
    </row>
    <row r="2230" spans="7:10" s="29" customFormat="1" x14ac:dyDescent="0.2">
      <c r="G2230" s="31"/>
      <c r="H2230" s="31"/>
      <c r="I2230" s="31"/>
      <c r="J2230" s="31"/>
    </row>
    <row r="2231" spans="7:10" s="29" customFormat="1" x14ac:dyDescent="0.2">
      <c r="G2231" s="31"/>
      <c r="H2231" s="31"/>
      <c r="I2231" s="31"/>
      <c r="J2231" s="31"/>
    </row>
    <row r="2232" spans="7:10" s="29" customFormat="1" x14ac:dyDescent="0.2">
      <c r="G2232" s="31"/>
      <c r="H2232" s="31"/>
      <c r="I2232" s="31"/>
      <c r="J2232" s="31"/>
    </row>
    <row r="2233" spans="7:10" s="29" customFormat="1" x14ac:dyDescent="0.2">
      <c r="G2233" s="31"/>
      <c r="H2233" s="31"/>
      <c r="I2233" s="31"/>
      <c r="J2233" s="31"/>
    </row>
    <row r="2234" spans="7:10" s="29" customFormat="1" x14ac:dyDescent="0.2">
      <c r="G2234" s="31"/>
      <c r="H2234" s="31"/>
      <c r="I2234" s="31"/>
      <c r="J2234" s="31"/>
    </row>
    <row r="2235" spans="7:10" s="29" customFormat="1" x14ac:dyDescent="0.2">
      <c r="G2235" s="31"/>
      <c r="H2235" s="31"/>
      <c r="I2235" s="31"/>
      <c r="J2235" s="31"/>
    </row>
    <row r="2236" spans="7:10" s="29" customFormat="1" x14ac:dyDescent="0.2">
      <c r="G2236" s="31"/>
      <c r="H2236" s="31"/>
      <c r="I2236" s="31"/>
      <c r="J2236" s="31"/>
    </row>
    <row r="2237" spans="7:10" s="29" customFormat="1" x14ac:dyDescent="0.2">
      <c r="G2237" s="31"/>
      <c r="H2237" s="31"/>
      <c r="I2237" s="31"/>
      <c r="J2237" s="31"/>
    </row>
    <row r="2238" spans="7:10" s="29" customFormat="1" x14ac:dyDescent="0.2">
      <c r="G2238" s="31"/>
      <c r="H2238" s="31"/>
      <c r="I2238" s="31"/>
      <c r="J2238" s="31"/>
    </row>
    <row r="2239" spans="7:10" s="29" customFormat="1" x14ac:dyDescent="0.2">
      <c r="G2239" s="31"/>
      <c r="H2239" s="31"/>
      <c r="I2239" s="31"/>
      <c r="J2239" s="31"/>
    </row>
    <row r="2240" spans="7:10" s="29" customFormat="1" x14ac:dyDescent="0.2">
      <c r="G2240" s="31"/>
      <c r="H2240" s="31"/>
      <c r="I2240" s="31"/>
      <c r="J2240" s="31"/>
    </row>
    <row r="2241" spans="7:10" s="29" customFormat="1" x14ac:dyDescent="0.2">
      <c r="G2241" s="31"/>
      <c r="H2241" s="31"/>
      <c r="I2241" s="31"/>
      <c r="J2241" s="31"/>
    </row>
    <row r="2242" spans="7:10" s="29" customFormat="1" x14ac:dyDescent="0.2">
      <c r="G2242" s="31"/>
      <c r="H2242" s="31"/>
      <c r="I2242" s="31"/>
      <c r="J2242" s="31"/>
    </row>
    <row r="2243" spans="7:10" s="29" customFormat="1" x14ac:dyDescent="0.2">
      <c r="G2243" s="31"/>
      <c r="H2243" s="31"/>
      <c r="I2243" s="31"/>
      <c r="J2243" s="31"/>
    </row>
    <row r="2244" spans="7:10" s="29" customFormat="1" x14ac:dyDescent="0.2">
      <c r="G2244" s="31"/>
      <c r="H2244" s="31"/>
      <c r="I2244" s="31"/>
      <c r="J2244" s="31"/>
    </row>
    <row r="2245" spans="7:10" s="29" customFormat="1" x14ac:dyDescent="0.2">
      <c r="G2245" s="31"/>
      <c r="H2245" s="31"/>
      <c r="I2245" s="31"/>
      <c r="J2245" s="31"/>
    </row>
    <row r="2246" spans="7:10" s="29" customFormat="1" x14ac:dyDescent="0.2">
      <c r="G2246" s="31"/>
      <c r="H2246" s="31"/>
      <c r="I2246" s="31"/>
      <c r="J2246" s="31"/>
    </row>
    <row r="2247" spans="7:10" s="29" customFormat="1" x14ac:dyDescent="0.2">
      <c r="G2247" s="31"/>
      <c r="H2247" s="31"/>
      <c r="I2247" s="31"/>
      <c r="J2247" s="31"/>
    </row>
    <row r="2248" spans="7:10" s="29" customFormat="1" x14ac:dyDescent="0.2">
      <c r="G2248" s="31"/>
      <c r="H2248" s="31"/>
      <c r="I2248" s="31"/>
      <c r="J2248" s="31"/>
    </row>
    <row r="2249" spans="7:10" s="29" customFormat="1" x14ac:dyDescent="0.2">
      <c r="G2249" s="31"/>
      <c r="H2249" s="31"/>
      <c r="I2249" s="31"/>
      <c r="J2249" s="31"/>
    </row>
    <row r="2250" spans="7:10" s="29" customFormat="1" x14ac:dyDescent="0.2">
      <c r="G2250" s="31"/>
      <c r="H2250" s="31"/>
      <c r="I2250" s="31"/>
      <c r="J2250" s="31"/>
    </row>
    <row r="2251" spans="7:10" s="29" customFormat="1" x14ac:dyDescent="0.2">
      <c r="G2251" s="31"/>
      <c r="H2251" s="31"/>
      <c r="I2251" s="31"/>
      <c r="J2251" s="31"/>
    </row>
    <row r="2252" spans="7:10" s="29" customFormat="1" x14ac:dyDescent="0.2">
      <c r="G2252" s="31"/>
      <c r="H2252" s="31"/>
      <c r="I2252" s="31"/>
      <c r="J2252" s="31"/>
    </row>
    <row r="2253" spans="7:10" s="29" customFormat="1" x14ac:dyDescent="0.2">
      <c r="G2253" s="31"/>
      <c r="H2253" s="31"/>
      <c r="I2253" s="31"/>
      <c r="J2253" s="31"/>
    </row>
    <row r="2254" spans="7:10" s="29" customFormat="1" x14ac:dyDescent="0.2">
      <c r="G2254" s="31"/>
      <c r="H2254" s="31"/>
      <c r="I2254" s="31"/>
      <c r="J2254" s="31"/>
    </row>
    <row r="2255" spans="7:10" s="29" customFormat="1" x14ac:dyDescent="0.2">
      <c r="G2255" s="31"/>
      <c r="H2255" s="31"/>
      <c r="I2255" s="31"/>
      <c r="J2255" s="31"/>
    </row>
    <row r="2256" spans="7:10" s="29" customFormat="1" x14ac:dyDescent="0.2">
      <c r="G2256" s="31"/>
      <c r="H2256" s="31"/>
      <c r="I2256" s="31"/>
      <c r="J2256" s="31"/>
    </row>
    <row r="2257" spans="7:10" s="29" customFormat="1" x14ac:dyDescent="0.2">
      <c r="G2257" s="31"/>
      <c r="H2257" s="31"/>
      <c r="I2257" s="31"/>
      <c r="J2257" s="31"/>
    </row>
    <row r="2258" spans="7:10" s="29" customFormat="1" x14ac:dyDescent="0.2">
      <c r="G2258" s="31"/>
      <c r="H2258" s="31"/>
      <c r="I2258" s="31"/>
      <c r="J2258" s="31"/>
    </row>
    <row r="2259" spans="7:10" s="29" customFormat="1" x14ac:dyDescent="0.2">
      <c r="G2259" s="31"/>
      <c r="H2259" s="31"/>
      <c r="I2259" s="31"/>
      <c r="J2259" s="31"/>
    </row>
    <row r="2260" spans="7:10" s="29" customFormat="1" x14ac:dyDescent="0.2">
      <c r="G2260" s="31"/>
      <c r="H2260" s="31"/>
      <c r="I2260" s="31"/>
      <c r="J2260" s="31"/>
    </row>
    <row r="2261" spans="7:10" s="29" customFormat="1" x14ac:dyDescent="0.2">
      <c r="G2261" s="31"/>
      <c r="H2261" s="31"/>
      <c r="I2261" s="31"/>
      <c r="J2261" s="31"/>
    </row>
    <row r="2262" spans="7:10" s="29" customFormat="1" x14ac:dyDescent="0.2">
      <c r="G2262" s="31"/>
      <c r="H2262" s="31"/>
      <c r="I2262" s="31"/>
      <c r="J2262" s="31"/>
    </row>
    <row r="2263" spans="7:10" s="29" customFormat="1" x14ac:dyDescent="0.2">
      <c r="G2263" s="31"/>
      <c r="H2263" s="31"/>
      <c r="I2263" s="31"/>
      <c r="J2263" s="31"/>
    </row>
    <row r="2264" spans="7:10" s="29" customFormat="1" x14ac:dyDescent="0.2">
      <c r="G2264" s="31"/>
      <c r="H2264" s="31"/>
      <c r="I2264" s="31"/>
      <c r="J2264" s="31"/>
    </row>
    <row r="2265" spans="7:10" s="29" customFormat="1" x14ac:dyDescent="0.2">
      <c r="G2265" s="31"/>
      <c r="H2265" s="31"/>
      <c r="I2265" s="31"/>
      <c r="J2265" s="31"/>
    </row>
    <row r="2266" spans="7:10" s="29" customFormat="1" x14ac:dyDescent="0.2">
      <c r="G2266" s="31"/>
      <c r="H2266" s="31"/>
      <c r="I2266" s="31"/>
      <c r="J2266" s="31"/>
    </row>
    <row r="2267" spans="7:10" s="29" customFormat="1" x14ac:dyDescent="0.2">
      <c r="G2267" s="31"/>
      <c r="H2267" s="31"/>
      <c r="I2267" s="31"/>
      <c r="J2267" s="31"/>
    </row>
    <row r="2268" spans="7:10" s="29" customFormat="1" x14ac:dyDescent="0.2">
      <c r="G2268" s="31"/>
      <c r="H2268" s="31"/>
      <c r="I2268" s="31"/>
      <c r="J2268" s="31"/>
    </row>
    <row r="2269" spans="7:10" s="29" customFormat="1" x14ac:dyDescent="0.2">
      <c r="G2269" s="31"/>
      <c r="H2269" s="31"/>
      <c r="I2269" s="31"/>
      <c r="J2269" s="31"/>
    </row>
    <row r="2270" spans="7:10" s="29" customFormat="1" x14ac:dyDescent="0.2">
      <c r="G2270" s="31"/>
      <c r="H2270" s="31"/>
      <c r="I2270" s="31"/>
      <c r="J2270" s="31"/>
    </row>
    <row r="2271" spans="7:10" s="29" customFormat="1" x14ac:dyDescent="0.2">
      <c r="G2271" s="31"/>
      <c r="H2271" s="31"/>
      <c r="I2271" s="31"/>
      <c r="J2271" s="31"/>
    </row>
    <row r="2272" spans="7:10" s="29" customFormat="1" x14ac:dyDescent="0.2">
      <c r="G2272" s="31"/>
      <c r="H2272" s="31"/>
      <c r="I2272" s="31"/>
      <c r="J2272" s="31"/>
    </row>
    <row r="2273" spans="7:10" s="29" customFormat="1" x14ac:dyDescent="0.2">
      <c r="G2273" s="31"/>
      <c r="H2273" s="31"/>
      <c r="I2273" s="31"/>
      <c r="J2273" s="31"/>
    </row>
    <row r="2274" spans="7:10" s="29" customFormat="1" x14ac:dyDescent="0.2">
      <c r="G2274" s="31"/>
      <c r="H2274" s="31"/>
      <c r="I2274" s="31"/>
      <c r="J2274" s="31"/>
    </row>
    <row r="2275" spans="7:10" s="29" customFormat="1" x14ac:dyDescent="0.2">
      <c r="G2275" s="31"/>
      <c r="H2275" s="31"/>
      <c r="I2275" s="31"/>
      <c r="J2275" s="31"/>
    </row>
    <row r="2276" spans="7:10" s="29" customFormat="1" x14ac:dyDescent="0.2">
      <c r="G2276" s="31"/>
      <c r="H2276" s="31"/>
      <c r="I2276" s="31"/>
      <c r="J2276" s="31"/>
    </row>
    <row r="2277" spans="7:10" s="29" customFormat="1" x14ac:dyDescent="0.2">
      <c r="G2277" s="31"/>
      <c r="H2277" s="31"/>
      <c r="I2277" s="31"/>
      <c r="J2277" s="31"/>
    </row>
    <row r="2278" spans="7:10" s="29" customFormat="1" x14ac:dyDescent="0.2">
      <c r="G2278" s="31"/>
      <c r="H2278" s="31"/>
      <c r="I2278" s="31"/>
      <c r="J2278" s="31"/>
    </row>
    <row r="2279" spans="7:10" s="29" customFormat="1" x14ac:dyDescent="0.2">
      <c r="G2279" s="31"/>
      <c r="H2279" s="31"/>
      <c r="I2279" s="31"/>
      <c r="J2279" s="31"/>
    </row>
    <row r="2280" spans="7:10" s="29" customFormat="1" x14ac:dyDescent="0.2">
      <c r="G2280" s="31"/>
      <c r="H2280" s="31"/>
      <c r="I2280" s="31"/>
      <c r="J2280" s="31"/>
    </row>
    <row r="2281" spans="7:10" s="29" customFormat="1" x14ac:dyDescent="0.2">
      <c r="G2281" s="31"/>
      <c r="H2281" s="31"/>
      <c r="I2281" s="31"/>
      <c r="J2281" s="31"/>
    </row>
    <row r="2282" spans="7:10" s="29" customFormat="1" x14ac:dyDescent="0.2">
      <c r="G2282" s="31"/>
      <c r="H2282" s="31"/>
      <c r="I2282" s="31"/>
      <c r="J2282" s="31"/>
    </row>
    <row r="2283" spans="7:10" s="29" customFormat="1" x14ac:dyDescent="0.2">
      <c r="G2283" s="31"/>
      <c r="H2283" s="31"/>
      <c r="I2283" s="31"/>
      <c r="J2283" s="31"/>
    </row>
    <row r="2284" spans="7:10" s="29" customFormat="1" x14ac:dyDescent="0.2">
      <c r="G2284" s="31"/>
      <c r="H2284" s="31"/>
      <c r="I2284" s="31"/>
      <c r="J2284" s="31"/>
    </row>
    <row r="2285" spans="7:10" s="29" customFormat="1" x14ac:dyDescent="0.2">
      <c r="G2285" s="31"/>
      <c r="H2285" s="31"/>
      <c r="I2285" s="31"/>
      <c r="J2285" s="31"/>
    </row>
    <row r="2286" spans="7:10" s="29" customFormat="1" x14ac:dyDescent="0.2">
      <c r="G2286" s="31"/>
      <c r="H2286" s="31"/>
      <c r="I2286" s="31"/>
      <c r="J2286" s="31"/>
    </row>
    <row r="2287" spans="7:10" s="29" customFormat="1" x14ac:dyDescent="0.2">
      <c r="G2287" s="31"/>
      <c r="H2287" s="31"/>
      <c r="I2287" s="31"/>
      <c r="J2287" s="31"/>
    </row>
    <row r="2288" spans="7:10" s="29" customFormat="1" x14ac:dyDescent="0.2">
      <c r="G2288" s="31"/>
      <c r="H2288" s="31"/>
      <c r="I2288" s="31"/>
      <c r="J2288" s="31"/>
    </row>
    <row r="2289" spans="7:10" s="29" customFormat="1" x14ac:dyDescent="0.2">
      <c r="G2289" s="31"/>
      <c r="H2289" s="31"/>
      <c r="I2289" s="31"/>
      <c r="J2289" s="31"/>
    </row>
    <row r="2290" spans="7:10" s="29" customFormat="1" x14ac:dyDescent="0.2">
      <c r="G2290" s="31"/>
      <c r="H2290" s="31"/>
      <c r="I2290" s="31"/>
      <c r="J2290" s="31"/>
    </row>
    <row r="2291" spans="7:10" s="29" customFormat="1" x14ac:dyDescent="0.2">
      <c r="G2291" s="31"/>
      <c r="H2291" s="31"/>
      <c r="I2291" s="31"/>
      <c r="J2291" s="31"/>
    </row>
    <row r="2292" spans="7:10" s="29" customFormat="1" x14ac:dyDescent="0.2">
      <c r="G2292" s="31"/>
      <c r="H2292" s="31"/>
      <c r="I2292" s="31"/>
      <c r="J2292" s="31"/>
    </row>
    <row r="2293" spans="7:10" s="29" customFormat="1" x14ac:dyDescent="0.2">
      <c r="G2293" s="31"/>
      <c r="H2293" s="31"/>
      <c r="I2293" s="31"/>
      <c r="J2293" s="31"/>
    </row>
    <row r="2294" spans="7:10" s="29" customFormat="1" x14ac:dyDescent="0.2">
      <c r="G2294" s="31"/>
      <c r="H2294" s="31"/>
      <c r="I2294" s="31"/>
      <c r="J2294" s="31"/>
    </row>
    <row r="2295" spans="7:10" s="29" customFormat="1" x14ac:dyDescent="0.2">
      <c r="G2295" s="31"/>
      <c r="H2295" s="31"/>
      <c r="I2295" s="31"/>
      <c r="J2295" s="31"/>
    </row>
    <row r="2296" spans="7:10" s="29" customFormat="1" x14ac:dyDescent="0.2">
      <c r="G2296" s="31"/>
      <c r="H2296" s="31"/>
      <c r="I2296" s="31"/>
      <c r="J2296" s="31"/>
    </row>
    <row r="2297" spans="7:10" s="29" customFormat="1" x14ac:dyDescent="0.2">
      <c r="G2297" s="31"/>
      <c r="H2297" s="31"/>
      <c r="I2297" s="31"/>
      <c r="J2297" s="31"/>
    </row>
    <row r="2298" spans="7:10" s="29" customFormat="1" x14ac:dyDescent="0.2">
      <c r="G2298" s="31"/>
      <c r="H2298" s="31"/>
      <c r="I2298" s="31"/>
      <c r="J2298" s="31"/>
    </row>
    <row r="2299" spans="7:10" s="29" customFormat="1" x14ac:dyDescent="0.2">
      <c r="G2299" s="31"/>
      <c r="H2299" s="31"/>
      <c r="I2299" s="31"/>
      <c r="J2299" s="31"/>
    </row>
    <row r="2300" spans="7:10" s="29" customFormat="1" x14ac:dyDescent="0.2">
      <c r="G2300" s="31"/>
      <c r="H2300" s="31"/>
      <c r="I2300" s="31"/>
      <c r="J2300" s="31"/>
    </row>
    <row r="2301" spans="7:10" s="29" customFormat="1" x14ac:dyDescent="0.2">
      <c r="G2301" s="31"/>
      <c r="H2301" s="31"/>
      <c r="I2301" s="31"/>
      <c r="J2301" s="31"/>
    </row>
    <row r="2302" spans="7:10" s="29" customFormat="1" x14ac:dyDescent="0.2">
      <c r="G2302" s="31"/>
      <c r="H2302" s="31"/>
      <c r="I2302" s="31"/>
      <c r="J2302" s="31"/>
    </row>
    <row r="2303" spans="7:10" s="29" customFormat="1" x14ac:dyDescent="0.2">
      <c r="G2303" s="31"/>
      <c r="H2303" s="31"/>
      <c r="I2303" s="31"/>
      <c r="J2303" s="31"/>
    </row>
    <row r="2304" spans="7:10" s="29" customFormat="1" x14ac:dyDescent="0.2">
      <c r="G2304" s="31"/>
      <c r="H2304" s="31"/>
      <c r="I2304" s="31"/>
      <c r="J2304" s="31"/>
    </row>
    <row r="2305" spans="7:10" s="29" customFormat="1" x14ac:dyDescent="0.2">
      <c r="G2305" s="31"/>
      <c r="H2305" s="31"/>
      <c r="I2305" s="31"/>
      <c r="J2305" s="31"/>
    </row>
    <row r="2306" spans="7:10" s="29" customFormat="1" x14ac:dyDescent="0.2">
      <c r="G2306" s="31"/>
      <c r="H2306" s="31"/>
      <c r="I2306" s="31"/>
      <c r="J2306" s="31"/>
    </row>
    <row r="2307" spans="7:10" s="29" customFormat="1" x14ac:dyDescent="0.2">
      <c r="G2307" s="31"/>
      <c r="H2307" s="31"/>
      <c r="I2307" s="31"/>
      <c r="J2307" s="31"/>
    </row>
    <row r="2308" spans="7:10" s="29" customFormat="1" x14ac:dyDescent="0.2">
      <c r="G2308" s="31"/>
      <c r="H2308" s="31"/>
      <c r="I2308" s="31"/>
      <c r="J2308" s="31"/>
    </row>
    <row r="2309" spans="7:10" s="29" customFormat="1" x14ac:dyDescent="0.2">
      <c r="G2309" s="31"/>
      <c r="H2309" s="31"/>
      <c r="I2309" s="31"/>
      <c r="J2309" s="31"/>
    </row>
    <row r="2310" spans="7:10" s="29" customFormat="1" x14ac:dyDescent="0.2">
      <c r="G2310" s="31"/>
      <c r="H2310" s="31"/>
      <c r="I2310" s="31"/>
      <c r="J2310" s="31"/>
    </row>
    <row r="2311" spans="7:10" s="29" customFormat="1" x14ac:dyDescent="0.2">
      <c r="G2311" s="31"/>
      <c r="H2311" s="31"/>
      <c r="I2311" s="31"/>
      <c r="J2311" s="31"/>
    </row>
    <row r="2312" spans="7:10" s="29" customFormat="1" x14ac:dyDescent="0.2">
      <c r="G2312" s="31"/>
      <c r="H2312" s="31"/>
      <c r="I2312" s="31"/>
      <c r="J2312" s="31"/>
    </row>
    <row r="2313" spans="7:10" s="29" customFormat="1" x14ac:dyDescent="0.2">
      <c r="G2313" s="31"/>
      <c r="H2313" s="31"/>
      <c r="I2313" s="31"/>
      <c r="J2313" s="31"/>
    </row>
    <row r="2314" spans="7:10" s="29" customFormat="1" x14ac:dyDescent="0.2">
      <c r="G2314" s="31"/>
      <c r="H2314" s="31"/>
      <c r="I2314" s="31"/>
      <c r="J2314" s="31"/>
    </row>
    <row r="2315" spans="7:10" s="29" customFormat="1" x14ac:dyDescent="0.2">
      <c r="G2315" s="31"/>
      <c r="H2315" s="31"/>
      <c r="I2315" s="31"/>
      <c r="J2315" s="31"/>
    </row>
    <row r="2316" spans="7:10" s="29" customFormat="1" x14ac:dyDescent="0.2">
      <c r="G2316" s="31"/>
      <c r="H2316" s="31"/>
      <c r="I2316" s="31"/>
      <c r="J2316" s="31"/>
    </row>
    <row r="2317" spans="7:10" s="29" customFormat="1" x14ac:dyDescent="0.2">
      <c r="G2317" s="31"/>
      <c r="H2317" s="31"/>
      <c r="I2317" s="31"/>
      <c r="J2317" s="31"/>
    </row>
    <row r="2318" spans="7:10" s="29" customFormat="1" x14ac:dyDescent="0.2">
      <c r="G2318" s="31"/>
      <c r="H2318" s="31"/>
      <c r="I2318" s="31"/>
      <c r="J2318" s="31"/>
    </row>
    <row r="2319" spans="7:10" s="29" customFormat="1" x14ac:dyDescent="0.2">
      <c r="G2319" s="31"/>
      <c r="H2319" s="31"/>
      <c r="I2319" s="31"/>
      <c r="J2319" s="31"/>
    </row>
    <row r="2320" spans="7:10" s="29" customFormat="1" x14ac:dyDescent="0.2">
      <c r="G2320" s="31"/>
      <c r="H2320" s="31"/>
      <c r="I2320" s="31"/>
      <c r="J2320" s="31"/>
    </row>
    <row r="2321" spans="7:10" s="29" customFormat="1" x14ac:dyDescent="0.2">
      <c r="G2321" s="31"/>
      <c r="H2321" s="31"/>
      <c r="I2321" s="31"/>
      <c r="J2321" s="31"/>
    </row>
    <row r="2322" spans="7:10" s="29" customFormat="1" x14ac:dyDescent="0.2">
      <c r="G2322" s="31"/>
      <c r="H2322" s="31"/>
      <c r="I2322" s="31"/>
      <c r="J2322" s="31"/>
    </row>
    <row r="2323" spans="7:10" s="29" customFormat="1" x14ac:dyDescent="0.2">
      <c r="G2323" s="31"/>
      <c r="H2323" s="31"/>
      <c r="I2323" s="31"/>
      <c r="J2323" s="31"/>
    </row>
    <row r="2324" spans="7:10" s="29" customFormat="1" x14ac:dyDescent="0.2">
      <c r="G2324" s="31"/>
      <c r="H2324" s="31"/>
      <c r="I2324" s="31"/>
      <c r="J2324" s="31"/>
    </row>
    <row r="2325" spans="7:10" s="29" customFormat="1" x14ac:dyDescent="0.2">
      <c r="G2325" s="31"/>
      <c r="H2325" s="31"/>
      <c r="I2325" s="31"/>
      <c r="J2325" s="31"/>
    </row>
    <row r="2326" spans="7:10" s="29" customFormat="1" x14ac:dyDescent="0.2">
      <c r="G2326" s="31"/>
      <c r="H2326" s="31"/>
      <c r="I2326" s="31"/>
      <c r="J2326" s="31"/>
    </row>
    <row r="2327" spans="7:10" s="29" customFormat="1" x14ac:dyDescent="0.2">
      <c r="G2327" s="31"/>
      <c r="H2327" s="31"/>
      <c r="I2327" s="31"/>
      <c r="J2327" s="31"/>
    </row>
    <row r="2328" spans="7:10" s="29" customFormat="1" x14ac:dyDescent="0.2">
      <c r="G2328" s="31"/>
      <c r="H2328" s="31"/>
      <c r="I2328" s="31"/>
      <c r="J2328" s="31"/>
    </row>
    <row r="2329" spans="7:10" s="29" customFormat="1" x14ac:dyDescent="0.2">
      <c r="G2329" s="31"/>
      <c r="H2329" s="31"/>
      <c r="I2329" s="31"/>
      <c r="J2329" s="31"/>
    </row>
    <row r="2330" spans="7:10" s="29" customFormat="1" x14ac:dyDescent="0.2">
      <c r="G2330" s="31"/>
      <c r="H2330" s="31"/>
      <c r="I2330" s="31"/>
      <c r="J2330" s="31"/>
    </row>
    <row r="2331" spans="7:10" s="29" customFormat="1" x14ac:dyDescent="0.2">
      <c r="G2331" s="31"/>
      <c r="H2331" s="31"/>
      <c r="I2331" s="31"/>
      <c r="J2331" s="31"/>
    </row>
    <row r="2332" spans="7:10" s="29" customFormat="1" x14ac:dyDescent="0.2">
      <c r="G2332" s="31"/>
      <c r="H2332" s="31"/>
      <c r="I2332" s="31"/>
      <c r="J2332" s="31"/>
    </row>
    <row r="2333" spans="7:10" s="29" customFormat="1" x14ac:dyDescent="0.2">
      <c r="G2333" s="31"/>
      <c r="H2333" s="31"/>
      <c r="I2333" s="31"/>
      <c r="J2333" s="31"/>
    </row>
    <row r="2334" spans="7:10" s="29" customFormat="1" x14ac:dyDescent="0.2">
      <c r="G2334" s="31"/>
      <c r="H2334" s="31"/>
      <c r="I2334" s="31"/>
      <c r="J2334" s="31"/>
    </row>
    <row r="2335" spans="7:10" s="29" customFormat="1" x14ac:dyDescent="0.2">
      <c r="G2335" s="31"/>
      <c r="H2335" s="31"/>
      <c r="I2335" s="31"/>
      <c r="J2335" s="31"/>
    </row>
    <row r="2336" spans="7:10" s="29" customFormat="1" x14ac:dyDescent="0.2">
      <c r="G2336" s="31"/>
      <c r="H2336" s="31"/>
      <c r="I2336" s="31"/>
      <c r="J2336" s="31"/>
    </row>
    <row r="2337" spans="7:10" s="29" customFormat="1" x14ac:dyDescent="0.2">
      <c r="G2337" s="31"/>
      <c r="H2337" s="31"/>
      <c r="I2337" s="31"/>
      <c r="J2337" s="31"/>
    </row>
    <row r="2338" spans="7:10" s="29" customFormat="1" x14ac:dyDescent="0.2">
      <c r="G2338" s="31"/>
      <c r="H2338" s="31"/>
      <c r="I2338" s="31"/>
      <c r="J2338" s="31"/>
    </row>
    <row r="2339" spans="7:10" s="29" customFormat="1" x14ac:dyDescent="0.2">
      <c r="G2339" s="31"/>
      <c r="H2339" s="31"/>
      <c r="I2339" s="31"/>
      <c r="J2339" s="31"/>
    </row>
    <row r="2340" spans="7:10" s="29" customFormat="1" x14ac:dyDescent="0.2">
      <c r="G2340" s="31"/>
      <c r="H2340" s="31"/>
      <c r="I2340" s="31"/>
      <c r="J2340" s="31"/>
    </row>
    <row r="2341" spans="7:10" s="29" customFormat="1" x14ac:dyDescent="0.2">
      <c r="G2341" s="31"/>
      <c r="H2341" s="31"/>
      <c r="I2341" s="31"/>
      <c r="J2341" s="31"/>
    </row>
    <row r="2342" spans="7:10" s="29" customFormat="1" x14ac:dyDescent="0.2">
      <c r="G2342" s="31"/>
      <c r="H2342" s="31"/>
      <c r="I2342" s="31"/>
      <c r="J2342" s="31"/>
    </row>
    <row r="2343" spans="7:10" s="29" customFormat="1" x14ac:dyDescent="0.2">
      <c r="G2343" s="31"/>
      <c r="H2343" s="31"/>
      <c r="I2343" s="31"/>
      <c r="J2343" s="31"/>
    </row>
    <row r="2344" spans="7:10" s="29" customFormat="1" x14ac:dyDescent="0.2">
      <c r="G2344" s="31"/>
      <c r="H2344" s="31"/>
      <c r="I2344" s="31"/>
      <c r="J2344" s="31"/>
    </row>
    <row r="2345" spans="7:10" s="29" customFormat="1" x14ac:dyDescent="0.2">
      <c r="G2345" s="31"/>
      <c r="H2345" s="31"/>
      <c r="I2345" s="31"/>
      <c r="J2345" s="31"/>
    </row>
    <row r="2346" spans="7:10" s="29" customFormat="1" x14ac:dyDescent="0.2">
      <c r="G2346" s="31"/>
      <c r="H2346" s="31"/>
      <c r="I2346" s="31"/>
      <c r="J2346" s="31"/>
    </row>
    <row r="2347" spans="7:10" s="29" customFormat="1" x14ac:dyDescent="0.2">
      <c r="G2347" s="31"/>
      <c r="H2347" s="31"/>
      <c r="I2347" s="31"/>
      <c r="J2347" s="31"/>
    </row>
    <row r="2348" spans="7:10" s="29" customFormat="1" x14ac:dyDescent="0.2">
      <c r="G2348" s="31"/>
      <c r="H2348" s="31"/>
      <c r="I2348" s="31"/>
      <c r="J2348" s="31"/>
    </row>
    <row r="2349" spans="7:10" s="29" customFormat="1" x14ac:dyDescent="0.2">
      <c r="G2349" s="31"/>
      <c r="H2349" s="31"/>
      <c r="I2349" s="31"/>
      <c r="J2349" s="31"/>
    </row>
    <row r="2350" spans="7:10" s="29" customFormat="1" x14ac:dyDescent="0.2">
      <c r="G2350" s="31"/>
      <c r="H2350" s="31"/>
      <c r="I2350" s="31"/>
      <c r="J2350" s="31"/>
    </row>
    <row r="2351" spans="7:10" s="29" customFormat="1" x14ac:dyDescent="0.2">
      <c r="G2351" s="31"/>
      <c r="H2351" s="31"/>
      <c r="I2351" s="31"/>
      <c r="J2351" s="31"/>
    </row>
    <row r="2352" spans="7:10" s="29" customFormat="1" x14ac:dyDescent="0.2">
      <c r="G2352" s="31"/>
      <c r="H2352" s="31"/>
      <c r="I2352" s="31"/>
      <c r="J2352" s="31"/>
    </row>
    <row r="2353" spans="7:10" s="29" customFormat="1" x14ac:dyDescent="0.2">
      <c r="G2353" s="31"/>
      <c r="H2353" s="31"/>
      <c r="I2353" s="31"/>
      <c r="J2353" s="31"/>
    </row>
    <row r="2354" spans="7:10" s="29" customFormat="1" x14ac:dyDescent="0.2">
      <c r="G2354" s="31"/>
      <c r="H2354" s="31"/>
      <c r="I2354" s="31"/>
      <c r="J2354" s="31"/>
    </row>
    <row r="2355" spans="7:10" s="29" customFormat="1" x14ac:dyDescent="0.2">
      <c r="G2355" s="31"/>
      <c r="H2355" s="31"/>
      <c r="I2355" s="31"/>
      <c r="J2355" s="31"/>
    </row>
    <row r="2356" spans="7:10" s="29" customFormat="1" x14ac:dyDescent="0.2">
      <c r="G2356" s="31"/>
      <c r="H2356" s="31"/>
      <c r="I2356" s="31"/>
      <c r="J2356" s="31"/>
    </row>
    <row r="2357" spans="7:10" s="29" customFormat="1" x14ac:dyDescent="0.2">
      <c r="G2357" s="31"/>
      <c r="H2357" s="31"/>
      <c r="I2357" s="31"/>
      <c r="J2357" s="31"/>
    </row>
    <row r="2358" spans="7:10" s="29" customFormat="1" x14ac:dyDescent="0.2">
      <c r="G2358" s="31"/>
      <c r="H2358" s="31"/>
      <c r="I2358" s="31"/>
      <c r="J2358" s="31"/>
    </row>
    <row r="2359" spans="7:10" s="29" customFormat="1" x14ac:dyDescent="0.2">
      <c r="G2359" s="31"/>
      <c r="H2359" s="31"/>
      <c r="I2359" s="31"/>
      <c r="J2359" s="31"/>
    </row>
    <row r="2360" spans="7:10" s="29" customFormat="1" x14ac:dyDescent="0.2">
      <c r="G2360" s="31"/>
      <c r="H2360" s="31"/>
      <c r="I2360" s="31"/>
      <c r="J2360" s="31"/>
    </row>
    <row r="2361" spans="7:10" s="29" customFormat="1" x14ac:dyDescent="0.2">
      <c r="G2361" s="31"/>
      <c r="H2361" s="31"/>
      <c r="I2361" s="31"/>
      <c r="J2361" s="31"/>
    </row>
    <row r="2362" spans="7:10" s="29" customFormat="1" x14ac:dyDescent="0.2">
      <c r="G2362" s="31"/>
      <c r="H2362" s="31"/>
      <c r="I2362" s="31"/>
      <c r="J2362" s="31"/>
    </row>
    <row r="2363" spans="7:10" s="29" customFormat="1" x14ac:dyDescent="0.2">
      <c r="G2363" s="31"/>
      <c r="H2363" s="31"/>
      <c r="I2363" s="31"/>
      <c r="J2363" s="31"/>
    </row>
    <row r="2364" spans="7:10" s="29" customFormat="1" x14ac:dyDescent="0.2">
      <c r="G2364" s="31"/>
      <c r="H2364" s="31"/>
      <c r="I2364" s="31"/>
      <c r="J2364" s="31"/>
    </row>
    <row r="2365" spans="7:10" s="29" customFormat="1" x14ac:dyDescent="0.2">
      <c r="G2365" s="31"/>
      <c r="H2365" s="31"/>
      <c r="I2365" s="31"/>
      <c r="J2365" s="31"/>
    </row>
    <row r="2366" spans="7:10" s="29" customFormat="1" x14ac:dyDescent="0.2">
      <c r="G2366" s="31"/>
      <c r="H2366" s="31"/>
      <c r="I2366" s="31"/>
      <c r="J2366" s="31"/>
    </row>
    <row r="2367" spans="7:10" s="29" customFormat="1" x14ac:dyDescent="0.2">
      <c r="G2367" s="31"/>
      <c r="H2367" s="31"/>
      <c r="I2367" s="31"/>
      <c r="J2367" s="31"/>
    </row>
    <row r="2368" spans="7:10" s="29" customFormat="1" x14ac:dyDescent="0.2">
      <c r="G2368" s="31"/>
      <c r="H2368" s="31"/>
      <c r="I2368" s="31"/>
      <c r="J2368" s="31"/>
    </row>
    <row r="2369" spans="7:10" s="29" customFormat="1" x14ac:dyDescent="0.2">
      <c r="G2369" s="31"/>
      <c r="H2369" s="31"/>
      <c r="I2369" s="31"/>
      <c r="J2369" s="31"/>
    </row>
    <row r="2370" spans="7:10" s="29" customFormat="1" x14ac:dyDescent="0.2">
      <c r="G2370" s="31"/>
      <c r="H2370" s="31"/>
      <c r="I2370" s="31"/>
      <c r="J2370" s="31"/>
    </row>
    <row r="2371" spans="7:10" s="29" customFormat="1" x14ac:dyDescent="0.2">
      <c r="G2371" s="31"/>
      <c r="H2371" s="31"/>
      <c r="I2371" s="31"/>
      <c r="J2371" s="31"/>
    </row>
    <row r="2372" spans="7:10" s="29" customFormat="1" x14ac:dyDescent="0.2">
      <c r="G2372" s="31"/>
      <c r="H2372" s="31"/>
      <c r="I2372" s="31"/>
      <c r="J2372" s="31"/>
    </row>
    <row r="2373" spans="7:10" s="29" customFormat="1" x14ac:dyDescent="0.2">
      <c r="G2373" s="31"/>
      <c r="H2373" s="31"/>
      <c r="I2373" s="31"/>
      <c r="J2373" s="31"/>
    </row>
    <row r="2374" spans="7:10" s="29" customFormat="1" x14ac:dyDescent="0.2">
      <c r="G2374" s="31"/>
      <c r="H2374" s="31"/>
      <c r="I2374" s="31"/>
      <c r="J2374" s="31"/>
    </row>
    <row r="2375" spans="7:10" s="29" customFormat="1" x14ac:dyDescent="0.2">
      <c r="G2375" s="31"/>
      <c r="H2375" s="31"/>
      <c r="I2375" s="31"/>
      <c r="J2375" s="31"/>
    </row>
    <row r="2376" spans="7:10" s="29" customFormat="1" x14ac:dyDescent="0.2">
      <c r="G2376" s="31"/>
      <c r="H2376" s="31"/>
      <c r="I2376" s="31"/>
      <c r="J2376" s="31"/>
    </row>
    <row r="2377" spans="7:10" s="29" customFormat="1" x14ac:dyDescent="0.2">
      <c r="G2377" s="31"/>
      <c r="H2377" s="31"/>
      <c r="I2377" s="31"/>
      <c r="J2377" s="31"/>
    </row>
    <row r="2378" spans="7:10" s="29" customFormat="1" x14ac:dyDescent="0.2">
      <c r="G2378" s="31"/>
      <c r="H2378" s="31"/>
      <c r="I2378" s="31"/>
      <c r="J2378" s="31"/>
    </row>
    <row r="2379" spans="7:10" s="29" customFormat="1" x14ac:dyDescent="0.2">
      <c r="G2379" s="31"/>
      <c r="H2379" s="31"/>
      <c r="I2379" s="31"/>
      <c r="J2379" s="31"/>
    </row>
    <row r="2380" spans="7:10" s="29" customFormat="1" x14ac:dyDescent="0.2">
      <c r="G2380" s="31"/>
      <c r="H2380" s="31"/>
      <c r="I2380" s="31"/>
      <c r="J2380" s="31"/>
    </row>
    <row r="2381" spans="7:10" s="29" customFormat="1" x14ac:dyDescent="0.2">
      <c r="G2381" s="31"/>
      <c r="H2381" s="31"/>
      <c r="I2381" s="31"/>
      <c r="J2381" s="31"/>
    </row>
    <row r="2382" spans="7:10" s="29" customFormat="1" x14ac:dyDescent="0.2">
      <c r="G2382" s="31"/>
      <c r="H2382" s="31"/>
      <c r="I2382" s="31"/>
      <c r="J2382" s="31"/>
    </row>
    <row r="2383" spans="7:10" s="29" customFormat="1" x14ac:dyDescent="0.2">
      <c r="G2383" s="31"/>
      <c r="H2383" s="31"/>
      <c r="I2383" s="31"/>
      <c r="J2383" s="31"/>
    </row>
    <row r="2384" spans="7:10" s="29" customFormat="1" x14ac:dyDescent="0.2">
      <c r="G2384" s="31"/>
      <c r="H2384" s="31"/>
      <c r="I2384" s="31"/>
      <c r="J2384" s="31"/>
    </row>
    <row r="2385" spans="7:10" s="29" customFormat="1" x14ac:dyDescent="0.2">
      <c r="G2385" s="31"/>
      <c r="H2385" s="31"/>
      <c r="I2385" s="31"/>
      <c r="J2385" s="31"/>
    </row>
    <row r="2386" spans="7:10" s="29" customFormat="1" x14ac:dyDescent="0.2">
      <c r="G2386" s="31"/>
      <c r="H2386" s="31"/>
      <c r="I2386" s="31"/>
      <c r="J2386" s="31"/>
    </row>
    <row r="2387" spans="7:10" s="29" customFormat="1" x14ac:dyDescent="0.2">
      <c r="G2387" s="31"/>
      <c r="H2387" s="31"/>
      <c r="I2387" s="31"/>
      <c r="J2387" s="31"/>
    </row>
    <row r="2388" spans="7:10" s="29" customFormat="1" x14ac:dyDescent="0.2">
      <c r="G2388" s="31"/>
      <c r="H2388" s="31"/>
      <c r="I2388" s="31"/>
      <c r="J2388" s="31"/>
    </row>
    <row r="2389" spans="7:10" s="29" customFormat="1" x14ac:dyDescent="0.2">
      <c r="G2389" s="31"/>
      <c r="H2389" s="31"/>
      <c r="I2389" s="31"/>
      <c r="J2389" s="31"/>
    </row>
    <row r="2390" spans="7:10" s="29" customFormat="1" x14ac:dyDescent="0.2">
      <c r="G2390" s="31"/>
      <c r="H2390" s="31"/>
      <c r="I2390" s="31"/>
      <c r="J2390" s="31"/>
    </row>
    <row r="2391" spans="7:10" s="29" customFormat="1" x14ac:dyDescent="0.2">
      <c r="G2391" s="31"/>
      <c r="H2391" s="31"/>
      <c r="I2391" s="31"/>
      <c r="J2391" s="31"/>
    </row>
    <row r="2392" spans="7:10" s="29" customFormat="1" x14ac:dyDescent="0.2">
      <c r="G2392" s="31"/>
      <c r="H2392" s="31"/>
      <c r="I2392" s="31"/>
      <c r="J2392" s="31"/>
    </row>
    <row r="2393" spans="7:10" s="29" customFormat="1" x14ac:dyDescent="0.2">
      <c r="G2393" s="31"/>
      <c r="H2393" s="31"/>
      <c r="I2393" s="31"/>
      <c r="J2393" s="31"/>
    </row>
    <row r="2394" spans="7:10" s="29" customFormat="1" x14ac:dyDescent="0.2">
      <c r="G2394" s="31"/>
      <c r="H2394" s="31"/>
      <c r="I2394" s="31"/>
      <c r="J2394" s="31"/>
    </row>
    <row r="2395" spans="7:10" s="29" customFormat="1" x14ac:dyDescent="0.2">
      <c r="G2395" s="31"/>
      <c r="H2395" s="31"/>
      <c r="I2395" s="31"/>
      <c r="J2395" s="31"/>
    </row>
    <row r="2396" spans="7:10" s="29" customFormat="1" x14ac:dyDescent="0.2">
      <c r="G2396" s="31"/>
      <c r="H2396" s="31"/>
      <c r="I2396" s="31"/>
      <c r="J2396" s="31"/>
    </row>
    <row r="2397" spans="7:10" s="29" customFormat="1" x14ac:dyDescent="0.2">
      <c r="G2397" s="31"/>
      <c r="H2397" s="31"/>
      <c r="I2397" s="31"/>
      <c r="J2397" s="31"/>
    </row>
    <row r="2398" spans="7:10" s="29" customFormat="1" x14ac:dyDescent="0.2">
      <c r="G2398" s="31"/>
      <c r="H2398" s="31"/>
      <c r="I2398" s="31"/>
      <c r="J2398" s="31"/>
    </row>
    <row r="2399" spans="7:10" s="29" customFormat="1" x14ac:dyDescent="0.2">
      <c r="G2399" s="31"/>
      <c r="H2399" s="31"/>
      <c r="I2399" s="31"/>
      <c r="J2399" s="31"/>
    </row>
    <row r="2400" spans="7:10" s="29" customFormat="1" x14ac:dyDescent="0.2">
      <c r="G2400" s="31"/>
      <c r="H2400" s="31"/>
      <c r="I2400" s="31"/>
      <c r="J2400" s="31"/>
    </row>
    <row r="2401" spans="7:10" s="29" customFormat="1" x14ac:dyDescent="0.2">
      <c r="G2401" s="31"/>
      <c r="H2401" s="31"/>
      <c r="I2401" s="31"/>
      <c r="J2401" s="31"/>
    </row>
    <row r="2402" spans="7:10" s="29" customFormat="1" x14ac:dyDescent="0.2">
      <c r="G2402" s="31"/>
      <c r="H2402" s="31"/>
      <c r="I2402" s="31"/>
      <c r="J2402" s="31"/>
    </row>
    <row r="2403" spans="7:10" s="29" customFormat="1" x14ac:dyDescent="0.2">
      <c r="G2403" s="31"/>
      <c r="H2403" s="31"/>
      <c r="I2403" s="31"/>
      <c r="J2403" s="31"/>
    </row>
    <row r="2404" spans="7:10" s="29" customFormat="1" x14ac:dyDescent="0.2">
      <c r="G2404" s="31"/>
      <c r="H2404" s="31"/>
      <c r="I2404" s="31"/>
      <c r="J2404" s="31"/>
    </row>
    <row r="2405" spans="7:10" s="29" customFormat="1" x14ac:dyDescent="0.2">
      <c r="G2405" s="31"/>
      <c r="H2405" s="31"/>
      <c r="I2405" s="31"/>
      <c r="J2405" s="31"/>
    </row>
    <row r="2406" spans="7:10" s="29" customFormat="1" x14ac:dyDescent="0.2">
      <c r="G2406" s="31"/>
      <c r="H2406" s="31"/>
      <c r="I2406" s="31"/>
      <c r="J2406" s="31"/>
    </row>
    <row r="2407" spans="7:10" s="29" customFormat="1" x14ac:dyDescent="0.2">
      <c r="G2407" s="31"/>
      <c r="H2407" s="31"/>
      <c r="I2407" s="31"/>
      <c r="J2407" s="31"/>
    </row>
    <row r="2408" spans="7:10" s="29" customFormat="1" x14ac:dyDescent="0.2">
      <c r="G2408" s="31"/>
      <c r="H2408" s="31"/>
      <c r="I2408" s="31"/>
      <c r="J2408" s="31"/>
    </row>
    <row r="2409" spans="7:10" s="29" customFormat="1" x14ac:dyDescent="0.2">
      <c r="G2409" s="31"/>
      <c r="H2409" s="31"/>
      <c r="I2409" s="31"/>
      <c r="J2409" s="31"/>
    </row>
    <row r="2410" spans="7:10" s="29" customFormat="1" x14ac:dyDescent="0.2">
      <c r="G2410" s="31"/>
      <c r="H2410" s="31"/>
      <c r="I2410" s="31"/>
      <c r="J2410" s="31"/>
    </row>
    <row r="2411" spans="7:10" s="29" customFormat="1" x14ac:dyDescent="0.2">
      <c r="G2411" s="31"/>
      <c r="H2411" s="31"/>
      <c r="I2411" s="31"/>
      <c r="J2411" s="31"/>
    </row>
    <row r="2412" spans="7:10" s="29" customFormat="1" x14ac:dyDescent="0.2">
      <c r="G2412" s="31"/>
      <c r="H2412" s="31"/>
      <c r="I2412" s="31"/>
      <c r="J2412" s="31"/>
    </row>
    <row r="2413" spans="7:10" s="29" customFormat="1" x14ac:dyDescent="0.2">
      <c r="G2413" s="31"/>
      <c r="H2413" s="31"/>
      <c r="I2413" s="31"/>
      <c r="J2413" s="31"/>
    </row>
    <row r="2414" spans="7:10" s="29" customFormat="1" x14ac:dyDescent="0.2">
      <c r="G2414" s="31"/>
      <c r="H2414" s="31"/>
      <c r="I2414" s="31"/>
      <c r="J2414" s="31"/>
    </row>
    <row r="2415" spans="7:10" s="29" customFormat="1" x14ac:dyDescent="0.2">
      <c r="G2415" s="31"/>
      <c r="H2415" s="31"/>
      <c r="I2415" s="31"/>
      <c r="J2415" s="31"/>
    </row>
    <row r="2416" spans="7:10" s="29" customFormat="1" x14ac:dyDescent="0.2">
      <c r="G2416" s="31"/>
      <c r="H2416" s="31"/>
      <c r="I2416" s="31"/>
      <c r="J2416" s="31"/>
    </row>
    <row r="2417" spans="7:10" s="29" customFormat="1" x14ac:dyDescent="0.2">
      <c r="G2417" s="31"/>
      <c r="H2417" s="31"/>
      <c r="I2417" s="31"/>
      <c r="J2417" s="31"/>
    </row>
    <row r="2418" spans="7:10" s="29" customFormat="1" x14ac:dyDescent="0.2">
      <c r="G2418" s="31"/>
      <c r="H2418" s="31"/>
      <c r="I2418" s="31"/>
      <c r="J2418" s="31"/>
    </row>
    <row r="2419" spans="7:10" s="29" customFormat="1" x14ac:dyDescent="0.2">
      <c r="G2419" s="31"/>
      <c r="H2419" s="31"/>
      <c r="I2419" s="31"/>
      <c r="J2419" s="31"/>
    </row>
    <row r="2420" spans="7:10" s="29" customFormat="1" x14ac:dyDescent="0.2">
      <c r="G2420" s="31"/>
      <c r="H2420" s="31"/>
      <c r="I2420" s="31"/>
      <c r="J2420" s="31"/>
    </row>
    <row r="2421" spans="7:10" s="29" customFormat="1" x14ac:dyDescent="0.2">
      <c r="G2421" s="31"/>
      <c r="H2421" s="31"/>
      <c r="I2421" s="31"/>
      <c r="J2421" s="31"/>
    </row>
    <row r="2422" spans="7:10" s="29" customFormat="1" x14ac:dyDescent="0.2">
      <c r="G2422" s="31"/>
      <c r="H2422" s="31"/>
      <c r="I2422" s="31"/>
      <c r="J2422" s="31"/>
    </row>
    <row r="2423" spans="7:10" s="29" customFormat="1" x14ac:dyDescent="0.2">
      <c r="G2423" s="31"/>
      <c r="H2423" s="31"/>
      <c r="I2423" s="31"/>
      <c r="J2423" s="31"/>
    </row>
    <row r="2424" spans="7:10" s="29" customFormat="1" x14ac:dyDescent="0.2">
      <c r="G2424" s="31"/>
      <c r="H2424" s="31"/>
      <c r="I2424" s="31"/>
      <c r="J2424" s="31"/>
    </row>
    <row r="2425" spans="7:10" s="29" customFormat="1" x14ac:dyDescent="0.2">
      <c r="G2425" s="31"/>
      <c r="H2425" s="31"/>
      <c r="I2425" s="31"/>
      <c r="J2425" s="31"/>
    </row>
    <row r="2426" spans="7:10" s="29" customFormat="1" x14ac:dyDescent="0.2">
      <c r="G2426" s="31"/>
      <c r="H2426" s="31"/>
      <c r="I2426" s="31"/>
      <c r="J2426" s="31"/>
    </row>
    <row r="2427" spans="7:10" s="29" customFormat="1" x14ac:dyDescent="0.2">
      <c r="G2427" s="31"/>
      <c r="H2427" s="31"/>
      <c r="I2427" s="31"/>
      <c r="J2427" s="31"/>
    </row>
    <row r="2428" spans="7:10" s="29" customFormat="1" x14ac:dyDescent="0.2">
      <c r="G2428" s="31"/>
      <c r="H2428" s="31"/>
      <c r="I2428" s="31"/>
      <c r="J2428" s="31"/>
    </row>
    <row r="2429" spans="7:10" s="29" customFormat="1" x14ac:dyDescent="0.2">
      <c r="G2429" s="31"/>
      <c r="H2429" s="31"/>
      <c r="I2429" s="31"/>
      <c r="J2429" s="31"/>
    </row>
    <row r="2430" spans="7:10" s="29" customFormat="1" x14ac:dyDescent="0.2">
      <c r="G2430" s="31"/>
      <c r="H2430" s="31"/>
      <c r="I2430" s="31"/>
      <c r="J2430" s="31"/>
    </row>
    <row r="2431" spans="7:10" s="29" customFormat="1" x14ac:dyDescent="0.2">
      <c r="G2431" s="31"/>
      <c r="H2431" s="31"/>
      <c r="I2431" s="31"/>
      <c r="J2431" s="31"/>
    </row>
    <row r="2432" spans="7:10" s="29" customFormat="1" x14ac:dyDescent="0.2">
      <c r="G2432" s="31"/>
      <c r="H2432" s="31"/>
      <c r="I2432" s="31"/>
      <c r="J2432" s="31"/>
    </row>
    <row r="2433" spans="7:10" s="29" customFormat="1" x14ac:dyDescent="0.2">
      <c r="G2433" s="31"/>
      <c r="H2433" s="31"/>
      <c r="I2433" s="31"/>
      <c r="J2433" s="31"/>
    </row>
    <row r="2434" spans="7:10" s="29" customFormat="1" x14ac:dyDescent="0.2">
      <c r="G2434" s="31"/>
      <c r="H2434" s="31"/>
      <c r="I2434" s="31"/>
      <c r="J2434" s="31"/>
    </row>
    <row r="2435" spans="7:10" s="29" customFormat="1" x14ac:dyDescent="0.2">
      <c r="G2435" s="31"/>
      <c r="H2435" s="31"/>
      <c r="I2435" s="31"/>
      <c r="J2435" s="31"/>
    </row>
    <row r="2436" spans="7:10" s="29" customFormat="1" x14ac:dyDescent="0.2">
      <c r="G2436" s="31"/>
      <c r="H2436" s="31"/>
      <c r="I2436" s="31"/>
      <c r="J2436" s="31"/>
    </row>
    <row r="2437" spans="7:10" s="29" customFormat="1" x14ac:dyDescent="0.2">
      <c r="G2437" s="31"/>
      <c r="H2437" s="31"/>
      <c r="I2437" s="31"/>
      <c r="J2437" s="31"/>
    </row>
    <row r="2438" spans="7:10" s="29" customFormat="1" x14ac:dyDescent="0.2">
      <c r="G2438" s="31"/>
      <c r="H2438" s="31"/>
      <c r="I2438" s="31"/>
      <c r="J2438" s="31"/>
    </row>
    <row r="2439" spans="7:10" s="29" customFormat="1" x14ac:dyDescent="0.2">
      <c r="G2439" s="31"/>
      <c r="H2439" s="31"/>
      <c r="I2439" s="31"/>
      <c r="J2439" s="31"/>
    </row>
    <row r="2440" spans="7:10" s="29" customFormat="1" x14ac:dyDescent="0.2">
      <c r="G2440" s="31"/>
      <c r="H2440" s="31"/>
      <c r="I2440" s="31"/>
      <c r="J2440" s="31"/>
    </row>
    <row r="2441" spans="7:10" s="29" customFormat="1" x14ac:dyDescent="0.2">
      <c r="G2441" s="31"/>
      <c r="H2441" s="31"/>
      <c r="I2441" s="31"/>
      <c r="J2441" s="31"/>
    </row>
    <row r="2442" spans="7:10" s="29" customFormat="1" x14ac:dyDescent="0.2">
      <c r="G2442" s="31"/>
      <c r="H2442" s="31"/>
      <c r="I2442" s="31"/>
      <c r="J2442" s="31"/>
    </row>
    <row r="2443" spans="7:10" s="29" customFormat="1" x14ac:dyDescent="0.2">
      <c r="G2443" s="31"/>
      <c r="H2443" s="31"/>
      <c r="I2443" s="31"/>
      <c r="J2443" s="31"/>
    </row>
    <row r="2444" spans="7:10" s="29" customFormat="1" x14ac:dyDescent="0.2">
      <c r="G2444" s="31"/>
      <c r="H2444" s="31"/>
      <c r="I2444" s="31"/>
      <c r="J2444" s="31"/>
    </row>
    <row r="2445" spans="7:10" s="29" customFormat="1" x14ac:dyDescent="0.2">
      <c r="G2445" s="31"/>
      <c r="H2445" s="31"/>
      <c r="I2445" s="31"/>
      <c r="J2445" s="31"/>
    </row>
    <row r="2446" spans="7:10" s="29" customFormat="1" x14ac:dyDescent="0.2">
      <c r="G2446" s="31"/>
      <c r="H2446" s="31"/>
      <c r="I2446" s="31"/>
      <c r="J2446" s="31"/>
    </row>
    <row r="2447" spans="7:10" s="29" customFormat="1" x14ac:dyDescent="0.2">
      <c r="G2447" s="31"/>
      <c r="H2447" s="31"/>
      <c r="I2447" s="31"/>
      <c r="J2447" s="31"/>
    </row>
    <row r="2448" spans="7:10" s="29" customFormat="1" x14ac:dyDescent="0.2">
      <c r="G2448" s="31"/>
      <c r="H2448" s="31"/>
      <c r="I2448" s="31"/>
      <c r="J2448" s="31"/>
    </row>
    <row r="2449" spans="7:10" s="29" customFormat="1" x14ac:dyDescent="0.2">
      <c r="G2449" s="31"/>
      <c r="H2449" s="31"/>
      <c r="I2449" s="31"/>
      <c r="J2449" s="31"/>
    </row>
    <row r="2450" spans="7:10" s="29" customFormat="1" x14ac:dyDescent="0.2">
      <c r="G2450" s="31"/>
      <c r="H2450" s="31"/>
      <c r="I2450" s="31"/>
      <c r="J2450" s="31"/>
    </row>
    <row r="2451" spans="7:10" s="29" customFormat="1" x14ac:dyDescent="0.2">
      <c r="G2451" s="31"/>
      <c r="H2451" s="31"/>
      <c r="I2451" s="31"/>
      <c r="J2451" s="31"/>
    </row>
    <row r="2452" spans="7:10" s="29" customFormat="1" x14ac:dyDescent="0.2">
      <c r="G2452" s="31"/>
      <c r="H2452" s="31"/>
      <c r="I2452" s="31"/>
      <c r="J2452" s="31"/>
    </row>
    <row r="2453" spans="7:10" s="29" customFormat="1" x14ac:dyDescent="0.2">
      <c r="G2453" s="31"/>
      <c r="H2453" s="31"/>
      <c r="I2453" s="31"/>
      <c r="J2453" s="31"/>
    </row>
    <row r="2454" spans="7:10" s="29" customFormat="1" x14ac:dyDescent="0.2">
      <c r="G2454" s="31"/>
      <c r="H2454" s="31"/>
      <c r="I2454" s="31"/>
      <c r="J2454" s="31"/>
    </row>
    <row r="2455" spans="7:10" s="29" customFormat="1" x14ac:dyDescent="0.2">
      <c r="G2455" s="31"/>
      <c r="H2455" s="31"/>
      <c r="I2455" s="31"/>
      <c r="J2455" s="31"/>
    </row>
    <row r="2456" spans="7:10" s="29" customFormat="1" x14ac:dyDescent="0.2">
      <c r="G2456" s="31"/>
      <c r="H2456" s="31"/>
      <c r="I2456" s="31"/>
      <c r="J2456" s="31"/>
    </row>
    <row r="2457" spans="7:10" s="29" customFormat="1" x14ac:dyDescent="0.2">
      <c r="G2457" s="31"/>
      <c r="H2457" s="31"/>
      <c r="I2457" s="31"/>
      <c r="J2457" s="31"/>
    </row>
    <row r="2458" spans="7:10" s="29" customFormat="1" x14ac:dyDescent="0.2">
      <c r="G2458" s="31"/>
      <c r="H2458" s="31"/>
      <c r="I2458" s="31"/>
      <c r="J2458" s="31"/>
    </row>
    <row r="2459" spans="7:10" s="29" customFormat="1" x14ac:dyDescent="0.2">
      <c r="G2459" s="31"/>
      <c r="H2459" s="31"/>
      <c r="I2459" s="31"/>
      <c r="J2459" s="31"/>
    </row>
    <row r="2460" spans="7:10" s="29" customFormat="1" x14ac:dyDescent="0.2">
      <c r="G2460" s="31"/>
      <c r="H2460" s="31"/>
      <c r="I2460" s="31"/>
      <c r="J2460" s="31"/>
    </row>
    <row r="2461" spans="7:10" s="29" customFormat="1" x14ac:dyDescent="0.2">
      <c r="G2461" s="31"/>
      <c r="H2461" s="31"/>
      <c r="I2461" s="31"/>
      <c r="J2461" s="31"/>
    </row>
    <row r="2462" spans="7:10" s="29" customFormat="1" x14ac:dyDescent="0.2">
      <c r="G2462" s="31"/>
      <c r="H2462" s="31"/>
      <c r="I2462" s="31"/>
      <c r="J2462" s="31"/>
    </row>
    <row r="2463" spans="7:10" s="29" customFormat="1" x14ac:dyDescent="0.2">
      <c r="G2463" s="31"/>
      <c r="H2463" s="31"/>
      <c r="I2463" s="31"/>
      <c r="J2463" s="31"/>
    </row>
    <row r="2464" spans="7:10" s="29" customFormat="1" x14ac:dyDescent="0.2">
      <c r="G2464" s="31"/>
      <c r="H2464" s="31"/>
      <c r="I2464" s="31"/>
      <c r="J2464" s="31"/>
    </row>
    <row r="2465" spans="7:10" s="29" customFormat="1" x14ac:dyDescent="0.2">
      <c r="G2465" s="31"/>
      <c r="H2465" s="31"/>
      <c r="I2465" s="31"/>
      <c r="J2465" s="31"/>
    </row>
    <row r="2466" spans="7:10" s="29" customFormat="1" x14ac:dyDescent="0.2">
      <c r="G2466" s="31"/>
      <c r="H2466" s="31"/>
      <c r="I2466" s="31"/>
      <c r="J2466" s="31"/>
    </row>
    <row r="2467" spans="7:10" s="29" customFormat="1" x14ac:dyDescent="0.2">
      <c r="G2467" s="31"/>
      <c r="H2467" s="31"/>
      <c r="I2467" s="31"/>
      <c r="J2467" s="31"/>
    </row>
    <row r="2468" spans="7:10" s="29" customFormat="1" x14ac:dyDescent="0.2">
      <c r="G2468" s="31"/>
      <c r="H2468" s="31"/>
      <c r="I2468" s="31"/>
      <c r="J2468" s="31"/>
    </row>
    <row r="2469" spans="7:10" s="29" customFormat="1" x14ac:dyDescent="0.2">
      <c r="G2469" s="31"/>
      <c r="H2469" s="31"/>
      <c r="I2469" s="31"/>
      <c r="J2469" s="31"/>
    </row>
    <row r="2470" spans="7:10" s="29" customFormat="1" x14ac:dyDescent="0.2">
      <c r="G2470" s="31"/>
      <c r="H2470" s="31"/>
      <c r="I2470" s="31"/>
      <c r="J2470" s="31"/>
    </row>
    <row r="2471" spans="7:10" s="29" customFormat="1" x14ac:dyDescent="0.2">
      <c r="G2471" s="31"/>
      <c r="H2471" s="31"/>
      <c r="I2471" s="31"/>
      <c r="J2471" s="31"/>
    </row>
    <row r="2472" spans="7:10" s="29" customFormat="1" x14ac:dyDescent="0.2">
      <c r="G2472" s="31"/>
      <c r="H2472" s="31"/>
      <c r="I2472" s="31"/>
      <c r="J2472" s="31"/>
    </row>
    <row r="2473" spans="7:10" s="29" customFormat="1" x14ac:dyDescent="0.2">
      <c r="G2473" s="31"/>
      <c r="H2473" s="31"/>
      <c r="I2473" s="31"/>
      <c r="J2473" s="31"/>
    </row>
    <row r="2474" spans="7:10" s="29" customFormat="1" x14ac:dyDescent="0.2">
      <c r="G2474" s="31"/>
      <c r="H2474" s="31"/>
      <c r="I2474" s="31"/>
      <c r="J2474" s="31"/>
    </row>
    <row r="2475" spans="7:10" s="29" customFormat="1" x14ac:dyDescent="0.2">
      <c r="G2475" s="31"/>
      <c r="H2475" s="31"/>
      <c r="I2475" s="31"/>
      <c r="J2475" s="31"/>
    </row>
    <row r="2476" spans="7:10" s="29" customFormat="1" x14ac:dyDescent="0.2">
      <c r="G2476" s="31"/>
      <c r="H2476" s="31"/>
      <c r="I2476" s="31"/>
      <c r="J2476" s="31"/>
    </row>
    <row r="2477" spans="7:10" s="29" customFormat="1" x14ac:dyDescent="0.2">
      <c r="G2477" s="31"/>
      <c r="H2477" s="31"/>
      <c r="I2477" s="31"/>
      <c r="J2477" s="31"/>
    </row>
    <row r="2478" spans="7:10" s="29" customFormat="1" x14ac:dyDescent="0.2">
      <c r="G2478" s="31"/>
      <c r="H2478" s="31"/>
      <c r="I2478" s="31"/>
      <c r="J2478" s="31"/>
    </row>
    <row r="2479" spans="7:10" s="29" customFormat="1" x14ac:dyDescent="0.2">
      <c r="G2479" s="31"/>
      <c r="H2479" s="31"/>
      <c r="I2479" s="31"/>
      <c r="J2479" s="31"/>
    </row>
    <row r="2480" spans="7:10" s="29" customFormat="1" x14ac:dyDescent="0.2">
      <c r="G2480" s="31"/>
      <c r="H2480" s="31"/>
      <c r="I2480" s="31"/>
      <c r="J2480" s="31"/>
    </row>
    <row r="2481" spans="7:10" s="29" customFormat="1" x14ac:dyDescent="0.2">
      <c r="G2481" s="31"/>
      <c r="H2481" s="31"/>
      <c r="I2481" s="31"/>
      <c r="J2481" s="31"/>
    </row>
    <row r="2482" spans="7:10" s="29" customFormat="1" x14ac:dyDescent="0.2">
      <c r="G2482" s="31"/>
      <c r="H2482" s="31"/>
      <c r="I2482" s="31"/>
      <c r="J2482" s="31"/>
    </row>
    <row r="2483" spans="7:10" s="29" customFormat="1" x14ac:dyDescent="0.2">
      <c r="G2483" s="31"/>
      <c r="H2483" s="31"/>
      <c r="I2483" s="31"/>
      <c r="J2483" s="31"/>
    </row>
    <row r="2484" spans="7:10" s="29" customFormat="1" x14ac:dyDescent="0.2">
      <c r="G2484" s="31"/>
      <c r="H2484" s="31"/>
      <c r="I2484" s="31"/>
      <c r="J2484" s="31"/>
    </row>
    <row r="2485" spans="7:10" s="29" customFormat="1" x14ac:dyDescent="0.2">
      <c r="G2485" s="31"/>
      <c r="H2485" s="31"/>
      <c r="I2485" s="31"/>
      <c r="J2485" s="31"/>
    </row>
    <row r="2486" spans="7:10" s="29" customFormat="1" x14ac:dyDescent="0.2">
      <c r="G2486" s="31"/>
      <c r="H2486" s="31"/>
      <c r="I2486" s="31"/>
      <c r="J2486" s="31"/>
    </row>
    <row r="2487" spans="7:10" s="29" customFormat="1" x14ac:dyDescent="0.2">
      <c r="G2487" s="31"/>
      <c r="H2487" s="31"/>
      <c r="I2487" s="31"/>
      <c r="J2487" s="31"/>
    </row>
    <row r="2488" spans="7:10" s="29" customFormat="1" x14ac:dyDescent="0.2">
      <c r="G2488" s="31"/>
      <c r="H2488" s="31"/>
      <c r="I2488" s="31"/>
      <c r="J2488" s="31"/>
    </row>
    <row r="2489" spans="7:10" s="29" customFormat="1" x14ac:dyDescent="0.2">
      <c r="G2489" s="31"/>
      <c r="H2489" s="31"/>
      <c r="I2489" s="31"/>
      <c r="J2489" s="31"/>
    </row>
    <row r="2490" spans="7:10" s="29" customFormat="1" x14ac:dyDescent="0.2">
      <c r="G2490" s="31"/>
      <c r="H2490" s="31"/>
      <c r="I2490" s="31"/>
      <c r="J2490" s="31"/>
    </row>
    <row r="2491" spans="7:10" s="29" customFormat="1" x14ac:dyDescent="0.2">
      <c r="G2491" s="31"/>
      <c r="H2491" s="31"/>
      <c r="I2491" s="31"/>
      <c r="J2491" s="31"/>
    </row>
    <row r="2492" spans="7:10" s="29" customFormat="1" x14ac:dyDescent="0.2">
      <c r="G2492" s="31"/>
      <c r="H2492" s="31"/>
      <c r="I2492" s="31"/>
      <c r="J2492" s="31"/>
    </row>
    <row r="2493" spans="7:10" s="29" customFormat="1" x14ac:dyDescent="0.2">
      <c r="G2493" s="31"/>
      <c r="H2493" s="31"/>
      <c r="I2493" s="31"/>
      <c r="J2493" s="31"/>
    </row>
    <row r="2494" spans="7:10" s="29" customFormat="1" x14ac:dyDescent="0.2">
      <c r="G2494" s="31"/>
      <c r="H2494" s="31"/>
      <c r="I2494" s="31"/>
      <c r="J2494" s="31"/>
    </row>
    <row r="2495" spans="7:10" s="29" customFormat="1" x14ac:dyDescent="0.2">
      <c r="G2495" s="31"/>
      <c r="H2495" s="31"/>
      <c r="I2495" s="31"/>
      <c r="J2495" s="31"/>
    </row>
    <row r="2496" spans="7:10" s="29" customFormat="1" x14ac:dyDescent="0.2">
      <c r="G2496" s="31"/>
      <c r="H2496" s="31"/>
      <c r="I2496" s="31"/>
      <c r="J2496" s="31"/>
    </row>
    <row r="2497" spans="7:10" s="29" customFormat="1" x14ac:dyDescent="0.2">
      <c r="G2497" s="31"/>
      <c r="H2497" s="31"/>
      <c r="I2497" s="31"/>
      <c r="J2497" s="31"/>
    </row>
    <row r="2498" spans="7:10" s="29" customFormat="1" x14ac:dyDescent="0.2">
      <c r="G2498" s="31"/>
      <c r="H2498" s="31"/>
      <c r="I2498" s="31"/>
      <c r="J2498" s="31"/>
    </row>
    <row r="2499" spans="7:10" s="29" customFormat="1" x14ac:dyDescent="0.2">
      <c r="G2499" s="31"/>
      <c r="H2499" s="31"/>
      <c r="I2499" s="31"/>
      <c r="J2499" s="31"/>
    </row>
    <row r="2500" spans="7:10" s="29" customFormat="1" x14ac:dyDescent="0.2">
      <c r="G2500" s="31"/>
      <c r="H2500" s="31"/>
      <c r="I2500" s="31"/>
      <c r="J2500" s="31"/>
    </row>
    <row r="2501" spans="7:10" s="29" customFormat="1" x14ac:dyDescent="0.2">
      <c r="G2501" s="31"/>
      <c r="H2501" s="31"/>
      <c r="I2501" s="31"/>
      <c r="J2501" s="31"/>
    </row>
    <row r="2502" spans="7:10" s="29" customFormat="1" x14ac:dyDescent="0.2">
      <c r="G2502" s="31"/>
      <c r="H2502" s="31"/>
      <c r="I2502" s="31"/>
      <c r="J2502" s="31"/>
    </row>
    <row r="2503" spans="7:10" s="29" customFormat="1" x14ac:dyDescent="0.2">
      <c r="G2503" s="31"/>
      <c r="H2503" s="31"/>
      <c r="I2503" s="31"/>
      <c r="J2503" s="31"/>
    </row>
    <row r="2504" spans="7:10" s="29" customFormat="1" x14ac:dyDescent="0.2">
      <c r="G2504" s="31"/>
      <c r="H2504" s="31"/>
      <c r="I2504" s="31"/>
      <c r="J2504" s="31"/>
    </row>
    <row r="2505" spans="7:10" s="29" customFormat="1" x14ac:dyDescent="0.2">
      <c r="G2505" s="31"/>
      <c r="H2505" s="31"/>
      <c r="I2505" s="31"/>
      <c r="J2505" s="31"/>
    </row>
    <row r="2506" spans="7:10" s="29" customFormat="1" x14ac:dyDescent="0.2">
      <c r="G2506" s="31"/>
      <c r="H2506" s="31"/>
      <c r="I2506" s="31"/>
      <c r="J2506" s="31"/>
    </row>
    <row r="2507" spans="7:10" s="29" customFormat="1" x14ac:dyDescent="0.2">
      <c r="G2507" s="31"/>
      <c r="H2507" s="31"/>
      <c r="I2507" s="31"/>
      <c r="J2507" s="31"/>
    </row>
    <row r="2508" spans="7:10" s="29" customFormat="1" x14ac:dyDescent="0.2">
      <c r="G2508" s="31"/>
      <c r="H2508" s="31"/>
      <c r="I2508" s="31"/>
      <c r="J2508" s="31"/>
    </row>
    <row r="2509" spans="7:10" s="29" customFormat="1" x14ac:dyDescent="0.2">
      <c r="G2509" s="31"/>
      <c r="H2509" s="31"/>
      <c r="I2509" s="31"/>
      <c r="J2509" s="31"/>
    </row>
    <row r="2510" spans="7:10" s="29" customFormat="1" x14ac:dyDescent="0.2">
      <c r="G2510" s="31"/>
      <c r="H2510" s="31"/>
      <c r="I2510" s="31"/>
      <c r="J2510" s="31"/>
    </row>
    <row r="2511" spans="7:10" s="29" customFormat="1" x14ac:dyDescent="0.2">
      <c r="G2511" s="31"/>
      <c r="H2511" s="31"/>
      <c r="I2511" s="31"/>
      <c r="J2511" s="31"/>
    </row>
    <row r="2512" spans="7:10" s="29" customFormat="1" x14ac:dyDescent="0.2">
      <c r="G2512" s="31"/>
      <c r="H2512" s="31"/>
      <c r="I2512" s="31"/>
      <c r="J2512" s="31"/>
    </row>
    <row r="2513" spans="7:10" s="29" customFormat="1" x14ac:dyDescent="0.2">
      <c r="G2513" s="31"/>
      <c r="H2513" s="31"/>
      <c r="I2513" s="31"/>
      <c r="J2513" s="31"/>
    </row>
    <row r="2514" spans="7:10" s="29" customFormat="1" x14ac:dyDescent="0.2">
      <c r="G2514" s="31"/>
      <c r="H2514" s="31"/>
      <c r="I2514" s="31"/>
      <c r="J2514" s="31"/>
    </row>
    <row r="2515" spans="7:10" s="29" customFormat="1" x14ac:dyDescent="0.2">
      <c r="G2515" s="31"/>
      <c r="H2515" s="31"/>
      <c r="I2515" s="31"/>
      <c r="J2515" s="31"/>
    </row>
    <row r="2516" spans="7:10" s="29" customFormat="1" x14ac:dyDescent="0.2">
      <c r="G2516" s="31"/>
      <c r="H2516" s="31"/>
      <c r="I2516" s="31"/>
      <c r="J2516" s="31"/>
    </row>
    <row r="2517" spans="7:10" s="29" customFormat="1" x14ac:dyDescent="0.2">
      <c r="G2517" s="31"/>
      <c r="H2517" s="31"/>
      <c r="I2517" s="31"/>
      <c r="J2517" s="31"/>
    </row>
    <row r="2518" spans="7:10" s="29" customFormat="1" x14ac:dyDescent="0.2">
      <c r="G2518" s="31"/>
      <c r="H2518" s="31"/>
      <c r="I2518" s="31"/>
      <c r="J2518" s="31"/>
    </row>
    <row r="2519" spans="7:10" s="29" customFormat="1" x14ac:dyDescent="0.2">
      <c r="G2519" s="31"/>
      <c r="H2519" s="31"/>
      <c r="I2519" s="31"/>
      <c r="J2519" s="31"/>
    </row>
    <row r="2520" spans="7:10" s="29" customFormat="1" x14ac:dyDescent="0.2">
      <c r="G2520" s="31"/>
      <c r="H2520" s="31"/>
      <c r="I2520" s="31"/>
      <c r="J2520" s="31"/>
    </row>
    <row r="2521" spans="7:10" s="29" customFormat="1" x14ac:dyDescent="0.2">
      <c r="G2521" s="31"/>
      <c r="H2521" s="31"/>
      <c r="I2521" s="31"/>
      <c r="J2521" s="31"/>
    </row>
    <row r="2522" spans="7:10" s="29" customFormat="1" x14ac:dyDescent="0.2">
      <c r="G2522" s="31"/>
      <c r="H2522" s="31"/>
      <c r="I2522" s="31"/>
      <c r="J2522" s="31"/>
    </row>
    <row r="2523" spans="7:10" s="29" customFormat="1" x14ac:dyDescent="0.2">
      <c r="G2523" s="31"/>
      <c r="H2523" s="31"/>
      <c r="I2523" s="31"/>
      <c r="J2523" s="31"/>
    </row>
    <row r="2524" spans="7:10" s="29" customFormat="1" x14ac:dyDescent="0.2">
      <c r="G2524" s="31"/>
      <c r="H2524" s="31"/>
      <c r="I2524" s="31"/>
      <c r="J2524" s="31"/>
    </row>
    <row r="2525" spans="7:10" s="29" customFormat="1" x14ac:dyDescent="0.2">
      <c r="G2525" s="31"/>
      <c r="H2525" s="31"/>
      <c r="I2525" s="31"/>
      <c r="J2525" s="31"/>
    </row>
    <row r="2526" spans="7:10" s="29" customFormat="1" x14ac:dyDescent="0.2">
      <c r="G2526" s="31"/>
      <c r="H2526" s="31"/>
      <c r="I2526" s="31"/>
      <c r="J2526" s="31"/>
    </row>
    <row r="2527" spans="7:10" s="29" customFormat="1" x14ac:dyDescent="0.2">
      <c r="G2527" s="31"/>
      <c r="H2527" s="31"/>
      <c r="I2527" s="31"/>
      <c r="J2527" s="31"/>
    </row>
    <row r="2528" spans="7:10" s="29" customFormat="1" x14ac:dyDescent="0.2">
      <c r="G2528" s="31"/>
      <c r="H2528" s="31"/>
      <c r="I2528" s="31"/>
      <c r="J2528" s="31"/>
    </row>
    <row r="2529" spans="7:10" s="29" customFormat="1" x14ac:dyDescent="0.2">
      <c r="G2529" s="31"/>
      <c r="H2529" s="31"/>
      <c r="I2529" s="31"/>
      <c r="J2529" s="31"/>
    </row>
    <row r="2530" spans="7:10" s="29" customFormat="1" x14ac:dyDescent="0.2">
      <c r="G2530" s="31"/>
      <c r="H2530" s="31"/>
      <c r="I2530" s="31"/>
      <c r="J2530" s="31"/>
    </row>
    <row r="2531" spans="7:10" s="29" customFormat="1" x14ac:dyDescent="0.2">
      <c r="G2531" s="31"/>
      <c r="H2531" s="31"/>
      <c r="I2531" s="31"/>
      <c r="J2531" s="31"/>
    </row>
    <row r="2532" spans="7:10" s="29" customFormat="1" x14ac:dyDescent="0.2">
      <c r="G2532" s="31"/>
      <c r="H2532" s="31"/>
      <c r="I2532" s="31"/>
      <c r="J2532" s="31"/>
    </row>
    <row r="2533" spans="7:10" s="29" customFormat="1" x14ac:dyDescent="0.2">
      <c r="G2533" s="31"/>
      <c r="H2533" s="31"/>
      <c r="I2533" s="31"/>
      <c r="J2533" s="31"/>
    </row>
    <row r="2534" spans="7:10" s="29" customFormat="1" x14ac:dyDescent="0.2">
      <c r="G2534" s="31"/>
      <c r="H2534" s="31"/>
      <c r="I2534" s="31"/>
      <c r="J2534" s="31"/>
    </row>
    <row r="2535" spans="7:10" s="29" customFormat="1" x14ac:dyDescent="0.2">
      <c r="G2535" s="31"/>
      <c r="H2535" s="31"/>
      <c r="I2535" s="31"/>
      <c r="J2535" s="31"/>
    </row>
    <row r="2536" spans="7:10" s="29" customFormat="1" x14ac:dyDescent="0.2">
      <c r="G2536" s="31"/>
      <c r="H2536" s="31"/>
      <c r="I2536" s="31"/>
      <c r="J2536" s="31"/>
    </row>
    <row r="2537" spans="7:10" s="29" customFormat="1" x14ac:dyDescent="0.2">
      <c r="G2537" s="31"/>
      <c r="H2537" s="31"/>
      <c r="I2537" s="31"/>
      <c r="J2537" s="31"/>
    </row>
    <row r="2538" spans="7:10" s="29" customFormat="1" x14ac:dyDescent="0.2">
      <c r="G2538" s="31"/>
      <c r="H2538" s="31"/>
      <c r="I2538" s="31"/>
      <c r="J2538" s="31"/>
    </row>
    <row r="2539" spans="7:10" s="29" customFormat="1" x14ac:dyDescent="0.2">
      <c r="G2539" s="31"/>
      <c r="H2539" s="31"/>
      <c r="I2539" s="31"/>
      <c r="J2539" s="31"/>
    </row>
    <row r="2540" spans="7:10" s="29" customFormat="1" x14ac:dyDescent="0.2">
      <c r="G2540" s="31"/>
      <c r="H2540" s="31"/>
      <c r="I2540" s="31"/>
      <c r="J2540" s="31"/>
    </row>
    <row r="2541" spans="7:10" s="29" customFormat="1" x14ac:dyDescent="0.2">
      <c r="G2541" s="31"/>
      <c r="H2541" s="31"/>
      <c r="I2541" s="31"/>
      <c r="J2541" s="31"/>
    </row>
    <row r="2542" spans="7:10" s="29" customFormat="1" x14ac:dyDescent="0.2">
      <c r="G2542" s="31"/>
      <c r="H2542" s="31"/>
      <c r="I2542" s="31"/>
      <c r="J2542" s="31"/>
    </row>
    <row r="2543" spans="7:10" s="29" customFormat="1" x14ac:dyDescent="0.2">
      <c r="G2543" s="31"/>
      <c r="H2543" s="31"/>
      <c r="I2543" s="31"/>
      <c r="J2543" s="31"/>
    </row>
    <row r="2544" spans="7:10" s="29" customFormat="1" x14ac:dyDescent="0.2">
      <c r="G2544" s="31"/>
      <c r="H2544" s="31"/>
      <c r="I2544" s="31"/>
      <c r="J2544" s="31"/>
    </row>
    <row r="2545" spans="7:10" s="29" customFormat="1" x14ac:dyDescent="0.2">
      <c r="G2545" s="31"/>
      <c r="H2545" s="31"/>
      <c r="I2545" s="31"/>
      <c r="J2545" s="31"/>
    </row>
    <row r="2546" spans="7:10" s="29" customFormat="1" x14ac:dyDescent="0.2">
      <c r="G2546" s="31"/>
      <c r="H2546" s="31"/>
      <c r="I2546" s="31"/>
      <c r="J2546" s="31"/>
    </row>
    <row r="2547" spans="7:10" s="29" customFormat="1" x14ac:dyDescent="0.2">
      <c r="G2547" s="31"/>
      <c r="H2547" s="31"/>
      <c r="I2547" s="31"/>
      <c r="J2547" s="31"/>
    </row>
    <row r="2548" spans="7:10" s="29" customFormat="1" x14ac:dyDescent="0.2">
      <c r="G2548" s="31"/>
      <c r="H2548" s="31"/>
      <c r="I2548" s="31"/>
      <c r="J2548" s="31"/>
    </row>
    <row r="2549" spans="7:10" s="29" customFormat="1" x14ac:dyDescent="0.2">
      <c r="G2549" s="31"/>
      <c r="H2549" s="31"/>
      <c r="I2549" s="31"/>
      <c r="J2549" s="31"/>
    </row>
    <row r="2550" spans="7:10" s="29" customFormat="1" x14ac:dyDescent="0.2">
      <c r="G2550" s="31"/>
      <c r="H2550" s="31"/>
      <c r="I2550" s="31"/>
      <c r="J2550" s="31"/>
    </row>
    <row r="2551" spans="7:10" s="29" customFormat="1" x14ac:dyDescent="0.2">
      <c r="G2551" s="31"/>
      <c r="H2551" s="31"/>
      <c r="I2551" s="31"/>
      <c r="J2551" s="31"/>
    </row>
    <row r="2552" spans="7:10" s="29" customFormat="1" x14ac:dyDescent="0.2">
      <c r="G2552" s="31"/>
      <c r="H2552" s="31"/>
      <c r="I2552" s="31"/>
      <c r="J2552" s="31"/>
    </row>
    <row r="2553" spans="7:10" s="29" customFormat="1" x14ac:dyDescent="0.2">
      <c r="G2553" s="31"/>
      <c r="H2553" s="31"/>
      <c r="I2553" s="31"/>
      <c r="J2553" s="31"/>
    </row>
    <row r="2554" spans="7:10" s="29" customFormat="1" x14ac:dyDescent="0.2">
      <c r="G2554" s="31"/>
      <c r="H2554" s="31"/>
      <c r="I2554" s="31"/>
      <c r="J2554" s="31"/>
    </row>
    <row r="2555" spans="7:10" s="29" customFormat="1" x14ac:dyDescent="0.2">
      <c r="G2555" s="31"/>
      <c r="H2555" s="31"/>
      <c r="I2555" s="31"/>
      <c r="J2555" s="31"/>
    </row>
    <row r="2556" spans="7:10" s="29" customFormat="1" x14ac:dyDescent="0.2">
      <c r="G2556" s="31"/>
      <c r="H2556" s="31"/>
      <c r="I2556" s="31"/>
      <c r="J2556" s="31"/>
    </row>
    <row r="2557" spans="7:10" s="29" customFormat="1" x14ac:dyDescent="0.2">
      <c r="G2557" s="31"/>
      <c r="H2557" s="31"/>
      <c r="I2557" s="31"/>
      <c r="J2557" s="31"/>
    </row>
    <row r="2558" spans="7:10" s="29" customFormat="1" x14ac:dyDescent="0.2">
      <c r="G2558" s="31"/>
      <c r="H2558" s="31"/>
      <c r="I2558" s="31"/>
      <c r="J2558" s="31"/>
    </row>
    <row r="2559" spans="7:10" s="29" customFormat="1" x14ac:dyDescent="0.2">
      <c r="G2559" s="31"/>
      <c r="H2559" s="31"/>
      <c r="I2559" s="31"/>
      <c r="J2559" s="31"/>
    </row>
    <row r="2560" spans="7:10" s="29" customFormat="1" x14ac:dyDescent="0.2">
      <c r="G2560" s="31"/>
      <c r="H2560" s="31"/>
      <c r="I2560" s="31"/>
      <c r="J2560" s="31"/>
    </row>
    <row r="2561" spans="7:10" s="29" customFormat="1" x14ac:dyDescent="0.2">
      <c r="G2561" s="31"/>
      <c r="H2561" s="31"/>
      <c r="I2561" s="31"/>
      <c r="J2561" s="31"/>
    </row>
    <row r="2562" spans="7:10" s="29" customFormat="1" x14ac:dyDescent="0.2">
      <c r="G2562" s="31"/>
      <c r="H2562" s="31"/>
      <c r="I2562" s="31"/>
      <c r="J2562" s="31"/>
    </row>
    <row r="2563" spans="7:10" s="29" customFormat="1" x14ac:dyDescent="0.2">
      <c r="G2563" s="31"/>
      <c r="H2563" s="31"/>
      <c r="I2563" s="31"/>
      <c r="J2563" s="31"/>
    </row>
    <row r="2564" spans="7:10" s="29" customFormat="1" x14ac:dyDescent="0.2">
      <c r="G2564" s="31"/>
      <c r="H2564" s="31"/>
      <c r="I2564" s="31"/>
      <c r="J2564" s="31"/>
    </row>
    <row r="2565" spans="7:10" s="29" customFormat="1" x14ac:dyDescent="0.2">
      <c r="G2565" s="31"/>
      <c r="H2565" s="31"/>
      <c r="I2565" s="31"/>
      <c r="J2565" s="31"/>
    </row>
    <row r="2566" spans="7:10" s="29" customFormat="1" x14ac:dyDescent="0.2">
      <c r="G2566" s="31"/>
      <c r="H2566" s="31"/>
      <c r="I2566" s="31"/>
      <c r="J2566" s="31"/>
    </row>
    <row r="2567" spans="7:10" s="29" customFormat="1" x14ac:dyDescent="0.2">
      <c r="G2567" s="31"/>
      <c r="H2567" s="31"/>
      <c r="I2567" s="31"/>
      <c r="J2567" s="31"/>
    </row>
    <row r="2568" spans="7:10" s="29" customFormat="1" x14ac:dyDescent="0.2">
      <c r="G2568" s="31"/>
      <c r="H2568" s="31"/>
      <c r="I2568" s="31"/>
      <c r="J2568" s="31"/>
    </row>
    <row r="2569" spans="7:10" s="29" customFormat="1" x14ac:dyDescent="0.2">
      <c r="G2569" s="31"/>
      <c r="H2569" s="31"/>
      <c r="I2569" s="31"/>
      <c r="J2569" s="31"/>
    </row>
    <row r="2570" spans="7:10" s="29" customFormat="1" x14ac:dyDescent="0.2">
      <c r="G2570" s="31"/>
      <c r="H2570" s="31"/>
      <c r="I2570" s="31"/>
      <c r="J2570" s="31"/>
    </row>
    <row r="2571" spans="7:10" s="29" customFormat="1" x14ac:dyDescent="0.2">
      <c r="G2571" s="31"/>
      <c r="H2571" s="31"/>
      <c r="I2571" s="31"/>
      <c r="J2571" s="31"/>
    </row>
    <row r="2572" spans="7:10" s="29" customFormat="1" x14ac:dyDescent="0.2">
      <c r="G2572" s="31"/>
      <c r="H2572" s="31"/>
      <c r="I2572" s="31"/>
      <c r="J2572" s="31"/>
    </row>
    <row r="2573" spans="7:10" s="29" customFormat="1" x14ac:dyDescent="0.2">
      <c r="G2573" s="31"/>
      <c r="H2573" s="31"/>
      <c r="I2573" s="31"/>
      <c r="J2573" s="31"/>
    </row>
    <row r="2574" spans="7:10" s="29" customFormat="1" x14ac:dyDescent="0.2">
      <c r="G2574" s="31"/>
      <c r="H2574" s="31"/>
      <c r="I2574" s="31"/>
      <c r="J2574" s="31"/>
    </row>
    <row r="2575" spans="7:10" s="29" customFormat="1" x14ac:dyDescent="0.2">
      <c r="G2575" s="31"/>
      <c r="H2575" s="31"/>
      <c r="I2575" s="31"/>
      <c r="J2575" s="31"/>
    </row>
    <row r="2576" spans="7:10" s="29" customFormat="1" x14ac:dyDescent="0.2">
      <c r="G2576" s="31"/>
      <c r="H2576" s="31"/>
      <c r="I2576" s="31"/>
      <c r="J2576" s="31"/>
    </row>
    <row r="2577" spans="7:10" s="29" customFormat="1" x14ac:dyDescent="0.2">
      <c r="G2577" s="31"/>
      <c r="H2577" s="31"/>
      <c r="I2577" s="31"/>
      <c r="J2577" s="31"/>
    </row>
    <row r="2578" spans="7:10" s="29" customFormat="1" x14ac:dyDescent="0.2">
      <c r="G2578" s="31"/>
      <c r="H2578" s="31"/>
      <c r="I2578" s="31"/>
      <c r="J2578" s="31"/>
    </row>
    <row r="2579" spans="7:10" s="29" customFormat="1" x14ac:dyDescent="0.2">
      <c r="G2579" s="31"/>
      <c r="H2579" s="31"/>
      <c r="I2579" s="31"/>
      <c r="J2579" s="31"/>
    </row>
    <row r="2580" spans="7:10" s="29" customFormat="1" x14ac:dyDescent="0.2">
      <c r="G2580" s="31"/>
      <c r="H2580" s="31"/>
      <c r="I2580" s="31"/>
      <c r="J2580" s="31"/>
    </row>
    <row r="2581" spans="7:10" s="29" customFormat="1" x14ac:dyDescent="0.2">
      <c r="G2581" s="31"/>
      <c r="H2581" s="31"/>
      <c r="I2581" s="31"/>
      <c r="J2581" s="31"/>
    </row>
    <row r="2582" spans="7:10" s="29" customFormat="1" x14ac:dyDescent="0.2">
      <c r="G2582" s="31"/>
      <c r="H2582" s="31"/>
      <c r="I2582" s="31"/>
      <c r="J2582" s="31"/>
    </row>
    <row r="2583" spans="7:10" s="29" customFormat="1" x14ac:dyDescent="0.2">
      <c r="G2583" s="31"/>
      <c r="H2583" s="31"/>
      <c r="I2583" s="31"/>
      <c r="J2583" s="31"/>
    </row>
    <row r="2584" spans="7:10" s="29" customFormat="1" x14ac:dyDescent="0.2">
      <c r="G2584" s="31"/>
      <c r="H2584" s="31"/>
      <c r="I2584" s="31"/>
      <c r="J2584" s="31"/>
    </row>
    <row r="2585" spans="7:10" s="29" customFormat="1" x14ac:dyDescent="0.2">
      <c r="G2585" s="31"/>
      <c r="H2585" s="31"/>
      <c r="I2585" s="31"/>
      <c r="J2585" s="31"/>
    </row>
    <row r="2586" spans="7:10" s="29" customFormat="1" x14ac:dyDescent="0.2">
      <c r="G2586" s="31"/>
      <c r="H2586" s="31"/>
      <c r="I2586" s="31"/>
      <c r="J2586" s="31"/>
    </row>
    <row r="2587" spans="7:10" s="29" customFormat="1" x14ac:dyDescent="0.2">
      <c r="G2587" s="31"/>
      <c r="H2587" s="31"/>
      <c r="I2587" s="31"/>
      <c r="J2587" s="31"/>
    </row>
    <row r="2588" spans="7:10" s="29" customFormat="1" x14ac:dyDescent="0.2">
      <c r="G2588" s="31"/>
      <c r="H2588" s="31"/>
      <c r="I2588" s="31"/>
      <c r="J2588" s="31"/>
    </row>
    <row r="2589" spans="7:10" s="29" customFormat="1" x14ac:dyDescent="0.2">
      <c r="G2589" s="31"/>
      <c r="H2589" s="31"/>
      <c r="I2589" s="31"/>
      <c r="J2589" s="31"/>
    </row>
    <row r="2590" spans="7:10" s="29" customFormat="1" x14ac:dyDescent="0.2">
      <c r="G2590" s="31"/>
      <c r="H2590" s="31"/>
      <c r="I2590" s="31"/>
      <c r="J2590" s="31"/>
    </row>
    <row r="2591" spans="7:10" s="29" customFormat="1" x14ac:dyDescent="0.2">
      <c r="G2591" s="31"/>
      <c r="H2591" s="31"/>
      <c r="I2591" s="31"/>
      <c r="J2591" s="31"/>
    </row>
    <row r="2592" spans="7:10" s="29" customFormat="1" x14ac:dyDescent="0.2">
      <c r="G2592" s="31"/>
      <c r="H2592" s="31"/>
      <c r="I2592" s="31"/>
      <c r="J2592" s="31"/>
    </row>
    <row r="2593" spans="7:10" s="29" customFormat="1" x14ac:dyDescent="0.2">
      <c r="G2593" s="31"/>
      <c r="H2593" s="31"/>
      <c r="I2593" s="31"/>
      <c r="J2593" s="31"/>
    </row>
    <row r="2594" spans="7:10" s="29" customFormat="1" x14ac:dyDescent="0.2">
      <c r="G2594" s="31"/>
      <c r="H2594" s="31"/>
      <c r="I2594" s="31"/>
      <c r="J2594" s="31"/>
    </row>
    <row r="2595" spans="7:10" s="29" customFormat="1" x14ac:dyDescent="0.2">
      <c r="G2595" s="31"/>
      <c r="H2595" s="31"/>
      <c r="I2595" s="31"/>
      <c r="J2595" s="31"/>
    </row>
    <row r="2596" spans="7:10" s="29" customFormat="1" x14ac:dyDescent="0.2">
      <c r="G2596" s="31"/>
      <c r="H2596" s="31"/>
      <c r="I2596" s="31"/>
      <c r="J2596" s="31"/>
    </row>
    <row r="2597" spans="7:10" s="29" customFormat="1" x14ac:dyDescent="0.2">
      <c r="G2597" s="31"/>
      <c r="H2597" s="31"/>
      <c r="I2597" s="31"/>
      <c r="J2597" s="31"/>
    </row>
    <row r="2598" spans="7:10" s="29" customFormat="1" x14ac:dyDescent="0.2">
      <c r="G2598" s="31"/>
      <c r="H2598" s="31"/>
      <c r="I2598" s="31"/>
      <c r="J2598" s="31"/>
    </row>
    <row r="2599" spans="7:10" s="29" customFormat="1" x14ac:dyDescent="0.2">
      <c r="G2599" s="31"/>
      <c r="H2599" s="31"/>
      <c r="I2599" s="31"/>
      <c r="J2599" s="31"/>
    </row>
    <row r="2600" spans="7:10" s="29" customFormat="1" x14ac:dyDescent="0.2">
      <c r="G2600" s="31"/>
      <c r="H2600" s="31"/>
      <c r="I2600" s="31"/>
      <c r="J2600" s="31"/>
    </row>
    <row r="2601" spans="7:10" s="29" customFormat="1" x14ac:dyDescent="0.2">
      <c r="G2601" s="31"/>
      <c r="H2601" s="31"/>
      <c r="I2601" s="31"/>
      <c r="J2601" s="31"/>
    </row>
    <row r="2602" spans="7:10" s="29" customFormat="1" x14ac:dyDescent="0.2">
      <c r="G2602" s="31"/>
      <c r="H2602" s="31"/>
      <c r="I2602" s="31"/>
      <c r="J2602" s="31"/>
    </row>
    <row r="2603" spans="7:10" s="29" customFormat="1" x14ac:dyDescent="0.2">
      <c r="G2603" s="31"/>
      <c r="H2603" s="31"/>
      <c r="I2603" s="31"/>
      <c r="J2603" s="31"/>
    </row>
    <row r="2604" spans="7:10" s="29" customFormat="1" x14ac:dyDescent="0.2">
      <c r="G2604" s="31"/>
      <c r="H2604" s="31"/>
      <c r="I2604" s="31"/>
      <c r="J2604" s="31"/>
    </row>
    <row r="2605" spans="7:10" s="29" customFormat="1" x14ac:dyDescent="0.2">
      <c r="G2605" s="31"/>
      <c r="H2605" s="31"/>
      <c r="I2605" s="31"/>
      <c r="J2605" s="31"/>
    </row>
    <row r="2606" spans="7:10" s="29" customFormat="1" x14ac:dyDescent="0.2">
      <c r="G2606" s="31"/>
      <c r="H2606" s="31"/>
      <c r="I2606" s="31"/>
      <c r="J2606" s="31"/>
    </row>
    <row r="2607" spans="7:10" s="29" customFormat="1" x14ac:dyDescent="0.2">
      <c r="G2607" s="31"/>
      <c r="H2607" s="31"/>
      <c r="I2607" s="31"/>
      <c r="J2607" s="31"/>
    </row>
    <row r="2608" spans="7:10" s="29" customFormat="1" x14ac:dyDescent="0.2">
      <c r="G2608" s="31"/>
      <c r="H2608" s="31"/>
      <c r="I2608" s="31"/>
      <c r="J2608" s="31"/>
    </row>
    <row r="2609" spans="7:10" s="29" customFormat="1" x14ac:dyDescent="0.2">
      <c r="G2609" s="31"/>
      <c r="H2609" s="31"/>
      <c r="I2609" s="31"/>
      <c r="J2609" s="31"/>
    </row>
    <row r="2610" spans="7:10" s="29" customFormat="1" x14ac:dyDescent="0.2">
      <c r="G2610" s="31"/>
      <c r="H2610" s="31"/>
      <c r="I2610" s="31"/>
      <c r="J2610" s="31"/>
    </row>
    <row r="2611" spans="7:10" s="29" customFormat="1" x14ac:dyDescent="0.2">
      <c r="G2611" s="31"/>
      <c r="H2611" s="31"/>
      <c r="I2611" s="31"/>
      <c r="J2611" s="31"/>
    </row>
    <row r="2612" spans="7:10" s="29" customFormat="1" x14ac:dyDescent="0.2">
      <c r="G2612" s="31"/>
      <c r="H2612" s="31"/>
      <c r="I2612" s="31"/>
      <c r="J2612" s="31"/>
    </row>
    <row r="2613" spans="7:10" s="29" customFormat="1" x14ac:dyDescent="0.2">
      <c r="G2613" s="31"/>
      <c r="H2613" s="31"/>
      <c r="I2613" s="31"/>
      <c r="J2613" s="31"/>
    </row>
    <row r="2614" spans="7:10" s="29" customFormat="1" x14ac:dyDescent="0.2">
      <c r="G2614" s="31"/>
      <c r="H2614" s="31"/>
      <c r="I2614" s="31"/>
      <c r="J2614" s="31"/>
    </row>
    <row r="2615" spans="7:10" s="29" customFormat="1" x14ac:dyDescent="0.2">
      <c r="G2615" s="31"/>
      <c r="H2615" s="31"/>
      <c r="I2615" s="31"/>
      <c r="J2615" s="31"/>
    </row>
    <row r="2616" spans="7:10" s="29" customFormat="1" x14ac:dyDescent="0.2">
      <c r="G2616" s="31"/>
      <c r="H2616" s="31"/>
      <c r="I2616" s="31"/>
      <c r="J2616" s="31"/>
    </row>
    <row r="2617" spans="7:10" s="29" customFormat="1" x14ac:dyDescent="0.2">
      <c r="G2617" s="31"/>
      <c r="H2617" s="31"/>
      <c r="I2617" s="31"/>
      <c r="J2617" s="31"/>
    </row>
    <row r="2618" spans="7:10" s="29" customFormat="1" x14ac:dyDescent="0.2">
      <c r="G2618" s="31"/>
      <c r="H2618" s="31"/>
      <c r="I2618" s="31"/>
      <c r="J2618" s="31"/>
    </row>
    <row r="2619" spans="7:10" s="29" customFormat="1" x14ac:dyDescent="0.2">
      <c r="G2619" s="31"/>
      <c r="H2619" s="31"/>
      <c r="I2619" s="31"/>
      <c r="J2619" s="31"/>
    </row>
    <row r="2620" spans="7:10" s="29" customFormat="1" x14ac:dyDescent="0.2">
      <c r="G2620" s="31"/>
      <c r="H2620" s="31"/>
      <c r="I2620" s="31"/>
      <c r="J2620" s="31"/>
    </row>
    <row r="2621" spans="7:10" s="29" customFormat="1" x14ac:dyDescent="0.2">
      <c r="G2621" s="31"/>
      <c r="H2621" s="31"/>
      <c r="I2621" s="31"/>
      <c r="J2621" s="31"/>
    </row>
    <row r="2622" spans="7:10" s="29" customFormat="1" x14ac:dyDescent="0.2">
      <c r="G2622" s="31"/>
      <c r="H2622" s="31"/>
      <c r="I2622" s="31"/>
      <c r="J2622" s="31"/>
    </row>
    <row r="2623" spans="7:10" s="29" customFormat="1" x14ac:dyDescent="0.2">
      <c r="G2623" s="31"/>
      <c r="H2623" s="31"/>
      <c r="I2623" s="31"/>
      <c r="J2623" s="31"/>
    </row>
    <row r="2624" spans="7:10" s="29" customFormat="1" x14ac:dyDescent="0.2">
      <c r="G2624" s="31"/>
      <c r="H2624" s="31"/>
      <c r="I2624" s="31"/>
      <c r="J2624" s="31"/>
    </row>
    <row r="2625" spans="7:10" s="29" customFormat="1" x14ac:dyDescent="0.2">
      <c r="G2625" s="31"/>
      <c r="H2625" s="31"/>
      <c r="I2625" s="31"/>
      <c r="J2625" s="31"/>
    </row>
    <row r="2626" spans="7:10" s="29" customFormat="1" x14ac:dyDescent="0.2">
      <c r="G2626" s="31"/>
      <c r="H2626" s="31"/>
      <c r="I2626" s="31"/>
      <c r="J2626" s="31"/>
    </row>
    <row r="2627" spans="7:10" s="29" customFormat="1" x14ac:dyDescent="0.2">
      <c r="G2627" s="31"/>
      <c r="H2627" s="31"/>
      <c r="I2627" s="31"/>
      <c r="J2627" s="31"/>
    </row>
    <row r="2628" spans="7:10" s="29" customFormat="1" x14ac:dyDescent="0.2">
      <c r="G2628" s="31"/>
      <c r="H2628" s="31"/>
      <c r="I2628" s="31"/>
      <c r="J2628" s="31"/>
    </row>
    <row r="2629" spans="7:10" s="29" customFormat="1" x14ac:dyDescent="0.2">
      <c r="G2629" s="31"/>
      <c r="H2629" s="31"/>
      <c r="I2629" s="31"/>
      <c r="J2629" s="31"/>
    </row>
    <row r="2630" spans="7:10" s="29" customFormat="1" x14ac:dyDescent="0.2">
      <c r="G2630" s="31"/>
      <c r="H2630" s="31"/>
      <c r="I2630" s="31"/>
      <c r="J2630" s="31"/>
    </row>
    <row r="2631" spans="7:10" s="29" customFormat="1" x14ac:dyDescent="0.2">
      <c r="G2631" s="31"/>
      <c r="H2631" s="31"/>
      <c r="I2631" s="31"/>
      <c r="J2631" s="31"/>
    </row>
    <row r="2632" spans="7:10" s="29" customFormat="1" x14ac:dyDescent="0.2">
      <c r="G2632" s="31"/>
      <c r="H2632" s="31"/>
      <c r="I2632" s="31"/>
      <c r="J2632" s="31"/>
    </row>
    <row r="2633" spans="7:10" s="29" customFormat="1" x14ac:dyDescent="0.2">
      <c r="G2633" s="31"/>
      <c r="H2633" s="31"/>
      <c r="I2633" s="31"/>
      <c r="J2633" s="31"/>
    </row>
    <row r="2634" spans="7:10" s="29" customFormat="1" x14ac:dyDescent="0.2">
      <c r="G2634" s="31"/>
      <c r="H2634" s="31"/>
      <c r="I2634" s="31"/>
      <c r="J2634" s="31"/>
    </row>
    <row r="2635" spans="7:10" s="29" customFormat="1" x14ac:dyDescent="0.2">
      <c r="G2635" s="31"/>
      <c r="H2635" s="31"/>
      <c r="I2635" s="31"/>
      <c r="J2635" s="31"/>
    </row>
    <row r="2636" spans="7:10" s="29" customFormat="1" x14ac:dyDescent="0.2">
      <c r="G2636" s="31"/>
      <c r="H2636" s="31"/>
      <c r="I2636" s="31"/>
      <c r="J2636" s="31"/>
    </row>
    <row r="2637" spans="7:10" s="29" customFormat="1" x14ac:dyDescent="0.2">
      <c r="G2637" s="31"/>
      <c r="H2637" s="31"/>
      <c r="I2637" s="31"/>
      <c r="J2637" s="31"/>
    </row>
    <row r="2638" spans="7:10" s="29" customFormat="1" x14ac:dyDescent="0.2">
      <c r="G2638" s="31"/>
      <c r="H2638" s="31"/>
      <c r="I2638" s="31"/>
      <c r="J2638" s="31"/>
    </row>
    <row r="2639" spans="7:10" s="29" customFormat="1" x14ac:dyDescent="0.2">
      <c r="G2639" s="31"/>
      <c r="H2639" s="31"/>
      <c r="I2639" s="31"/>
      <c r="J2639" s="31"/>
    </row>
    <row r="2640" spans="7:10" s="29" customFormat="1" x14ac:dyDescent="0.2">
      <c r="G2640" s="31"/>
      <c r="H2640" s="31"/>
      <c r="I2640" s="31"/>
      <c r="J2640" s="31"/>
    </row>
    <row r="2641" spans="7:10" s="29" customFormat="1" x14ac:dyDescent="0.2">
      <c r="G2641" s="31"/>
      <c r="H2641" s="31"/>
      <c r="I2641" s="31"/>
      <c r="J2641" s="31"/>
    </row>
    <row r="2642" spans="7:10" s="29" customFormat="1" x14ac:dyDescent="0.2">
      <c r="G2642" s="31"/>
      <c r="H2642" s="31"/>
      <c r="I2642" s="31"/>
      <c r="J2642" s="31"/>
    </row>
    <row r="2643" spans="7:10" s="29" customFormat="1" x14ac:dyDescent="0.2">
      <c r="G2643" s="31"/>
      <c r="H2643" s="31"/>
      <c r="I2643" s="31"/>
      <c r="J2643" s="31"/>
    </row>
    <row r="2644" spans="7:10" s="29" customFormat="1" x14ac:dyDescent="0.2">
      <c r="G2644" s="31"/>
      <c r="H2644" s="31"/>
      <c r="I2644" s="31"/>
      <c r="J2644" s="31"/>
    </row>
    <row r="2645" spans="7:10" s="29" customFormat="1" x14ac:dyDescent="0.2">
      <c r="G2645" s="31"/>
      <c r="H2645" s="31"/>
      <c r="I2645" s="31"/>
      <c r="J2645" s="31"/>
    </row>
    <row r="2646" spans="7:10" s="29" customFormat="1" x14ac:dyDescent="0.2">
      <c r="G2646" s="31"/>
      <c r="H2646" s="31"/>
      <c r="I2646" s="31"/>
      <c r="J2646" s="31"/>
    </row>
    <row r="2647" spans="7:10" s="29" customFormat="1" x14ac:dyDescent="0.2">
      <c r="G2647" s="31"/>
      <c r="H2647" s="31"/>
      <c r="I2647" s="31"/>
      <c r="J2647" s="31"/>
    </row>
    <row r="2648" spans="7:10" s="29" customFormat="1" x14ac:dyDescent="0.2">
      <c r="G2648" s="31"/>
      <c r="H2648" s="31"/>
      <c r="I2648" s="31"/>
      <c r="J2648" s="31"/>
    </row>
    <row r="2649" spans="7:10" s="29" customFormat="1" x14ac:dyDescent="0.2">
      <c r="G2649" s="31"/>
      <c r="H2649" s="31"/>
      <c r="I2649" s="31"/>
      <c r="J2649" s="31"/>
    </row>
    <row r="2650" spans="7:10" s="29" customFormat="1" x14ac:dyDescent="0.2">
      <c r="G2650" s="31"/>
      <c r="H2650" s="31"/>
      <c r="I2650" s="31"/>
      <c r="J2650" s="31"/>
    </row>
    <row r="2651" spans="7:10" s="29" customFormat="1" x14ac:dyDescent="0.2">
      <c r="G2651" s="31"/>
      <c r="H2651" s="31"/>
      <c r="I2651" s="31"/>
      <c r="J2651" s="31"/>
    </row>
    <row r="2652" spans="7:10" s="29" customFormat="1" x14ac:dyDescent="0.2">
      <c r="G2652" s="31"/>
      <c r="H2652" s="31"/>
      <c r="I2652" s="31"/>
      <c r="J2652" s="31"/>
    </row>
    <row r="2653" spans="7:10" s="29" customFormat="1" x14ac:dyDescent="0.2">
      <c r="G2653" s="31"/>
      <c r="H2653" s="31"/>
      <c r="I2653" s="31"/>
      <c r="J2653" s="31"/>
    </row>
    <row r="2654" spans="7:10" s="29" customFormat="1" x14ac:dyDescent="0.2">
      <c r="G2654" s="31"/>
      <c r="H2654" s="31"/>
      <c r="I2654" s="31"/>
      <c r="J2654" s="31"/>
    </row>
    <row r="2655" spans="7:10" s="29" customFormat="1" x14ac:dyDescent="0.2">
      <c r="G2655" s="31"/>
      <c r="H2655" s="31"/>
      <c r="I2655" s="31"/>
      <c r="J2655" s="31"/>
    </row>
    <row r="2656" spans="7:10" s="29" customFormat="1" x14ac:dyDescent="0.2">
      <c r="G2656" s="31"/>
      <c r="H2656" s="31"/>
      <c r="I2656" s="31"/>
      <c r="J2656" s="31"/>
    </row>
    <row r="2657" spans="7:10" s="29" customFormat="1" x14ac:dyDescent="0.2">
      <c r="G2657" s="31"/>
      <c r="H2657" s="31"/>
      <c r="I2657" s="31"/>
      <c r="J2657" s="31"/>
    </row>
    <row r="2658" spans="7:10" s="29" customFormat="1" x14ac:dyDescent="0.2">
      <c r="G2658" s="31"/>
      <c r="H2658" s="31"/>
      <c r="I2658" s="31"/>
      <c r="J2658" s="31"/>
    </row>
    <row r="2659" spans="7:10" s="29" customFormat="1" x14ac:dyDescent="0.2">
      <c r="G2659" s="31"/>
      <c r="H2659" s="31"/>
      <c r="I2659" s="31"/>
      <c r="J2659" s="31"/>
    </row>
    <row r="2660" spans="7:10" s="29" customFormat="1" x14ac:dyDescent="0.2">
      <c r="G2660" s="31"/>
      <c r="H2660" s="31"/>
      <c r="I2660" s="31"/>
      <c r="J2660" s="31"/>
    </row>
    <row r="2661" spans="7:10" s="29" customFormat="1" x14ac:dyDescent="0.2">
      <c r="G2661" s="31"/>
      <c r="H2661" s="31"/>
      <c r="I2661" s="31"/>
      <c r="J2661" s="31"/>
    </row>
    <row r="2662" spans="7:10" s="29" customFormat="1" x14ac:dyDescent="0.2">
      <c r="G2662" s="31"/>
      <c r="H2662" s="31"/>
      <c r="I2662" s="31"/>
      <c r="J2662" s="31"/>
    </row>
    <row r="2663" spans="7:10" s="29" customFormat="1" x14ac:dyDescent="0.2">
      <c r="G2663" s="31"/>
      <c r="H2663" s="31"/>
      <c r="I2663" s="31"/>
      <c r="J2663" s="31"/>
    </row>
    <row r="2664" spans="7:10" s="29" customFormat="1" x14ac:dyDescent="0.2">
      <c r="G2664" s="31"/>
      <c r="H2664" s="31"/>
      <c r="I2664" s="31"/>
      <c r="J2664" s="31"/>
    </row>
    <row r="2665" spans="7:10" s="29" customFormat="1" x14ac:dyDescent="0.2">
      <c r="G2665" s="31"/>
      <c r="H2665" s="31"/>
      <c r="I2665" s="31"/>
      <c r="J2665" s="31"/>
    </row>
    <row r="2666" spans="7:10" s="29" customFormat="1" x14ac:dyDescent="0.2">
      <c r="G2666" s="31"/>
      <c r="H2666" s="31"/>
      <c r="I2666" s="31"/>
      <c r="J2666" s="31"/>
    </row>
    <row r="2667" spans="7:10" s="29" customFormat="1" x14ac:dyDescent="0.2">
      <c r="G2667" s="31"/>
      <c r="H2667" s="31"/>
      <c r="I2667" s="31"/>
      <c r="J2667" s="31"/>
    </row>
    <row r="2668" spans="7:10" s="29" customFormat="1" x14ac:dyDescent="0.2">
      <c r="G2668" s="31"/>
      <c r="H2668" s="31"/>
      <c r="I2668" s="31"/>
      <c r="J2668" s="31"/>
    </row>
    <row r="2669" spans="7:10" s="29" customFormat="1" x14ac:dyDescent="0.2">
      <c r="G2669" s="31"/>
      <c r="H2669" s="31"/>
      <c r="I2669" s="31"/>
      <c r="J2669" s="31"/>
    </row>
    <row r="2670" spans="7:10" s="29" customFormat="1" x14ac:dyDescent="0.2">
      <c r="G2670" s="31"/>
      <c r="H2670" s="31"/>
      <c r="I2670" s="31"/>
      <c r="J2670" s="31"/>
    </row>
    <row r="2671" spans="7:10" s="29" customFormat="1" x14ac:dyDescent="0.2">
      <c r="G2671" s="31"/>
      <c r="H2671" s="31"/>
      <c r="I2671" s="31"/>
      <c r="J2671" s="31"/>
    </row>
    <row r="2672" spans="7:10" s="29" customFormat="1" x14ac:dyDescent="0.2">
      <c r="G2672" s="31"/>
      <c r="H2672" s="31"/>
      <c r="I2672" s="31"/>
      <c r="J2672" s="31"/>
    </row>
    <row r="2673" spans="7:10" s="29" customFormat="1" x14ac:dyDescent="0.2">
      <c r="G2673" s="31"/>
      <c r="H2673" s="31"/>
      <c r="I2673" s="31"/>
      <c r="J2673" s="31"/>
    </row>
    <row r="2674" spans="7:10" s="29" customFormat="1" x14ac:dyDescent="0.2">
      <c r="G2674" s="31"/>
      <c r="H2674" s="31"/>
      <c r="I2674" s="31"/>
      <c r="J2674" s="31"/>
    </row>
    <row r="2675" spans="7:10" s="29" customFormat="1" x14ac:dyDescent="0.2">
      <c r="G2675" s="31"/>
      <c r="H2675" s="31"/>
      <c r="I2675" s="31"/>
      <c r="J2675" s="31"/>
    </row>
    <row r="2676" spans="7:10" s="29" customFormat="1" x14ac:dyDescent="0.2">
      <c r="G2676" s="31"/>
      <c r="H2676" s="31"/>
      <c r="I2676" s="31"/>
      <c r="J2676" s="31"/>
    </row>
    <row r="2677" spans="7:10" s="29" customFormat="1" x14ac:dyDescent="0.2">
      <c r="G2677" s="31"/>
      <c r="H2677" s="31"/>
      <c r="I2677" s="31"/>
      <c r="J2677" s="31"/>
    </row>
    <row r="2678" spans="7:10" s="29" customFormat="1" x14ac:dyDescent="0.2">
      <c r="G2678" s="31"/>
      <c r="H2678" s="31"/>
      <c r="I2678" s="31"/>
      <c r="J2678" s="31"/>
    </row>
    <row r="2679" spans="7:10" s="29" customFormat="1" x14ac:dyDescent="0.2">
      <c r="G2679" s="31"/>
      <c r="H2679" s="31"/>
      <c r="I2679" s="31"/>
      <c r="J2679" s="31"/>
    </row>
    <row r="2680" spans="7:10" s="29" customFormat="1" x14ac:dyDescent="0.2">
      <c r="G2680" s="31"/>
      <c r="H2680" s="31"/>
      <c r="I2680" s="31"/>
      <c r="J2680" s="31"/>
    </row>
    <row r="2681" spans="7:10" s="29" customFormat="1" x14ac:dyDescent="0.2">
      <c r="G2681" s="31"/>
      <c r="H2681" s="31"/>
      <c r="I2681" s="31"/>
      <c r="J2681" s="31"/>
    </row>
    <row r="2682" spans="7:10" s="29" customFormat="1" x14ac:dyDescent="0.2">
      <c r="G2682" s="31"/>
      <c r="H2682" s="31"/>
      <c r="I2682" s="31"/>
      <c r="J2682" s="31"/>
    </row>
    <row r="2683" spans="7:10" s="29" customFormat="1" x14ac:dyDescent="0.2">
      <c r="G2683" s="31"/>
      <c r="H2683" s="31"/>
      <c r="I2683" s="31"/>
      <c r="J2683" s="31"/>
    </row>
    <row r="2684" spans="7:10" s="29" customFormat="1" x14ac:dyDescent="0.2">
      <c r="G2684" s="31"/>
      <c r="H2684" s="31"/>
      <c r="I2684" s="31"/>
      <c r="J2684" s="31"/>
    </row>
    <row r="2685" spans="7:10" s="29" customFormat="1" x14ac:dyDescent="0.2">
      <c r="G2685" s="31"/>
      <c r="H2685" s="31"/>
      <c r="I2685" s="31"/>
      <c r="J2685" s="31"/>
    </row>
    <row r="2686" spans="7:10" s="29" customFormat="1" x14ac:dyDescent="0.2">
      <c r="G2686" s="31"/>
      <c r="H2686" s="31"/>
      <c r="I2686" s="31"/>
      <c r="J2686" s="31"/>
    </row>
    <row r="2687" spans="7:10" s="29" customFormat="1" x14ac:dyDescent="0.2">
      <c r="G2687" s="31"/>
      <c r="H2687" s="31"/>
      <c r="I2687" s="31"/>
      <c r="J2687" s="31"/>
    </row>
    <row r="2688" spans="7:10" s="29" customFormat="1" x14ac:dyDescent="0.2">
      <c r="G2688" s="31"/>
      <c r="H2688" s="31"/>
      <c r="I2688" s="31"/>
      <c r="J2688" s="31"/>
    </row>
    <row r="2689" spans="7:10" s="29" customFormat="1" x14ac:dyDescent="0.2">
      <c r="G2689" s="31"/>
      <c r="H2689" s="31"/>
      <c r="I2689" s="31"/>
      <c r="J2689" s="31"/>
    </row>
    <row r="2690" spans="7:10" s="29" customFormat="1" x14ac:dyDescent="0.2">
      <c r="G2690" s="31"/>
      <c r="H2690" s="31"/>
      <c r="I2690" s="31"/>
      <c r="J2690" s="31"/>
    </row>
    <row r="2691" spans="7:10" s="29" customFormat="1" x14ac:dyDescent="0.2">
      <c r="G2691" s="31"/>
      <c r="H2691" s="31"/>
      <c r="I2691" s="31"/>
      <c r="J2691" s="31"/>
    </row>
    <row r="2692" spans="7:10" s="29" customFormat="1" x14ac:dyDescent="0.2">
      <c r="G2692" s="31"/>
      <c r="H2692" s="31"/>
      <c r="I2692" s="31"/>
      <c r="J2692" s="31"/>
    </row>
    <row r="2693" spans="7:10" s="29" customFormat="1" x14ac:dyDescent="0.2">
      <c r="G2693" s="31"/>
      <c r="H2693" s="31"/>
      <c r="I2693" s="31"/>
      <c r="J2693" s="31"/>
    </row>
    <row r="2694" spans="7:10" s="29" customFormat="1" x14ac:dyDescent="0.2">
      <c r="G2694" s="31"/>
      <c r="H2694" s="31"/>
      <c r="I2694" s="31"/>
      <c r="J2694" s="31"/>
    </row>
    <row r="2695" spans="7:10" s="29" customFormat="1" x14ac:dyDescent="0.2">
      <c r="G2695" s="31"/>
      <c r="H2695" s="31"/>
      <c r="I2695" s="31"/>
      <c r="J2695" s="31"/>
    </row>
    <row r="2696" spans="7:10" s="29" customFormat="1" x14ac:dyDescent="0.2">
      <c r="G2696" s="31"/>
      <c r="H2696" s="31"/>
      <c r="I2696" s="31"/>
      <c r="J2696" s="31"/>
    </row>
    <row r="2697" spans="7:10" s="29" customFormat="1" x14ac:dyDescent="0.2">
      <c r="G2697" s="31"/>
      <c r="H2697" s="31"/>
      <c r="I2697" s="31"/>
      <c r="J2697" s="31"/>
    </row>
    <row r="2698" spans="7:10" s="29" customFormat="1" x14ac:dyDescent="0.2">
      <c r="G2698" s="31"/>
      <c r="H2698" s="31"/>
      <c r="I2698" s="31"/>
      <c r="J2698" s="31"/>
    </row>
    <row r="2699" spans="7:10" s="29" customFormat="1" x14ac:dyDescent="0.2">
      <c r="G2699" s="31"/>
      <c r="H2699" s="31"/>
      <c r="I2699" s="31"/>
      <c r="J2699" s="31"/>
    </row>
    <row r="2700" spans="7:10" s="29" customFormat="1" x14ac:dyDescent="0.2">
      <c r="G2700" s="31"/>
      <c r="H2700" s="31"/>
      <c r="I2700" s="31"/>
      <c r="J2700" s="31"/>
    </row>
    <row r="2701" spans="7:10" s="29" customFormat="1" x14ac:dyDescent="0.2">
      <c r="G2701" s="31"/>
      <c r="H2701" s="31"/>
      <c r="I2701" s="31"/>
      <c r="J2701" s="31"/>
    </row>
    <row r="2702" spans="7:10" s="29" customFormat="1" x14ac:dyDescent="0.2">
      <c r="G2702" s="31"/>
      <c r="H2702" s="31"/>
      <c r="I2702" s="31"/>
      <c r="J2702" s="31"/>
    </row>
    <row r="2703" spans="7:10" s="29" customFormat="1" x14ac:dyDescent="0.2">
      <c r="G2703" s="31"/>
      <c r="H2703" s="31"/>
      <c r="I2703" s="31"/>
      <c r="J2703" s="31"/>
    </row>
    <row r="2704" spans="7:10" s="29" customFormat="1" x14ac:dyDescent="0.2">
      <c r="G2704" s="31"/>
      <c r="H2704" s="31"/>
      <c r="I2704" s="31"/>
      <c r="J2704" s="31"/>
    </row>
    <row r="2705" spans="7:10" s="29" customFormat="1" x14ac:dyDescent="0.2">
      <c r="G2705" s="31"/>
      <c r="H2705" s="31"/>
      <c r="I2705" s="31"/>
      <c r="J2705" s="31"/>
    </row>
    <row r="2706" spans="7:10" s="29" customFormat="1" x14ac:dyDescent="0.2">
      <c r="G2706" s="31"/>
      <c r="H2706" s="31"/>
      <c r="I2706" s="31"/>
      <c r="J2706" s="31"/>
    </row>
    <row r="2707" spans="7:10" s="29" customFormat="1" x14ac:dyDescent="0.2">
      <c r="G2707" s="31"/>
      <c r="H2707" s="31"/>
      <c r="I2707" s="31"/>
      <c r="J2707" s="31"/>
    </row>
    <row r="2708" spans="7:10" s="29" customFormat="1" x14ac:dyDescent="0.2">
      <c r="G2708" s="31"/>
      <c r="H2708" s="31"/>
      <c r="I2708" s="31"/>
      <c r="J2708" s="31"/>
    </row>
    <row r="2709" spans="7:10" s="29" customFormat="1" x14ac:dyDescent="0.2">
      <c r="G2709" s="31"/>
      <c r="H2709" s="31"/>
      <c r="I2709" s="31"/>
      <c r="J2709" s="31"/>
    </row>
    <row r="2710" spans="7:10" s="29" customFormat="1" x14ac:dyDescent="0.2">
      <c r="G2710" s="31"/>
      <c r="H2710" s="31"/>
      <c r="I2710" s="31"/>
      <c r="J2710" s="31"/>
    </row>
    <row r="2711" spans="7:10" s="29" customFormat="1" x14ac:dyDescent="0.2">
      <c r="G2711" s="31"/>
      <c r="H2711" s="31"/>
      <c r="I2711" s="31"/>
      <c r="J2711" s="31"/>
    </row>
    <row r="2712" spans="7:10" s="29" customFormat="1" x14ac:dyDescent="0.2">
      <c r="G2712" s="31"/>
      <c r="H2712" s="31"/>
      <c r="I2712" s="31"/>
      <c r="J2712" s="31"/>
    </row>
    <row r="2713" spans="7:10" s="29" customFormat="1" x14ac:dyDescent="0.2">
      <c r="G2713" s="31"/>
      <c r="H2713" s="31"/>
      <c r="I2713" s="31"/>
      <c r="J2713" s="31"/>
    </row>
    <row r="2714" spans="7:10" s="29" customFormat="1" x14ac:dyDescent="0.2">
      <c r="G2714" s="31"/>
      <c r="H2714" s="31"/>
      <c r="I2714" s="31"/>
      <c r="J2714" s="31"/>
    </row>
    <row r="2715" spans="7:10" s="29" customFormat="1" x14ac:dyDescent="0.2">
      <c r="G2715" s="31"/>
      <c r="H2715" s="31"/>
      <c r="I2715" s="31"/>
      <c r="J2715" s="31"/>
    </row>
    <row r="2716" spans="7:10" s="29" customFormat="1" x14ac:dyDescent="0.2">
      <c r="G2716" s="31"/>
      <c r="H2716" s="31"/>
      <c r="I2716" s="31"/>
      <c r="J2716" s="31"/>
    </row>
    <row r="2717" spans="7:10" s="29" customFormat="1" x14ac:dyDescent="0.2">
      <c r="G2717" s="31"/>
      <c r="H2717" s="31"/>
      <c r="I2717" s="31"/>
      <c r="J2717" s="31"/>
    </row>
    <row r="2718" spans="7:10" s="29" customFormat="1" x14ac:dyDescent="0.2">
      <c r="G2718" s="31"/>
      <c r="H2718" s="31"/>
      <c r="I2718" s="31"/>
      <c r="J2718" s="31"/>
    </row>
    <row r="2719" spans="7:10" s="29" customFormat="1" x14ac:dyDescent="0.2">
      <c r="G2719" s="31"/>
      <c r="H2719" s="31"/>
      <c r="I2719" s="31"/>
      <c r="J2719" s="31"/>
    </row>
    <row r="2720" spans="7:10" s="29" customFormat="1" x14ac:dyDescent="0.2">
      <c r="G2720" s="31"/>
      <c r="H2720" s="31"/>
      <c r="I2720" s="31"/>
      <c r="J2720" s="31"/>
    </row>
    <row r="2721" spans="7:10" s="29" customFormat="1" x14ac:dyDescent="0.2">
      <c r="G2721" s="31"/>
      <c r="H2721" s="31"/>
      <c r="I2721" s="31"/>
      <c r="J2721" s="31"/>
    </row>
    <row r="2722" spans="7:10" s="29" customFormat="1" x14ac:dyDescent="0.2">
      <c r="G2722" s="31"/>
      <c r="H2722" s="31"/>
      <c r="I2722" s="31"/>
      <c r="J2722" s="31"/>
    </row>
    <row r="2723" spans="7:10" s="29" customFormat="1" x14ac:dyDescent="0.2">
      <c r="G2723" s="31"/>
      <c r="H2723" s="31"/>
      <c r="I2723" s="31"/>
      <c r="J2723" s="31"/>
    </row>
    <row r="2724" spans="7:10" s="29" customFormat="1" x14ac:dyDescent="0.2">
      <c r="G2724" s="31"/>
      <c r="H2724" s="31"/>
      <c r="I2724" s="31"/>
      <c r="J2724" s="31"/>
    </row>
    <row r="2725" spans="7:10" s="29" customFormat="1" x14ac:dyDescent="0.2">
      <c r="G2725" s="31"/>
      <c r="H2725" s="31"/>
      <c r="I2725" s="31"/>
      <c r="J2725" s="31"/>
    </row>
    <row r="2726" spans="7:10" s="29" customFormat="1" x14ac:dyDescent="0.2">
      <c r="G2726" s="31"/>
      <c r="H2726" s="31"/>
      <c r="I2726" s="31"/>
      <c r="J2726" s="31"/>
    </row>
    <row r="2727" spans="7:10" s="29" customFormat="1" x14ac:dyDescent="0.2">
      <c r="G2727" s="31"/>
      <c r="H2727" s="31"/>
      <c r="I2727" s="31"/>
      <c r="J2727" s="31"/>
    </row>
    <row r="2728" spans="7:10" s="29" customFormat="1" x14ac:dyDescent="0.2">
      <c r="G2728" s="31"/>
      <c r="H2728" s="31"/>
      <c r="I2728" s="31"/>
      <c r="J2728" s="31"/>
    </row>
    <row r="2729" spans="7:10" s="29" customFormat="1" x14ac:dyDescent="0.2">
      <c r="G2729" s="31"/>
      <c r="H2729" s="31"/>
      <c r="I2729" s="31"/>
      <c r="J2729" s="31"/>
    </row>
    <row r="2730" spans="7:10" s="29" customFormat="1" x14ac:dyDescent="0.2">
      <c r="G2730" s="31"/>
      <c r="H2730" s="31"/>
      <c r="I2730" s="31"/>
      <c r="J2730" s="31"/>
    </row>
    <row r="2731" spans="7:10" s="29" customFormat="1" x14ac:dyDescent="0.2">
      <c r="G2731" s="31"/>
      <c r="H2731" s="31"/>
      <c r="I2731" s="31"/>
      <c r="J2731" s="31"/>
    </row>
    <row r="2732" spans="7:10" s="29" customFormat="1" x14ac:dyDescent="0.2">
      <c r="G2732" s="31"/>
      <c r="H2732" s="31"/>
      <c r="I2732" s="31"/>
      <c r="J2732" s="31"/>
    </row>
    <row r="2733" spans="7:10" s="29" customFormat="1" x14ac:dyDescent="0.2">
      <c r="G2733" s="31"/>
      <c r="H2733" s="31"/>
      <c r="I2733" s="31"/>
      <c r="J2733" s="31"/>
    </row>
    <row r="2734" spans="7:10" s="29" customFormat="1" x14ac:dyDescent="0.2">
      <c r="G2734" s="31"/>
      <c r="H2734" s="31"/>
      <c r="I2734" s="31"/>
      <c r="J2734" s="31"/>
    </row>
    <row r="2735" spans="7:10" s="29" customFormat="1" x14ac:dyDescent="0.2">
      <c r="G2735" s="31"/>
      <c r="H2735" s="31"/>
      <c r="I2735" s="31"/>
      <c r="J2735" s="31"/>
    </row>
    <row r="2736" spans="7:10" s="29" customFormat="1" x14ac:dyDescent="0.2">
      <c r="G2736" s="31"/>
      <c r="H2736" s="31"/>
      <c r="I2736" s="31"/>
      <c r="J2736" s="31"/>
    </row>
    <row r="2737" spans="7:10" s="29" customFormat="1" x14ac:dyDescent="0.2">
      <c r="G2737" s="31"/>
      <c r="H2737" s="31"/>
      <c r="I2737" s="31"/>
      <c r="J2737" s="31"/>
    </row>
    <row r="2738" spans="7:10" s="29" customFormat="1" x14ac:dyDescent="0.2">
      <c r="G2738" s="31"/>
      <c r="H2738" s="31"/>
      <c r="I2738" s="31"/>
      <c r="J2738" s="31"/>
    </row>
    <row r="2739" spans="7:10" s="29" customFormat="1" x14ac:dyDescent="0.2">
      <c r="G2739" s="31"/>
      <c r="H2739" s="31"/>
      <c r="I2739" s="31"/>
      <c r="J2739" s="31"/>
    </row>
    <row r="2740" spans="7:10" s="29" customFormat="1" x14ac:dyDescent="0.2">
      <c r="G2740" s="31"/>
      <c r="H2740" s="31"/>
      <c r="I2740" s="31"/>
      <c r="J2740" s="31"/>
    </row>
    <row r="2741" spans="7:10" s="29" customFormat="1" x14ac:dyDescent="0.2">
      <c r="G2741" s="31"/>
      <c r="H2741" s="31"/>
      <c r="I2741" s="31"/>
      <c r="J2741" s="31"/>
    </row>
    <row r="2742" spans="7:10" s="29" customFormat="1" x14ac:dyDescent="0.2">
      <c r="G2742" s="31"/>
      <c r="H2742" s="31"/>
      <c r="I2742" s="31"/>
      <c r="J2742" s="31"/>
    </row>
    <row r="2743" spans="7:10" s="29" customFormat="1" x14ac:dyDescent="0.2">
      <c r="G2743" s="31"/>
      <c r="H2743" s="31"/>
      <c r="I2743" s="31"/>
      <c r="J2743" s="31"/>
    </row>
    <row r="2744" spans="7:10" s="29" customFormat="1" x14ac:dyDescent="0.2">
      <c r="G2744" s="31"/>
      <c r="H2744" s="31"/>
      <c r="I2744" s="31"/>
      <c r="J2744" s="31"/>
    </row>
    <row r="2745" spans="7:10" s="29" customFormat="1" x14ac:dyDescent="0.2">
      <c r="G2745" s="31"/>
      <c r="H2745" s="31"/>
      <c r="I2745" s="31"/>
      <c r="J2745" s="31"/>
    </row>
    <row r="2746" spans="7:10" s="29" customFormat="1" x14ac:dyDescent="0.2">
      <c r="G2746" s="31"/>
      <c r="H2746" s="31"/>
      <c r="I2746" s="31"/>
      <c r="J2746" s="31"/>
    </row>
    <row r="2747" spans="7:10" s="29" customFormat="1" x14ac:dyDescent="0.2">
      <c r="G2747" s="31"/>
      <c r="H2747" s="31"/>
      <c r="I2747" s="31"/>
      <c r="J2747" s="31"/>
    </row>
    <row r="2748" spans="7:10" s="29" customFormat="1" x14ac:dyDescent="0.2">
      <c r="G2748" s="31"/>
      <c r="H2748" s="31"/>
      <c r="I2748" s="31"/>
      <c r="J2748" s="31"/>
    </row>
    <row r="2749" spans="7:10" s="29" customFormat="1" x14ac:dyDescent="0.2">
      <c r="G2749" s="31"/>
      <c r="H2749" s="31"/>
      <c r="I2749" s="31"/>
      <c r="J2749" s="31"/>
    </row>
    <row r="2750" spans="7:10" s="29" customFormat="1" x14ac:dyDescent="0.2">
      <c r="G2750" s="31"/>
      <c r="H2750" s="31"/>
      <c r="I2750" s="31"/>
      <c r="J2750" s="31"/>
    </row>
    <row r="2751" spans="7:10" s="29" customFormat="1" x14ac:dyDescent="0.2">
      <c r="G2751" s="31"/>
      <c r="H2751" s="31"/>
      <c r="I2751" s="31"/>
      <c r="J2751" s="31"/>
    </row>
    <row r="2752" spans="7:10" s="29" customFormat="1" x14ac:dyDescent="0.2">
      <c r="G2752" s="31"/>
      <c r="H2752" s="31"/>
      <c r="I2752" s="31"/>
      <c r="J2752" s="31"/>
    </row>
    <row r="2753" spans="7:10" s="29" customFormat="1" x14ac:dyDescent="0.2">
      <c r="G2753" s="31"/>
      <c r="H2753" s="31"/>
      <c r="I2753" s="31"/>
      <c r="J2753" s="31"/>
    </row>
    <row r="2754" spans="7:10" s="29" customFormat="1" x14ac:dyDescent="0.2">
      <c r="G2754" s="31"/>
      <c r="H2754" s="31"/>
      <c r="I2754" s="31"/>
      <c r="J2754" s="31"/>
    </row>
    <row r="2755" spans="7:10" s="29" customFormat="1" x14ac:dyDescent="0.2">
      <c r="G2755" s="31"/>
      <c r="H2755" s="31"/>
      <c r="I2755" s="31"/>
      <c r="J2755" s="31"/>
    </row>
    <row r="2756" spans="7:10" s="29" customFormat="1" x14ac:dyDescent="0.2">
      <c r="G2756" s="31"/>
      <c r="H2756" s="31"/>
      <c r="I2756" s="31"/>
      <c r="J2756" s="31"/>
    </row>
    <row r="2757" spans="7:10" s="29" customFormat="1" x14ac:dyDescent="0.2">
      <c r="G2757" s="31"/>
      <c r="H2757" s="31"/>
      <c r="I2757" s="31"/>
      <c r="J2757" s="31"/>
    </row>
    <row r="2758" spans="7:10" s="29" customFormat="1" x14ac:dyDescent="0.2">
      <c r="G2758" s="31"/>
      <c r="H2758" s="31"/>
      <c r="I2758" s="31"/>
      <c r="J2758" s="31"/>
    </row>
    <row r="2759" spans="7:10" s="29" customFormat="1" x14ac:dyDescent="0.2">
      <c r="G2759" s="31"/>
      <c r="H2759" s="31"/>
      <c r="I2759" s="31"/>
      <c r="J2759" s="31"/>
    </row>
    <row r="2760" spans="7:10" s="29" customFormat="1" x14ac:dyDescent="0.2">
      <c r="G2760" s="31"/>
      <c r="H2760" s="31"/>
      <c r="I2760" s="31"/>
      <c r="J2760" s="31"/>
    </row>
    <row r="2761" spans="7:10" s="29" customFormat="1" x14ac:dyDescent="0.2">
      <c r="G2761" s="31"/>
      <c r="H2761" s="31"/>
      <c r="I2761" s="31"/>
      <c r="J2761" s="31"/>
    </row>
    <row r="2762" spans="7:10" s="29" customFormat="1" x14ac:dyDescent="0.2">
      <c r="G2762" s="31"/>
      <c r="H2762" s="31"/>
      <c r="I2762" s="31"/>
      <c r="J2762" s="31"/>
    </row>
    <row r="2763" spans="7:10" s="29" customFormat="1" x14ac:dyDescent="0.2">
      <c r="G2763" s="31"/>
      <c r="H2763" s="31"/>
      <c r="I2763" s="31"/>
      <c r="J2763" s="31"/>
    </row>
    <row r="2764" spans="7:10" s="29" customFormat="1" x14ac:dyDescent="0.2">
      <c r="G2764" s="31"/>
      <c r="H2764" s="31"/>
      <c r="I2764" s="31"/>
      <c r="J2764" s="31"/>
    </row>
    <row r="2765" spans="7:10" s="29" customFormat="1" x14ac:dyDescent="0.2">
      <c r="G2765" s="31"/>
      <c r="H2765" s="31"/>
      <c r="I2765" s="31"/>
      <c r="J2765" s="31"/>
    </row>
    <row r="2766" spans="7:10" s="29" customFormat="1" x14ac:dyDescent="0.2">
      <c r="G2766" s="31"/>
      <c r="H2766" s="31"/>
      <c r="I2766" s="31"/>
      <c r="J2766" s="31"/>
    </row>
    <row r="2767" spans="7:10" s="29" customFormat="1" x14ac:dyDescent="0.2">
      <c r="G2767" s="31"/>
      <c r="H2767" s="31"/>
      <c r="I2767" s="31"/>
      <c r="J2767" s="31"/>
    </row>
    <row r="2768" spans="7:10" s="29" customFormat="1" x14ac:dyDescent="0.2">
      <c r="G2768" s="31"/>
      <c r="H2768" s="31"/>
      <c r="I2768" s="31"/>
      <c r="J2768" s="31"/>
    </row>
    <row r="2769" spans="7:10" s="29" customFormat="1" x14ac:dyDescent="0.2">
      <c r="G2769" s="31"/>
      <c r="H2769" s="31"/>
      <c r="I2769" s="31"/>
      <c r="J2769" s="31"/>
    </row>
    <row r="2770" spans="7:10" s="29" customFormat="1" x14ac:dyDescent="0.2">
      <c r="G2770" s="31"/>
      <c r="H2770" s="31"/>
      <c r="I2770" s="31"/>
      <c r="J2770" s="31"/>
    </row>
    <row r="2771" spans="7:10" s="29" customFormat="1" x14ac:dyDescent="0.2">
      <c r="G2771" s="31"/>
      <c r="H2771" s="31"/>
      <c r="I2771" s="31"/>
      <c r="J2771" s="31"/>
    </row>
    <row r="2772" spans="7:10" s="29" customFormat="1" x14ac:dyDescent="0.2">
      <c r="G2772" s="31"/>
      <c r="H2772" s="31"/>
      <c r="I2772" s="31"/>
      <c r="J2772" s="31"/>
    </row>
    <row r="2773" spans="7:10" s="29" customFormat="1" x14ac:dyDescent="0.2">
      <c r="G2773" s="31"/>
      <c r="H2773" s="31"/>
      <c r="I2773" s="31"/>
      <c r="J2773" s="31"/>
    </row>
    <row r="2774" spans="7:10" s="29" customFormat="1" x14ac:dyDescent="0.2">
      <c r="G2774" s="31"/>
      <c r="H2774" s="31"/>
      <c r="I2774" s="31"/>
      <c r="J2774" s="31"/>
    </row>
    <row r="2775" spans="7:10" s="29" customFormat="1" x14ac:dyDescent="0.2">
      <c r="G2775" s="31"/>
      <c r="H2775" s="31"/>
      <c r="I2775" s="31"/>
      <c r="J2775" s="31"/>
    </row>
    <row r="2776" spans="7:10" s="29" customFormat="1" x14ac:dyDescent="0.2">
      <c r="G2776" s="31"/>
      <c r="H2776" s="31"/>
      <c r="I2776" s="31"/>
      <c r="J2776" s="31"/>
    </row>
    <row r="2777" spans="7:10" s="29" customFormat="1" x14ac:dyDescent="0.2">
      <c r="G2777" s="31"/>
      <c r="H2777" s="31"/>
      <c r="I2777" s="31"/>
      <c r="J2777" s="31"/>
    </row>
    <row r="2778" spans="7:10" s="29" customFormat="1" x14ac:dyDescent="0.2">
      <c r="G2778" s="31"/>
      <c r="H2778" s="31"/>
      <c r="I2778" s="31"/>
      <c r="J2778" s="31"/>
    </row>
    <row r="2779" spans="7:10" s="29" customFormat="1" x14ac:dyDescent="0.2">
      <c r="G2779" s="31"/>
      <c r="H2779" s="31"/>
      <c r="I2779" s="31"/>
      <c r="J2779" s="31"/>
    </row>
    <row r="2780" spans="7:10" s="29" customFormat="1" x14ac:dyDescent="0.2">
      <c r="G2780" s="31"/>
      <c r="H2780" s="31"/>
      <c r="I2780" s="31"/>
      <c r="J2780" s="31"/>
    </row>
    <row r="2781" spans="7:10" s="29" customFormat="1" x14ac:dyDescent="0.2">
      <c r="G2781" s="31"/>
      <c r="H2781" s="31"/>
      <c r="I2781" s="31"/>
      <c r="J2781" s="31"/>
    </row>
    <row r="2782" spans="7:10" s="29" customFormat="1" x14ac:dyDescent="0.2">
      <c r="G2782" s="31"/>
      <c r="H2782" s="31"/>
      <c r="I2782" s="31"/>
      <c r="J2782" s="31"/>
    </row>
    <row r="2783" spans="7:10" s="29" customFormat="1" x14ac:dyDescent="0.2">
      <c r="G2783" s="31"/>
      <c r="H2783" s="31"/>
      <c r="I2783" s="31"/>
      <c r="J2783" s="31"/>
    </row>
    <row r="2784" spans="7:10" s="29" customFormat="1" x14ac:dyDescent="0.2">
      <c r="G2784" s="31"/>
      <c r="H2784" s="31"/>
      <c r="I2784" s="31"/>
      <c r="J2784" s="31"/>
    </row>
    <row r="2785" spans="7:10" s="29" customFormat="1" x14ac:dyDescent="0.2">
      <c r="G2785" s="31"/>
      <c r="H2785" s="31"/>
      <c r="I2785" s="31"/>
      <c r="J2785" s="31"/>
    </row>
    <row r="2786" spans="7:10" s="29" customFormat="1" x14ac:dyDescent="0.2">
      <c r="G2786" s="31"/>
      <c r="H2786" s="31"/>
      <c r="I2786" s="31"/>
      <c r="J2786" s="31"/>
    </row>
    <row r="2787" spans="7:10" s="29" customFormat="1" x14ac:dyDescent="0.2">
      <c r="G2787" s="31"/>
      <c r="H2787" s="31"/>
      <c r="I2787" s="31"/>
      <c r="J2787" s="31"/>
    </row>
    <row r="2788" spans="7:10" s="29" customFormat="1" x14ac:dyDescent="0.2">
      <c r="G2788" s="31"/>
      <c r="H2788" s="31"/>
      <c r="I2788" s="31"/>
      <c r="J2788" s="31"/>
    </row>
    <row r="2789" spans="7:10" s="29" customFormat="1" x14ac:dyDescent="0.2">
      <c r="G2789" s="31"/>
      <c r="H2789" s="31"/>
      <c r="I2789" s="31"/>
      <c r="J2789" s="31"/>
    </row>
    <row r="2790" spans="7:10" s="29" customFormat="1" x14ac:dyDescent="0.2">
      <c r="G2790" s="31"/>
      <c r="H2790" s="31"/>
      <c r="I2790" s="31"/>
      <c r="J2790" s="31"/>
    </row>
    <row r="2791" spans="7:10" s="29" customFormat="1" x14ac:dyDescent="0.2">
      <c r="G2791" s="31"/>
      <c r="H2791" s="31"/>
      <c r="I2791" s="31"/>
      <c r="J2791" s="31"/>
    </row>
    <row r="2792" spans="7:10" s="29" customFormat="1" x14ac:dyDescent="0.2">
      <c r="G2792" s="31"/>
      <c r="H2792" s="31"/>
      <c r="I2792" s="31"/>
      <c r="J2792" s="31"/>
    </row>
    <row r="2793" spans="7:10" s="29" customFormat="1" x14ac:dyDescent="0.2">
      <c r="G2793" s="31"/>
      <c r="H2793" s="31"/>
      <c r="I2793" s="31"/>
      <c r="J2793" s="31"/>
    </row>
    <row r="2794" spans="7:10" s="29" customFormat="1" x14ac:dyDescent="0.2">
      <c r="G2794" s="31"/>
      <c r="H2794" s="31"/>
      <c r="I2794" s="31"/>
      <c r="J2794" s="31"/>
    </row>
    <row r="2795" spans="7:10" s="29" customFormat="1" x14ac:dyDescent="0.2">
      <c r="G2795" s="31"/>
      <c r="H2795" s="31"/>
      <c r="I2795" s="31"/>
      <c r="J2795" s="31"/>
    </row>
    <row r="2796" spans="7:10" s="29" customFormat="1" x14ac:dyDescent="0.2">
      <c r="G2796" s="31"/>
      <c r="H2796" s="31"/>
      <c r="I2796" s="31"/>
      <c r="J2796" s="31"/>
    </row>
    <row r="2797" spans="7:10" s="29" customFormat="1" x14ac:dyDescent="0.2">
      <c r="G2797" s="31"/>
      <c r="H2797" s="31"/>
      <c r="I2797" s="31"/>
      <c r="J2797" s="31"/>
    </row>
    <row r="2798" spans="7:10" s="29" customFormat="1" x14ac:dyDescent="0.2">
      <c r="G2798" s="31"/>
      <c r="H2798" s="31"/>
      <c r="I2798" s="31"/>
      <c r="J2798" s="31"/>
    </row>
    <row r="2799" spans="7:10" s="29" customFormat="1" x14ac:dyDescent="0.2">
      <c r="G2799" s="31"/>
      <c r="H2799" s="31"/>
      <c r="I2799" s="31"/>
      <c r="J2799" s="31"/>
    </row>
    <row r="2800" spans="7:10" s="29" customFormat="1" x14ac:dyDescent="0.2">
      <c r="G2800" s="31"/>
      <c r="H2800" s="31"/>
      <c r="I2800" s="31"/>
      <c r="J2800" s="31"/>
    </row>
    <row r="2801" spans="7:10" s="29" customFormat="1" x14ac:dyDescent="0.2">
      <c r="G2801" s="31"/>
      <c r="H2801" s="31"/>
      <c r="I2801" s="31"/>
      <c r="J2801" s="31"/>
    </row>
    <row r="2802" spans="7:10" s="29" customFormat="1" x14ac:dyDescent="0.2">
      <c r="G2802" s="31"/>
      <c r="H2802" s="31"/>
      <c r="I2802" s="31"/>
      <c r="J2802" s="31"/>
    </row>
    <row r="2803" spans="7:10" s="29" customFormat="1" x14ac:dyDescent="0.2">
      <c r="G2803" s="31"/>
      <c r="H2803" s="31"/>
      <c r="I2803" s="31"/>
      <c r="J2803" s="31"/>
    </row>
    <row r="2804" spans="7:10" s="29" customFormat="1" x14ac:dyDescent="0.2">
      <c r="G2804" s="31"/>
      <c r="H2804" s="31"/>
      <c r="I2804" s="31"/>
      <c r="J2804" s="31"/>
    </row>
    <row r="2805" spans="7:10" s="29" customFormat="1" x14ac:dyDescent="0.2">
      <c r="G2805" s="31"/>
      <c r="H2805" s="31"/>
      <c r="I2805" s="31"/>
      <c r="J2805" s="31"/>
    </row>
    <row r="2806" spans="7:10" s="29" customFormat="1" x14ac:dyDescent="0.2">
      <c r="G2806" s="31"/>
      <c r="H2806" s="31"/>
      <c r="I2806" s="31"/>
      <c r="J2806" s="31"/>
    </row>
    <row r="2807" spans="7:10" s="29" customFormat="1" x14ac:dyDescent="0.2">
      <c r="G2807" s="31"/>
      <c r="H2807" s="31"/>
      <c r="I2807" s="31"/>
      <c r="J2807" s="31"/>
    </row>
    <row r="2808" spans="7:10" s="29" customFormat="1" x14ac:dyDescent="0.2">
      <c r="G2808" s="31"/>
      <c r="H2808" s="31"/>
      <c r="I2808" s="31"/>
      <c r="J2808" s="31"/>
    </row>
    <row r="2809" spans="7:10" s="29" customFormat="1" x14ac:dyDescent="0.2">
      <c r="G2809" s="31"/>
      <c r="H2809" s="31"/>
      <c r="I2809" s="31"/>
      <c r="J2809" s="31"/>
    </row>
    <row r="2810" spans="7:10" s="29" customFormat="1" x14ac:dyDescent="0.2">
      <c r="G2810" s="31"/>
      <c r="H2810" s="31"/>
      <c r="I2810" s="31"/>
      <c r="J2810" s="31"/>
    </row>
    <row r="2811" spans="7:10" s="29" customFormat="1" x14ac:dyDescent="0.2">
      <c r="G2811" s="31"/>
      <c r="H2811" s="31"/>
      <c r="I2811" s="31"/>
      <c r="J2811" s="31"/>
    </row>
    <row r="2812" spans="7:10" s="29" customFormat="1" x14ac:dyDescent="0.2">
      <c r="G2812" s="31"/>
      <c r="H2812" s="31"/>
      <c r="I2812" s="31"/>
      <c r="J2812" s="31"/>
    </row>
    <row r="2813" spans="7:10" s="29" customFormat="1" x14ac:dyDescent="0.2">
      <c r="G2813" s="31"/>
      <c r="H2813" s="31"/>
      <c r="I2813" s="31"/>
      <c r="J2813" s="31"/>
    </row>
    <row r="2814" spans="7:10" s="29" customFormat="1" x14ac:dyDescent="0.2">
      <c r="G2814" s="31"/>
      <c r="H2814" s="31"/>
      <c r="I2814" s="31"/>
      <c r="J2814" s="31"/>
    </row>
    <row r="2815" spans="7:10" s="29" customFormat="1" x14ac:dyDescent="0.2">
      <c r="G2815" s="31"/>
      <c r="H2815" s="31"/>
      <c r="I2815" s="31"/>
      <c r="J2815" s="31"/>
    </row>
    <row r="2816" spans="7:10" s="29" customFormat="1" x14ac:dyDescent="0.2">
      <c r="G2816" s="31"/>
      <c r="H2816" s="31"/>
      <c r="I2816" s="31"/>
      <c r="J2816" s="31"/>
    </row>
    <row r="2817" spans="7:10" s="29" customFormat="1" x14ac:dyDescent="0.2">
      <c r="G2817" s="31"/>
      <c r="H2817" s="31"/>
      <c r="I2817" s="31"/>
      <c r="J2817" s="31"/>
    </row>
    <row r="2818" spans="7:10" s="29" customFormat="1" x14ac:dyDescent="0.2">
      <c r="G2818" s="31"/>
      <c r="H2818" s="31"/>
      <c r="I2818" s="31"/>
      <c r="J2818" s="31"/>
    </row>
    <row r="2819" spans="7:10" s="29" customFormat="1" x14ac:dyDescent="0.2">
      <c r="G2819" s="31"/>
      <c r="H2819" s="31"/>
      <c r="I2819" s="31"/>
      <c r="J2819" s="31"/>
    </row>
    <row r="2820" spans="7:10" s="29" customFormat="1" x14ac:dyDescent="0.2">
      <c r="G2820" s="31"/>
      <c r="H2820" s="31"/>
      <c r="I2820" s="31"/>
      <c r="J2820" s="31"/>
    </row>
    <row r="2821" spans="7:10" s="29" customFormat="1" x14ac:dyDescent="0.2">
      <c r="G2821" s="31"/>
      <c r="H2821" s="31"/>
      <c r="I2821" s="31"/>
      <c r="J2821" s="31"/>
    </row>
    <row r="2822" spans="7:10" s="29" customFormat="1" x14ac:dyDescent="0.2">
      <c r="G2822" s="31"/>
      <c r="H2822" s="31"/>
      <c r="I2822" s="31"/>
      <c r="J2822" s="31"/>
    </row>
    <row r="2823" spans="7:10" s="29" customFormat="1" x14ac:dyDescent="0.2">
      <c r="G2823" s="31"/>
      <c r="H2823" s="31"/>
      <c r="I2823" s="31"/>
      <c r="J2823" s="31"/>
    </row>
    <row r="2824" spans="7:10" s="29" customFormat="1" x14ac:dyDescent="0.2">
      <c r="G2824" s="31"/>
      <c r="H2824" s="31"/>
      <c r="I2824" s="31"/>
      <c r="J2824" s="31"/>
    </row>
    <row r="2825" spans="7:10" s="29" customFormat="1" x14ac:dyDescent="0.2">
      <c r="G2825" s="31"/>
      <c r="H2825" s="31"/>
      <c r="I2825" s="31"/>
      <c r="J2825" s="31"/>
    </row>
    <row r="2826" spans="7:10" s="29" customFormat="1" x14ac:dyDescent="0.2">
      <c r="G2826" s="31"/>
      <c r="H2826" s="31"/>
      <c r="I2826" s="31"/>
      <c r="J2826" s="31"/>
    </row>
    <row r="2827" spans="7:10" s="29" customFormat="1" x14ac:dyDescent="0.2">
      <c r="G2827" s="31"/>
      <c r="H2827" s="31"/>
      <c r="I2827" s="31"/>
      <c r="J2827" s="31"/>
    </row>
    <row r="2828" spans="7:10" s="29" customFormat="1" x14ac:dyDescent="0.2">
      <c r="G2828" s="31"/>
      <c r="H2828" s="31"/>
      <c r="I2828" s="31"/>
      <c r="J2828" s="31"/>
    </row>
    <row r="2829" spans="7:10" s="29" customFormat="1" x14ac:dyDescent="0.2">
      <c r="G2829" s="31"/>
      <c r="H2829" s="31"/>
      <c r="I2829" s="31"/>
      <c r="J2829" s="31"/>
    </row>
    <row r="2830" spans="7:10" s="29" customFormat="1" x14ac:dyDescent="0.2">
      <c r="G2830" s="31"/>
      <c r="H2830" s="31"/>
      <c r="I2830" s="31"/>
      <c r="J2830" s="31"/>
    </row>
    <row r="2831" spans="7:10" s="29" customFormat="1" x14ac:dyDescent="0.2">
      <c r="G2831" s="31"/>
      <c r="H2831" s="31"/>
      <c r="I2831" s="31"/>
      <c r="J2831" s="31"/>
    </row>
    <row r="2832" spans="7:10" s="29" customFormat="1" x14ac:dyDescent="0.2">
      <c r="G2832" s="31"/>
      <c r="H2832" s="31"/>
      <c r="I2832" s="31"/>
      <c r="J2832" s="31"/>
    </row>
    <row r="2833" spans="7:10" s="29" customFormat="1" x14ac:dyDescent="0.2">
      <c r="G2833" s="31"/>
      <c r="H2833" s="31"/>
      <c r="I2833" s="31"/>
      <c r="J2833" s="31"/>
    </row>
    <row r="2834" spans="7:10" s="29" customFormat="1" x14ac:dyDescent="0.2">
      <c r="G2834" s="31"/>
      <c r="H2834" s="31"/>
      <c r="I2834" s="31"/>
      <c r="J2834" s="31"/>
    </row>
    <row r="2835" spans="7:10" s="29" customFormat="1" x14ac:dyDescent="0.2">
      <c r="G2835" s="31"/>
      <c r="H2835" s="31"/>
      <c r="I2835" s="31"/>
      <c r="J2835" s="31"/>
    </row>
    <row r="2836" spans="7:10" s="29" customFormat="1" x14ac:dyDescent="0.2">
      <c r="G2836" s="31"/>
      <c r="H2836" s="31"/>
      <c r="I2836" s="31"/>
      <c r="J2836" s="31"/>
    </row>
    <row r="2837" spans="7:10" s="29" customFormat="1" x14ac:dyDescent="0.2">
      <c r="G2837" s="31"/>
      <c r="H2837" s="31"/>
      <c r="I2837" s="31"/>
      <c r="J2837" s="31"/>
    </row>
    <row r="2838" spans="7:10" s="29" customFormat="1" x14ac:dyDescent="0.2">
      <c r="G2838" s="31"/>
      <c r="H2838" s="31"/>
      <c r="I2838" s="31"/>
      <c r="J2838" s="31"/>
    </row>
    <row r="2839" spans="7:10" s="29" customFormat="1" x14ac:dyDescent="0.2">
      <c r="G2839" s="31"/>
      <c r="H2839" s="31"/>
      <c r="I2839" s="31"/>
      <c r="J2839" s="31"/>
    </row>
    <row r="2840" spans="7:10" s="29" customFormat="1" x14ac:dyDescent="0.2">
      <c r="G2840" s="31"/>
      <c r="H2840" s="31"/>
      <c r="I2840" s="31"/>
      <c r="J2840" s="31"/>
    </row>
    <row r="2841" spans="7:10" s="29" customFormat="1" x14ac:dyDescent="0.2">
      <c r="G2841" s="31"/>
      <c r="H2841" s="31"/>
      <c r="I2841" s="31"/>
      <c r="J2841" s="31"/>
    </row>
    <row r="2842" spans="7:10" s="29" customFormat="1" x14ac:dyDescent="0.2">
      <c r="G2842" s="31"/>
      <c r="H2842" s="31"/>
      <c r="I2842" s="31"/>
      <c r="J2842" s="31"/>
    </row>
    <row r="2843" spans="7:10" s="29" customFormat="1" x14ac:dyDescent="0.2">
      <c r="G2843" s="31"/>
      <c r="H2843" s="31"/>
      <c r="I2843" s="31"/>
      <c r="J2843" s="31"/>
    </row>
    <row r="2844" spans="7:10" s="29" customFormat="1" x14ac:dyDescent="0.2">
      <c r="G2844" s="31"/>
      <c r="H2844" s="31"/>
      <c r="I2844" s="31"/>
      <c r="J2844" s="31"/>
    </row>
    <row r="2845" spans="7:10" s="29" customFormat="1" x14ac:dyDescent="0.2">
      <c r="G2845" s="31"/>
      <c r="H2845" s="31"/>
      <c r="I2845" s="31"/>
      <c r="J2845" s="31"/>
    </row>
    <row r="2846" spans="7:10" s="29" customFormat="1" x14ac:dyDescent="0.2">
      <c r="G2846" s="31"/>
      <c r="H2846" s="31"/>
      <c r="I2846" s="31"/>
      <c r="J2846" s="31"/>
    </row>
    <row r="2847" spans="7:10" s="29" customFormat="1" x14ac:dyDescent="0.2">
      <c r="G2847" s="31"/>
      <c r="H2847" s="31"/>
      <c r="I2847" s="31"/>
      <c r="J2847" s="31"/>
    </row>
    <row r="2848" spans="7:10" s="29" customFormat="1" x14ac:dyDescent="0.2">
      <c r="G2848" s="31"/>
      <c r="H2848" s="31"/>
      <c r="I2848" s="31"/>
      <c r="J2848" s="31"/>
    </row>
    <row r="2849" spans="7:10" s="29" customFormat="1" x14ac:dyDescent="0.2">
      <c r="G2849" s="31"/>
      <c r="H2849" s="31"/>
      <c r="I2849" s="31"/>
      <c r="J2849" s="31"/>
    </row>
    <row r="2850" spans="7:10" s="29" customFormat="1" x14ac:dyDescent="0.2">
      <c r="G2850" s="31"/>
      <c r="H2850" s="31"/>
      <c r="I2850" s="31"/>
      <c r="J2850" s="31"/>
    </row>
    <row r="2851" spans="7:10" s="29" customFormat="1" x14ac:dyDescent="0.2">
      <c r="G2851" s="31"/>
      <c r="H2851" s="31"/>
      <c r="I2851" s="31"/>
      <c r="J2851" s="31"/>
    </row>
    <row r="2852" spans="7:10" s="29" customFormat="1" x14ac:dyDescent="0.2">
      <c r="G2852" s="31"/>
      <c r="H2852" s="31"/>
      <c r="I2852" s="31"/>
      <c r="J2852" s="31"/>
    </row>
    <row r="2853" spans="7:10" s="29" customFormat="1" x14ac:dyDescent="0.2">
      <c r="G2853" s="31"/>
      <c r="H2853" s="31"/>
      <c r="I2853" s="31"/>
      <c r="J2853" s="31"/>
    </row>
    <row r="2854" spans="7:10" s="29" customFormat="1" x14ac:dyDescent="0.2">
      <c r="G2854" s="31"/>
      <c r="H2854" s="31"/>
      <c r="I2854" s="31"/>
      <c r="J2854" s="31"/>
    </row>
    <row r="2855" spans="7:10" s="29" customFormat="1" x14ac:dyDescent="0.2">
      <c r="G2855" s="31"/>
      <c r="H2855" s="31"/>
      <c r="I2855" s="31"/>
      <c r="J2855" s="31"/>
    </row>
    <row r="2856" spans="7:10" s="29" customFormat="1" x14ac:dyDescent="0.2">
      <c r="G2856" s="31"/>
      <c r="H2856" s="31"/>
      <c r="I2856" s="31"/>
      <c r="J2856" s="31"/>
    </row>
    <row r="2857" spans="7:10" s="29" customFormat="1" x14ac:dyDescent="0.2">
      <c r="G2857" s="31"/>
      <c r="H2857" s="31"/>
      <c r="I2857" s="31"/>
      <c r="J2857" s="31"/>
    </row>
    <row r="2858" spans="7:10" s="29" customFormat="1" x14ac:dyDescent="0.2">
      <c r="G2858" s="31"/>
      <c r="H2858" s="31"/>
      <c r="I2858" s="31"/>
      <c r="J2858" s="31"/>
    </row>
    <row r="2859" spans="7:10" s="29" customFormat="1" x14ac:dyDescent="0.2">
      <c r="G2859" s="31"/>
      <c r="H2859" s="31"/>
      <c r="I2859" s="31"/>
      <c r="J2859" s="31"/>
    </row>
    <row r="2860" spans="7:10" s="29" customFormat="1" x14ac:dyDescent="0.2">
      <c r="G2860" s="31"/>
      <c r="H2860" s="31"/>
      <c r="I2860" s="31"/>
      <c r="J2860" s="31"/>
    </row>
    <row r="2861" spans="7:10" s="29" customFormat="1" x14ac:dyDescent="0.2">
      <c r="G2861" s="31"/>
      <c r="H2861" s="31"/>
      <c r="I2861" s="31"/>
      <c r="J2861" s="31"/>
    </row>
    <row r="2862" spans="7:10" s="29" customFormat="1" x14ac:dyDescent="0.2">
      <c r="G2862" s="31"/>
      <c r="H2862" s="31"/>
      <c r="I2862" s="31"/>
      <c r="J2862" s="31"/>
    </row>
    <row r="2863" spans="7:10" s="29" customFormat="1" x14ac:dyDescent="0.2">
      <c r="G2863" s="31"/>
      <c r="H2863" s="31"/>
      <c r="I2863" s="31"/>
      <c r="J2863" s="31"/>
    </row>
    <row r="2864" spans="7:10" s="29" customFormat="1" x14ac:dyDescent="0.2">
      <c r="G2864" s="31"/>
      <c r="H2864" s="31"/>
      <c r="I2864" s="31"/>
      <c r="J2864" s="31"/>
    </row>
    <row r="2865" spans="7:10" s="29" customFormat="1" x14ac:dyDescent="0.2">
      <c r="G2865" s="31"/>
      <c r="H2865" s="31"/>
      <c r="I2865" s="31"/>
      <c r="J2865" s="31"/>
    </row>
    <row r="2866" spans="7:10" s="29" customFormat="1" x14ac:dyDescent="0.2">
      <c r="G2866" s="31"/>
      <c r="H2866" s="31"/>
      <c r="I2866" s="31"/>
      <c r="J2866" s="31"/>
    </row>
    <row r="2867" spans="7:10" s="29" customFormat="1" x14ac:dyDescent="0.2">
      <c r="G2867" s="31"/>
      <c r="H2867" s="31"/>
      <c r="I2867" s="31"/>
      <c r="J2867" s="31"/>
    </row>
    <row r="2868" spans="7:10" s="29" customFormat="1" x14ac:dyDescent="0.2">
      <c r="G2868" s="31"/>
      <c r="H2868" s="31"/>
      <c r="I2868" s="31"/>
      <c r="J2868" s="31"/>
    </row>
    <row r="2869" spans="7:10" s="29" customFormat="1" x14ac:dyDescent="0.2">
      <c r="G2869" s="31"/>
      <c r="H2869" s="31"/>
      <c r="I2869" s="31"/>
      <c r="J2869" s="31"/>
    </row>
    <row r="2870" spans="7:10" s="29" customFormat="1" x14ac:dyDescent="0.2">
      <c r="G2870" s="31"/>
      <c r="H2870" s="31"/>
      <c r="I2870" s="31"/>
      <c r="J2870" s="31"/>
    </row>
    <row r="2871" spans="7:10" s="29" customFormat="1" x14ac:dyDescent="0.2">
      <c r="G2871" s="31"/>
      <c r="H2871" s="31"/>
      <c r="I2871" s="31"/>
      <c r="J2871" s="31"/>
    </row>
    <row r="2872" spans="7:10" s="29" customFormat="1" x14ac:dyDescent="0.2">
      <c r="G2872" s="31"/>
      <c r="H2872" s="31"/>
      <c r="I2872" s="31"/>
      <c r="J2872" s="31"/>
    </row>
    <row r="2873" spans="7:10" s="29" customFormat="1" x14ac:dyDescent="0.2">
      <c r="G2873" s="31"/>
      <c r="H2873" s="31"/>
      <c r="I2873" s="31"/>
      <c r="J2873" s="31"/>
    </row>
    <row r="2874" spans="7:10" s="29" customFormat="1" x14ac:dyDescent="0.2">
      <c r="G2874" s="31"/>
      <c r="H2874" s="31"/>
      <c r="I2874" s="31"/>
      <c r="J2874" s="31"/>
    </row>
    <row r="2875" spans="7:10" s="29" customFormat="1" x14ac:dyDescent="0.2">
      <c r="G2875" s="31"/>
      <c r="H2875" s="31"/>
      <c r="I2875" s="31"/>
      <c r="J2875" s="31"/>
    </row>
    <row r="2876" spans="7:10" s="29" customFormat="1" x14ac:dyDescent="0.2">
      <c r="G2876" s="31"/>
      <c r="H2876" s="31"/>
      <c r="I2876" s="31"/>
      <c r="J2876" s="31"/>
    </row>
    <row r="2877" spans="7:10" s="29" customFormat="1" x14ac:dyDescent="0.2">
      <c r="G2877" s="31"/>
      <c r="H2877" s="31"/>
      <c r="I2877" s="31"/>
      <c r="J2877" s="31"/>
    </row>
    <row r="2878" spans="7:10" s="29" customFormat="1" x14ac:dyDescent="0.2">
      <c r="G2878" s="31"/>
      <c r="H2878" s="31"/>
      <c r="I2878" s="31"/>
      <c r="J2878" s="31"/>
    </row>
    <row r="2879" spans="7:10" s="29" customFormat="1" x14ac:dyDescent="0.2">
      <c r="G2879" s="31"/>
      <c r="H2879" s="31"/>
      <c r="I2879" s="31"/>
      <c r="J2879" s="31"/>
    </row>
    <row r="2880" spans="7:10" s="29" customFormat="1" x14ac:dyDescent="0.2">
      <c r="G2880" s="31"/>
      <c r="H2880" s="31"/>
      <c r="I2880" s="31"/>
      <c r="J2880" s="31"/>
    </row>
    <row r="2881" spans="7:10" s="29" customFormat="1" x14ac:dyDescent="0.2">
      <c r="G2881" s="31"/>
      <c r="H2881" s="31"/>
      <c r="I2881" s="31"/>
      <c r="J2881" s="31"/>
    </row>
    <row r="2882" spans="7:10" s="29" customFormat="1" x14ac:dyDescent="0.2">
      <c r="G2882" s="31"/>
      <c r="H2882" s="31"/>
      <c r="I2882" s="31"/>
      <c r="J2882" s="31"/>
    </row>
    <row r="2883" spans="7:10" s="29" customFormat="1" x14ac:dyDescent="0.2">
      <c r="G2883" s="31"/>
      <c r="H2883" s="31"/>
      <c r="I2883" s="31"/>
      <c r="J2883" s="31"/>
    </row>
    <row r="2884" spans="7:10" s="29" customFormat="1" x14ac:dyDescent="0.2">
      <c r="G2884" s="31"/>
      <c r="H2884" s="31"/>
      <c r="I2884" s="31"/>
      <c r="J2884" s="31"/>
    </row>
    <row r="2885" spans="7:10" s="29" customFormat="1" x14ac:dyDescent="0.2">
      <c r="G2885" s="31"/>
      <c r="H2885" s="31"/>
      <c r="I2885" s="31"/>
      <c r="J2885" s="31"/>
    </row>
    <row r="2886" spans="7:10" s="29" customFormat="1" x14ac:dyDescent="0.2">
      <c r="G2886" s="31"/>
      <c r="H2886" s="31"/>
      <c r="I2886" s="31"/>
      <c r="J2886" s="31"/>
    </row>
    <row r="2887" spans="7:10" s="29" customFormat="1" x14ac:dyDescent="0.2">
      <c r="G2887" s="31"/>
      <c r="H2887" s="31"/>
      <c r="I2887" s="31"/>
      <c r="J2887" s="31"/>
    </row>
    <row r="2888" spans="7:10" s="29" customFormat="1" x14ac:dyDescent="0.2">
      <c r="G2888" s="31"/>
      <c r="H2888" s="31"/>
      <c r="I2888" s="31"/>
      <c r="J2888" s="31"/>
    </row>
    <row r="2889" spans="7:10" s="29" customFormat="1" x14ac:dyDescent="0.2">
      <c r="G2889" s="31"/>
      <c r="H2889" s="31"/>
      <c r="I2889" s="31"/>
      <c r="J2889" s="31"/>
    </row>
    <row r="2890" spans="7:10" s="29" customFormat="1" x14ac:dyDescent="0.2">
      <c r="G2890" s="31"/>
      <c r="H2890" s="31"/>
      <c r="I2890" s="31"/>
      <c r="J2890" s="31"/>
    </row>
    <row r="2891" spans="7:10" s="29" customFormat="1" x14ac:dyDescent="0.2">
      <c r="G2891" s="31"/>
      <c r="H2891" s="31"/>
      <c r="I2891" s="31"/>
      <c r="J2891" s="31"/>
    </row>
    <row r="2892" spans="7:10" s="29" customFormat="1" x14ac:dyDescent="0.2">
      <c r="G2892" s="31"/>
      <c r="H2892" s="31"/>
      <c r="I2892" s="31"/>
      <c r="J2892" s="31"/>
    </row>
    <row r="2893" spans="7:10" s="29" customFormat="1" x14ac:dyDescent="0.2">
      <c r="G2893" s="31"/>
      <c r="H2893" s="31"/>
      <c r="I2893" s="31"/>
      <c r="J2893" s="31"/>
    </row>
    <row r="2894" spans="7:10" s="29" customFormat="1" x14ac:dyDescent="0.2">
      <c r="G2894" s="31"/>
      <c r="H2894" s="31"/>
      <c r="I2894" s="31"/>
      <c r="J2894" s="31"/>
    </row>
    <row r="2895" spans="7:10" s="29" customFormat="1" x14ac:dyDescent="0.2">
      <c r="G2895" s="31"/>
      <c r="H2895" s="31"/>
      <c r="I2895" s="31"/>
      <c r="J2895" s="31"/>
    </row>
    <row r="2896" spans="7:10" s="29" customFormat="1" x14ac:dyDescent="0.2">
      <c r="G2896" s="31"/>
      <c r="H2896" s="31"/>
      <c r="I2896" s="31"/>
      <c r="J2896" s="31"/>
    </row>
    <row r="2897" spans="7:10" s="29" customFormat="1" x14ac:dyDescent="0.2">
      <c r="G2897" s="31"/>
      <c r="H2897" s="31"/>
      <c r="I2897" s="31"/>
      <c r="J2897" s="31"/>
    </row>
    <row r="2898" spans="7:10" s="29" customFormat="1" x14ac:dyDescent="0.2">
      <c r="G2898" s="31"/>
      <c r="H2898" s="31"/>
      <c r="I2898" s="31"/>
      <c r="J2898" s="31"/>
    </row>
    <row r="2899" spans="7:10" s="29" customFormat="1" x14ac:dyDescent="0.2">
      <c r="G2899" s="31"/>
      <c r="H2899" s="31"/>
      <c r="I2899" s="31"/>
      <c r="J2899" s="31"/>
    </row>
    <row r="2900" spans="7:10" s="29" customFormat="1" x14ac:dyDescent="0.2">
      <c r="G2900" s="31"/>
      <c r="H2900" s="31"/>
      <c r="I2900" s="31"/>
      <c r="J2900" s="31"/>
    </row>
    <row r="2901" spans="7:10" s="29" customFormat="1" x14ac:dyDescent="0.2">
      <c r="G2901" s="31"/>
      <c r="H2901" s="31"/>
      <c r="I2901" s="31"/>
      <c r="J2901" s="31"/>
    </row>
    <row r="2902" spans="7:10" s="29" customFormat="1" x14ac:dyDescent="0.2">
      <c r="G2902" s="31"/>
      <c r="H2902" s="31"/>
      <c r="I2902" s="31"/>
      <c r="J2902" s="31"/>
    </row>
    <row r="2903" spans="7:10" s="29" customFormat="1" x14ac:dyDescent="0.2">
      <c r="G2903" s="31"/>
      <c r="H2903" s="31"/>
      <c r="I2903" s="31"/>
      <c r="J2903" s="31"/>
    </row>
    <row r="2904" spans="7:10" s="29" customFormat="1" x14ac:dyDescent="0.2">
      <c r="G2904" s="31"/>
      <c r="H2904" s="31"/>
      <c r="I2904" s="31"/>
      <c r="J2904" s="31"/>
    </row>
    <row r="2905" spans="7:10" s="29" customFormat="1" x14ac:dyDescent="0.2">
      <c r="G2905" s="31"/>
      <c r="H2905" s="31"/>
      <c r="I2905" s="31"/>
      <c r="J2905" s="31"/>
    </row>
    <row r="2906" spans="7:10" s="29" customFormat="1" x14ac:dyDescent="0.2">
      <c r="G2906" s="31"/>
      <c r="H2906" s="31"/>
      <c r="I2906" s="31"/>
      <c r="J2906" s="31"/>
    </row>
    <row r="2907" spans="7:10" s="29" customFormat="1" x14ac:dyDescent="0.2">
      <c r="G2907" s="31"/>
      <c r="H2907" s="31"/>
      <c r="I2907" s="31"/>
      <c r="J2907" s="31"/>
    </row>
    <row r="2908" spans="7:10" s="29" customFormat="1" x14ac:dyDescent="0.2">
      <c r="G2908" s="31"/>
      <c r="H2908" s="31"/>
      <c r="I2908" s="31"/>
      <c r="J2908" s="31"/>
    </row>
    <row r="2909" spans="7:10" s="29" customFormat="1" x14ac:dyDescent="0.2">
      <c r="G2909" s="31"/>
      <c r="H2909" s="31"/>
      <c r="I2909" s="31"/>
      <c r="J2909" s="31"/>
    </row>
    <row r="2910" spans="7:10" s="29" customFormat="1" x14ac:dyDescent="0.2">
      <c r="G2910" s="31"/>
      <c r="H2910" s="31"/>
      <c r="I2910" s="31"/>
      <c r="J2910" s="31"/>
    </row>
    <row r="2911" spans="7:10" s="29" customFormat="1" x14ac:dyDescent="0.2">
      <c r="G2911" s="31"/>
      <c r="H2911" s="31"/>
      <c r="I2911" s="31"/>
      <c r="J2911" s="31"/>
    </row>
    <row r="2912" spans="7:10" s="29" customFormat="1" x14ac:dyDescent="0.2">
      <c r="G2912" s="31"/>
      <c r="H2912" s="31"/>
      <c r="I2912" s="31"/>
      <c r="J2912" s="31"/>
    </row>
    <row r="2913" spans="7:10" s="29" customFormat="1" x14ac:dyDescent="0.2">
      <c r="G2913" s="31"/>
      <c r="H2913" s="31"/>
      <c r="I2913" s="31"/>
      <c r="J2913" s="31"/>
    </row>
    <row r="2914" spans="7:10" s="29" customFormat="1" x14ac:dyDescent="0.2">
      <c r="G2914" s="31"/>
      <c r="H2914" s="31"/>
      <c r="I2914" s="31"/>
      <c r="J2914" s="31"/>
    </row>
    <row r="2915" spans="7:10" s="29" customFormat="1" x14ac:dyDescent="0.2">
      <c r="G2915" s="31"/>
      <c r="H2915" s="31"/>
      <c r="I2915" s="31"/>
      <c r="J2915" s="31"/>
    </row>
    <row r="2916" spans="7:10" s="29" customFormat="1" x14ac:dyDescent="0.2">
      <c r="G2916" s="31"/>
      <c r="H2916" s="31"/>
      <c r="I2916" s="31"/>
      <c r="J2916" s="31"/>
    </row>
    <row r="2917" spans="7:10" s="29" customFormat="1" x14ac:dyDescent="0.2">
      <c r="G2917" s="31"/>
      <c r="H2917" s="31"/>
      <c r="I2917" s="31"/>
      <c r="J2917" s="31"/>
    </row>
    <row r="2918" spans="7:10" s="29" customFormat="1" x14ac:dyDescent="0.2">
      <c r="G2918" s="31"/>
      <c r="H2918" s="31"/>
      <c r="I2918" s="31"/>
      <c r="J2918" s="31"/>
    </row>
    <row r="2919" spans="7:10" s="29" customFormat="1" x14ac:dyDescent="0.2">
      <c r="G2919" s="31"/>
      <c r="H2919" s="31"/>
      <c r="I2919" s="31"/>
      <c r="J2919" s="31"/>
    </row>
    <row r="2920" spans="7:10" s="29" customFormat="1" x14ac:dyDescent="0.2">
      <c r="G2920" s="31"/>
      <c r="H2920" s="31"/>
      <c r="I2920" s="31"/>
      <c r="J2920" s="31"/>
    </row>
    <row r="2921" spans="7:10" s="29" customFormat="1" x14ac:dyDescent="0.2">
      <c r="G2921" s="31"/>
      <c r="H2921" s="31"/>
      <c r="I2921" s="31"/>
      <c r="J2921" s="31"/>
    </row>
    <row r="2922" spans="7:10" s="29" customFormat="1" x14ac:dyDescent="0.2">
      <c r="G2922" s="31"/>
      <c r="H2922" s="31"/>
      <c r="I2922" s="31"/>
      <c r="J2922" s="31"/>
    </row>
    <row r="2923" spans="7:10" s="29" customFormat="1" x14ac:dyDescent="0.2">
      <c r="G2923" s="31"/>
      <c r="H2923" s="31"/>
      <c r="I2923" s="31"/>
      <c r="J2923" s="31"/>
    </row>
    <row r="2924" spans="7:10" s="29" customFormat="1" x14ac:dyDescent="0.2">
      <c r="G2924" s="31"/>
      <c r="H2924" s="31"/>
      <c r="I2924" s="31"/>
      <c r="J2924" s="31"/>
    </row>
    <row r="2925" spans="7:10" s="29" customFormat="1" x14ac:dyDescent="0.2">
      <c r="G2925" s="31"/>
      <c r="H2925" s="31"/>
      <c r="I2925" s="31"/>
      <c r="J2925" s="31"/>
    </row>
    <row r="2926" spans="7:10" s="29" customFormat="1" x14ac:dyDescent="0.2">
      <c r="G2926" s="31"/>
      <c r="H2926" s="31"/>
      <c r="I2926" s="31"/>
      <c r="J2926" s="31"/>
    </row>
    <row r="2927" spans="7:10" s="29" customFormat="1" x14ac:dyDescent="0.2">
      <c r="G2927" s="31"/>
      <c r="H2927" s="31"/>
      <c r="I2927" s="31"/>
      <c r="J2927" s="31"/>
    </row>
    <row r="2928" spans="7:10" s="29" customFormat="1" x14ac:dyDescent="0.2">
      <c r="G2928" s="31"/>
      <c r="H2928" s="31"/>
      <c r="I2928" s="31"/>
      <c r="J2928" s="31"/>
    </row>
    <row r="2929" spans="7:10" s="29" customFormat="1" x14ac:dyDescent="0.2">
      <c r="G2929" s="31"/>
      <c r="H2929" s="31"/>
      <c r="I2929" s="31"/>
      <c r="J2929" s="31"/>
    </row>
    <row r="2930" spans="7:10" s="29" customFormat="1" x14ac:dyDescent="0.2">
      <c r="G2930" s="31"/>
      <c r="H2930" s="31"/>
      <c r="I2930" s="31"/>
      <c r="J2930" s="31"/>
    </row>
    <row r="2931" spans="7:10" s="29" customFormat="1" x14ac:dyDescent="0.2">
      <c r="G2931" s="31"/>
      <c r="H2931" s="31"/>
      <c r="I2931" s="31"/>
      <c r="J2931" s="31"/>
    </row>
    <row r="2932" spans="7:10" s="29" customFormat="1" x14ac:dyDescent="0.2">
      <c r="G2932" s="31"/>
      <c r="H2932" s="31"/>
      <c r="I2932" s="31"/>
      <c r="J2932" s="31"/>
    </row>
    <row r="2933" spans="7:10" s="29" customFormat="1" x14ac:dyDescent="0.2">
      <c r="G2933" s="31"/>
      <c r="H2933" s="31"/>
      <c r="I2933" s="31"/>
      <c r="J2933" s="31"/>
    </row>
    <row r="2934" spans="7:10" s="29" customFormat="1" x14ac:dyDescent="0.2">
      <c r="G2934" s="31"/>
      <c r="H2934" s="31"/>
      <c r="I2934" s="31"/>
      <c r="J2934" s="31"/>
    </row>
    <row r="2935" spans="7:10" s="29" customFormat="1" x14ac:dyDescent="0.2">
      <c r="G2935" s="31"/>
      <c r="H2935" s="31"/>
      <c r="I2935" s="31"/>
      <c r="J2935" s="31"/>
    </row>
    <row r="2936" spans="7:10" s="29" customFormat="1" x14ac:dyDescent="0.2">
      <c r="G2936" s="31"/>
      <c r="H2936" s="31"/>
      <c r="I2936" s="31"/>
      <c r="J2936" s="31"/>
    </row>
    <row r="2937" spans="7:10" s="29" customFormat="1" x14ac:dyDescent="0.2">
      <c r="G2937" s="31"/>
      <c r="H2937" s="31"/>
      <c r="I2937" s="31"/>
      <c r="J2937" s="31"/>
    </row>
    <row r="2938" spans="7:10" s="29" customFormat="1" x14ac:dyDescent="0.2">
      <c r="G2938" s="31"/>
      <c r="H2938" s="31"/>
      <c r="I2938" s="31"/>
      <c r="J2938" s="31"/>
    </row>
    <row r="2939" spans="7:10" s="29" customFormat="1" x14ac:dyDescent="0.2">
      <c r="G2939" s="31"/>
      <c r="H2939" s="31"/>
      <c r="I2939" s="31"/>
      <c r="J2939" s="31"/>
    </row>
    <row r="2940" spans="7:10" s="29" customFormat="1" x14ac:dyDescent="0.2">
      <c r="G2940" s="31"/>
      <c r="H2940" s="31"/>
      <c r="I2940" s="31"/>
      <c r="J2940" s="31"/>
    </row>
    <row r="2941" spans="7:10" s="29" customFormat="1" x14ac:dyDescent="0.2">
      <c r="G2941" s="31"/>
      <c r="H2941" s="31"/>
      <c r="I2941" s="31"/>
      <c r="J2941" s="31"/>
    </row>
    <row r="2942" spans="7:10" s="29" customFormat="1" x14ac:dyDescent="0.2">
      <c r="G2942" s="31"/>
      <c r="H2942" s="31"/>
      <c r="I2942" s="31"/>
      <c r="J2942" s="31"/>
    </row>
    <row r="2943" spans="7:10" s="29" customFormat="1" x14ac:dyDescent="0.2">
      <c r="G2943" s="31"/>
      <c r="H2943" s="31"/>
      <c r="I2943" s="31"/>
      <c r="J2943" s="31"/>
    </row>
    <row r="2944" spans="7:10" s="29" customFormat="1" x14ac:dyDescent="0.2">
      <c r="G2944" s="31"/>
      <c r="H2944" s="31"/>
      <c r="I2944" s="31"/>
      <c r="J2944" s="31"/>
    </row>
    <row r="2945" spans="7:10" s="29" customFormat="1" x14ac:dyDescent="0.2">
      <c r="G2945" s="31"/>
      <c r="H2945" s="31"/>
      <c r="I2945" s="31"/>
      <c r="J2945" s="31"/>
    </row>
    <row r="2946" spans="7:10" s="29" customFormat="1" x14ac:dyDescent="0.2">
      <c r="G2946" s="31"/>
      <c r="H2946" s="31"/>
      <c r="I2946" s="31"/>
      <c r="J2946" s="31"/>
    </row>
    <row r="2947" spans="7:10" s="29" customFormat="1" x14ac:dyDescent="0.2">
      <c r="G2947" s="31"/>
      <c r="H2947" s="31"/>
      <c r="I2947" s="31"/>
      <c r="J2947" s="31"/>
    </row>
    <row r="2948" spans="7:10" s="29" customFormat="1" x14ac:dyDescent="0.2">
      <c r="G2948" s="31"/>
      <c r="H2948" s="31"/>
      <c r="I2948" s="31"/>
      <c r="J2948" s="31"/>
    </row>
    <row r="2949" spans="7:10" s="29" customFormat="1" x14ac:dyDescent="0.2">
      <c r="G2949" s="31"/>
      <c r="H2949" s="31"/>
      <c r="I2949" s="31"/>
      <c r="J2949" s="31"/>
    </row>
    <row r="2950" spans="7:10" s="29" customFormat="1" x14ac:dyDescent="0.2">
      <c r="G2950" s="31"/>
      <c r="H2950" s="31"/>
      <c r="I2950" s="31"/>
      <c r="J2950" s="31"/>
    </row>
    <row r="2951" spans="7:10" s="29" customFormat="1" x14ac:dyDescent="0.2">
      <c r="G2951" s="31"/>
      <c r="H2951" s="31"/>
      <c r="I2951" s="31"/>
      <c r="J2951" s="31"/>
    </row>
    <row r="2952" spans="7:10" s="29" customFormat="1" x14ac:dyDescent="0.2">
      <c r="G2952" s="31"/>
      <c r="H2952" s="31"/>
      <c r="I2952" s="31"/>
      <c r="J2952" s="31"/>
    </row>
    <row r="2953" spans="7:10" s="29" customFormat="1" x14ac:dyDescent="0.2">
      <c r="G2953" s="31"/>
      <c r="H2953" s="31"/>
      <c r="I2953" s="31"/>
      <c r="J2953" s="31"/>
    </row>
    <row r="2954" spans="7:10" s="29" customFormat="1" x14ac:dyDescent="0.2">
      <c r="G2954" s="31"/>
      <c r="H2954" s="31"/>
      <c r="I2954" s="31"/>
      <c r="J2954" s="31"/>
    </row>
    <row r="2955" spans="7:10" s="29" customFormat="1" x14ac:dyDescent="0.2">
      <c r="G2955" s="31"/>
      <c r="H2955" s="31"/>
      <c r="I2955" s="31"/>
      <c r="J2955" s="31"/>
    </row>
    <row r="2956" spans="7:10" s="29" customFormat="1" x14ac:dyDescent="0.2">
      <c r="G2956" s="31"/>
      <c r="H2956" s="31"/>
      <c r="I2956" s="31"/>
      <c r="J2956" s="31"/>
    </row>
    <row r="2957" spans="7:10" s="29" customFormat="1" x14ac:dyDescent="0.2">
      <c r="G2957" s="31"/>
      <c r="H2957" s="31"/>
      <c r="I2957" s="31"/>
      <c r="J2957" s="31"/>
    </row>
    <row r="2958" spans="7:10" s="29" customFormat="1" x14ac:dyDescent="0.2">
      <c r="G2958" s="31"/>
      <c r="H2958" s="31"/>
      <c r="I2958" s="31"/>
      <c r="J2958" s="31"/>
    </row>
    <row r="2959" spans="7:10" s="29" customFormat="1" x14ac:dyDescent="0.2">
      <c r="G2959" s="31"/>
      <c r="H2959" s="31"/>
      <c r="I2959" s="31"/>
      <c r="J2959" s="31"/>
    </row>
    <row r="2960" spans="7:10" s="29" customFormat="1" x14ac:dyDescent="0.2">
      <c r="G2960" s="31"/>
      <c r="H2960" s="31"/>
      <c r="I2960" s="31"/>
      <c r="J2960" s="31"/>
    </row>
    <row r="2961" spans="7:10" s="29" customFormat="1" x14ac:dyDescent="0.2">
      <c r="G2961" s="31"/>
      <c r="H2961" s="31"/>
      <c r="I2961" s="31"/>
      <c r="J2961" s="31"/>
    </row>
    <row r="2962" spans="7:10" s="29" customFormat="1" x14ac:dyDescent="0.2">
      <c r="G2962" s="31"/>
      <c r="H2962" s="31"/>
      <c r="I2962" s="31"/>
      <c r="J2962" s="31"/>
    </row>
    <row r="2963" spans="7:10" s="29" customFormat="1" x14ac:dyDescent="0.2">
      <c r="G2963" s="31"/>
      <c r="H2963" s="31"/>
      <c r="I2963" s="31"/>
      <c r="J2963" s="31"/>
    </row>
    <row r="2964" spans="7:10" s="29" customFormat="1" x14ac:dyDescent="0.2">
      <c r="G2964" s="31"/>
      <c r="H2964" s="31"/>
      <c r="I2964" s="31"/>
      <c r="J2964" s="31"/>
    </row>
    <row r="2965" spans="7:10" s="29" customFormat="1" x14ac:dyDescent="0.2">
      <c r="G2965" s="31"/>
      <c r="H2965" s="31"/>
      <c r="I2965" s="31"/>
      <c r="J2965" s="31"/>
    </row>
    <row r="2966" spans="7:10" s="29" customFormat="1" x14ac:dyDescent="0.2">
      <c r="G2966" s="31"/>
      <c r="H2966" s="31"/>
      <c r="I2966" s="31"/>
      <c r="J2966" s="31"/>
    </row>
    <row r="2967" spans="7:10" s="29" customFormat="1" x14ac:dyDescent="0.2">
      <c r="G2967" s="31"/>
      <c r="H2967" s="31"/>
      <c r="I2967" s="31"/>
      <c r="J2967" s="31"/>
    </row>
    <row r="2968" spans="7:10" s="29" customFormat="1" x14ac:dyDescent="0.2">
      <c r="G2968" s="31"/>
      <c r="H2968" s="31"/>
      <c r="I2968" s="31"/>
      <c r="J2968" s="31"/>
    </row>
    <row r="2969" spans="7:10" s="29" customFormat="1" x14ac:dyDescent="0.2">
      <c r="G2969" s="31"/>
      <c r="H2969" s="31"/>
      <c r="I2969" s="31"/>
      <c r="J2969" s="31"/>
    </row>
    <row r="2970" spans="7:10" s="29" customFormat="1" x14ac:dyDescent="0.2">
      <c r="G2970" s="31"/>
      <c r="H2970" s="31"/>
      <c r="I2970" s="31"/>
      <c r="J2970" s="31"/>
    </row>
    <row r="2971" spans="7:10" s="29" customFormat="1" x14ac:dyDescent="0.2">
      <c r="G2971" s="31"/>
      <c r="H2971" s="31"/>
      <c r="I2971" s="31"/>
      <c r="J2971" s="31"/>
    </row>
    <row r="2972" spans="7:10" s="29" customFormat="1" x14ac:dyDescent="0.2">
      <c r="G2972" s="31"/>
      <c r="H2972" s="31"/>
      <c r="I2972" s="31"/>
      <c r="J2972" s="31"/>
    </row>
    <row r="2973" spans="7:10" s="29" customFormat="1" x14ac:dyDescent="0.2">
      <c r="G2973" s="31"/>
      <c r="H2973" s="31"/>
      <c r="I2973" s="31"/>
      <c r="J2973" s="31"/>
    </row>
    <row r="2974" spans="7:10" s="29" customFormat="1" x14ac:dyDescent="0.2">
      <c r="G2974" s="31"/>
      <c r="H2974" s="31"/>
      <c r="I2974" s="31"/>
      <c r="J2974" s="31"/>
    </row>
    <row r="2975" spans="7:10" s="29" customFormat="1" x14ac:dyDescent="0.2">
      <c r="G2975" s="31"/>
      <c r="H2975" s="31"/>
      <c r="I2975" s="31"/>
      <c r="J2975" s="31"/>
    </row>
    <row r="2976" spans="7:10" s="29" customFormat="1" x14ac:dyDescent="0.2">
      <c r="G2976" s="31"/>
      <c r="H2976" s="31"/>
      <c r="I2976" s="31"/>
      <c r="J2976" s="31"/>
    </row>
    <row r="2977" spans="7:10" s="29" customFormat="1" x14ac:dyDescent="0.2">
      <c r="G2977" s="31"/>
      <c r="H2977" s="31"/>
      <c r="I2977" s="31"/>
      <c r="J2977" s="31"/>
    </row>
    <row r="2978" spans="7:10" s="29" customFormat="1" x14ac:dyDescent="0.2">
      <c r="G2978" s="31"/>
      <c r="H2978" s="31"/>
      <c r="I2978" s="31"/>
      <c r="J2978" s="31"/>
    </row>
    <row r="2979" spans="7:10" s="29" customFormat="1" x14ac:dyDescent="0.2">
      <c r="G2979" s="31"/>
      <c r="H2979" s="31"/>
      <c r="I2979" s="31"/>
      <c r="J2979" s="31"/>
    </row>
    <row r="2980" spans="7:10" s="29" customFormat="1" x14ac:dyDescent="0.2">
      <c r="G2980" s="31"/>
      <c r="H2980" s="31"/>
      <c r="I2980" s="31"/>
      <c r="J2980" s="31"/>
    </row>
    <row r="2981" spans="7:10" s="29" customFormat="1" x14ac:dyDescent="0.2">
      <c r="G2981" s="31"/>
      <c r="H2981" s="31"/>
      <c r="I2981" s="31"/>
      <c r="J2981" s="31"/>
    </row>
    <row r="2982" spans="7:10" s="29" customFormat="1" x14ac:dyDescent="0.2">
      <c r="G2982" s="31"/>
      <c r="H2982" s="31"/>
      <c r="I2982" s="31"/>
      <c r="J2982" s="31"/>
    </row>
    <row r="2983" spans="7:10" s="29" customFormat="1" x14ac:dyDescent="0.2">
      <c r="G2983" s="31"/>
      <c r="H2983" s="31"/>
      <c r="I2983" s="31"/>
      <c r="J2983" s="31"/>
    </row>
    <row r="2984" spans="7:10" s="29" customFormat="1" x14ac:dyDescent="0.2">
      <c r="G2984" s="31"/>
      <c r="H2984" s="31"/>
      <c r="I2984" s="31"/>
      <c r="J2984" s="31"/>
    </row>
    <row r="2985" spans="7:10" s="29" customFormat="1" x14ac:dyDescent="0.2">
      <c r="G2985" s="31"/>
      <c r="H2985" s="31"/>
      <c r="I2985" s="31"/>
      <c r="J2985" s="31"/>
    </row>
    <row r="2986" spans="7:10" s="29" customFormat="1" x14ac:dyDescent="0.2">
      <c r="G2986" s="31"/>
      <c r="H2986" s="31"/>
      <c r="I2986" s="31"/>
      <c r="J2986" s="31"/>
    </row>
    <row r="2987" spans="7:10" s="29" customFormat="1" x14ac:dyDescent="0.2">
      <c r="G2987" s="31"/>
      <c r="H2987" s="31"/>
      <c r="I2987" s="31"/>
      <c r="J2987" s="31"/>
    </row>
    <row r="2988" spans="7:10" s="29" customFormat="1" x14ac:dyDescent="0.2">
      <c r="G2988" s="31"/>
      <c r="H2988" s="31"/>
      <c r="I2988" s="31"/>
      <c r="J2988" s="31"/>
    </row>
    <row r="2989" spans="7:10" s="29" customFormat="1" x14ac:dyDescent="0.2">
      <c r="G2989" s="31"/>
      <c r="H2989" s="31"/>
      <c r="I2989" s="31"/>
      <c r="J2989" s="31"/>
    </row>
    <row r="2990" spans="7:10" s="29" customFormat="1" x14ac:dyDescent="0.2">
      <c r="G2990" s="31"/>
      <c r="H2990" s="31"/>
      <c r="I2990" s="31"/>
      <c r="J2990" s="31"/>
    </row>
    <row r="2991" spans="7:10" s="29" customFormat="1" x14ac:dyDescent="0.2">
      <c r="G2991" s="31"/>
      <c r="H2991" s="31"/>
      <c r="I2991" s="31"/>
      <c r="J2991" s="31"/>
    </row>
    <row r="2992" spans="7:10" s="29" customFormat="1" x14ac:dyDescent="0.2">
      <c r="G2992" s="31"/>
      <c r="H2992" s="31"/>
      <c r="I2992" s="31"/>
      <c r="J2992" s="31"/>
    </row>
    <row r="2993" spans="7:10" s="29" customFormat="1" x14ac:dyDescent="0.2">
      <c r="G2993" s="31"/>
      <c r="H2993" s="31"/>
      <c r="I2993" s="31"/>
      <c r="J2993" s="31"/>
    </row>
    <row r="2994" spans="7:10" s="29" customFormat="1" x14ac:dyDescent="0.2">
      <c r="G2994" s="31"/>
      <c r="H2994" s="31"/>
      <c r="I2994" s="31"/>
      <c r="J2994" s="31"/>
    </row>
    <row r="2995" spans="7:10" s="29" customFormat="1" x14ac:dyDescent="0.2">
      <c r="G2995" s="31"/>
      <c r="H2995" s="31"/>
      <c r="I2995" s="31"/>
      <c r="J2995" s="31"/>
    </row>
    <row r="2996" spans="7:10" s="29" customFormat="1" x14ac:dyDescent="0.2">
      <c r="G2996" s="31"/>
      <c r="H2996" s="31"/>
      <c r="I2996" s="31"/>
      <c r="J2996" s="31"/>
    </row>
    <row r="2997" spans="7:10" s="29" customFormat="1" x14ac:dyDescent="0.2">
      <c r="G2997" s="31"/>
      <c r="H2997" s="31"/>
      <c r="I2997" s="31"/>
      <c r="J2997" s="31"/>
    </row>
    <row r="2998" spans="7:10" s="29" customFormat="1" x14ac:dyDescent="0.2">
      <c r="G2998" s="31"/>
      <c r="H2998" s="31"/>
      <c r="I2998" s="31"/>
      <c r="J2998" s="31"/>
    </row>
    <row r="2999" spans="7:10" s="29" customFormat="1" x14ac:dyDescent="0.2">
      <c r="G2999" s="31"/>
      <c r="H2999" s="31"/>
      <c r="I2999" s="31"/>
      <c r="J2999" s="31"/>
    </row>
    <row r="3000" spans="7:10" s="29" customFormat="1" x14ac:dyDescent="0.2">
      <c r="G3000" s="31"/>
      <c r="H3000" s="31"/>
      <c r="I3000" s="31"/>
      <c r="J3000" s="31"/>
    </row>
    <row r="3001" spans="7:10" s="29" customFormat="1" x14ac:dyDescent="0.2">
      <c r="G3001" s="31"/>
      <c r="H3001" s="31"/>
      <c r="I3001" s="31"/>
      <c r="J3001" s="31"/>
    </row>
    <row r="3002" spans="7:10" s="29" customFormat="1" x14ac:dyDescent="0.2">
      <c r="G3002" s="31"/>
      <c r="H3002" s="31"/>
      <c r="I3002" s="31"/>
      <c r="J3002" s="31"/>
    </row>
    <row r="3003" spans="7:10" s="29" customFormat="1" x14ac:dyDescent="0.2">
      <c r="G3003" s="31"/>
      <c r="H3003" s="31"/>
      <c r="I3003" s="31"/>
      <c r="J3003" s="31"/>
    </row>
    <row r="3004" spans="7:10" s="29" customFormat="1" x14ac:dyDescent="0.2">
      <c r="G3004" s="31"/>
      <c r="H3004" s="31"/>
      <c r="I3004" s="31"/>
      <c r="J3004" s="31"/>
    </row>
    <row r="3005" spans="7:10" s="29" customFormat="1" x14ac:dyDescent="0.2">
      <c r="G3005" s="31"/>
      <c r="H3005" s="31"/>
      <c r="I3005" s="31"/>
      <c r="J3005" s="31"/>
    </row>
    <row r="3006" spans="7:10" s="29" customFormat="1" x14ac:dyDescent="0.2">
      <c r="G3006" s="31"/>
      <c r="H3006" s="31"/>
      <c r="I3006" s="31"/>
      <c r="J3006" s="31"/>
    </row>
    <row r="3007" spans="7:10" s="29" customFormat="1" x14ac:dyDescent="0.2">
      <c r="G3007" s="31"/>
      <c r="H3007" s="31"/>
      <c r="I3007" s="31"/>
      <c r="J3007" s="31"/>
    </row>
    <row r="3008" spans="7:10" s="29" customFormat="1" x14ac:dyDescent="0.2">
      <c r="G3008" s="31"/>
      <c r="H3008" s="31"/>
      <c r="I3008" s="31"/>
      <c r="J3008" s="31"/>
    </row>
    <row r="3009" spans="7:10" s="29" customFormat="1" x14ac:dyDescent="0.2">
      <c r="G3009" s="31"/>
      <c r="H3009" s="31"/>
      <c r="I3009" s="31"/>
      <c r="J3009" s="31"/>
    </row>
    <row r="3010" spans="7:10" s="29" customFormat="1" x14ac:dyDescent="0.2">
      <c r="G3010" s="31"/>
      <c r="H3010" s="31"/>
      <c r="I3010" s="31"/>
      <c r="J3010" s="31"/>
    </row>
    <row r="3011" spans="7:10" s="29" customFormat="1" x14ac:dyDescent="0.2">
      <c r="G3011" s="31"/>
      <c r="H3011" s="31"/>
      <c r="I3011" s="31"/>
      <c r="J3011" s="31"/>
    </row>
    <row r="3012" spans="7:10" s="29" customFormat="1" x14ac:dyDescent="0.2">
      <c r="G3012" s="31"/>
      <c r="H3012" s="31"/>
      <c r="I3012" s="31"/>
      <c r="J3012" s="31"/>
    </row>
    <row r="3013" spans="7:10" s="29" customFormat="1" x14ac:dyDescent="0.2">
      <c r="G3013" s="31"/>
      <c r="H3013" s="31"/>
      <c r="I3013" s="31"/>
      <c r="J3013" s="31"/>
    </row>
    <row r="3014" spans="7:10" s="29" customFormat="1" x14ac:dyDescent="0.2">
      <c r="G3014" s="31"/>
      <c r="H3014" s="31"/>
      <c r="I3014" s="31"/>
      <c r="J3014" s="31"/>
    </row>
    <row r="3015" spans="7:10" s="29" customFormat="1" x14ac:dyDescent="0.2">
      <c r="G3015" s="31"/>
      <c r="H3015" s="31"/>
      <c r="I3015" s="31"/>
      <c r="J3015" s="31"/>
    </row>
    <row r="3016" spans="7:10" s="29" customFormat="1" x14ac:dyDescent="0.2">
      <c r="G3016" s="31"/>
      <c r="H3016" s="31"/>
      <c r="I3016" s="31"/>
      <c r="J3016" s="31"/>
    </row>
    <row r="3017" spans="7:10" s="29" customFormat="1" x14ac:dyDescent="0.2">
      <c r="G3017" s="31"/>
      <c r="H3017" s="31"/>
      <c r="I3017" s="31"/>
      <c r="J3017" s="31"/>
    </row>
    <row r="3018" spans="7:10" s="29" customFormat="1" x14ac:dyDescent="0.2">
      <c r="G3018" s="31"/>
      <c r="H3018" s="31"/>
      <c r="I3018" s="31"/>
      <c r="J3018" s="31"/>
    </row>
    <row r="3019" spans="7:10" s="29" customFormat="1" x14ac:dyDescent="0.2">
      <c r="G3019" s="31"/>
      <c r="H3019" s="31"/>
      <c r="I3019" s="31"/>
      <c r="J3019" s="31"/>
    </row>
    <row r="3020" spans="7:10" s="29" customFormat="1" x14ac:dyDescent="0.2">
      <c r="G3020" s="31"/>
      <c r="H3020" s="31"/>
      <c r="I3020" s="31"/>
      <c r="J3020" s="31"/>
    </row>
    <row r="3021" spans="7:10" s="29" customFormat="1" x14ac:dyDescent="0.2">
      <c r="G3021" s="31"/>
      <c r="H3021" s="31"/>
      <c r="I3021" s="31"/>
      <c r="J3021" s="31"/>
    </row>
    <row r="3022" spans="7:10" s="29" customFormat="1" x14ac:dyDescent="0.2">
      <c r="G3022" s="31"/>
      <c r="H3022" s="31"/>
      <c r="I3022" s="31"/>
      <c r="J3022" s="31"/>
    </row>
    <row r="3023" spans="7:10" s="29" customFormat="1" x14ac:dyDescent="0.2">
      <c r="G3023" s="31"/>
      <c r="H3023" s="31"/>
      <c r="I3023" s="31"/>
      <c r="J3023" s="31"/>
    </row>
    <row r="3024" spans="7:10" s="29" customFormat="1" x14ac:dyDescent="0.2">
      <c r="G3024" s="31"/>
      <c r="H3024" s="31"/>
      <c r="I3024" s="31"/>
      <c r="J3024" s="31"/>
    </row>
    <row r="3025" spans="7:10" s="29" customFormat="1" x14ac:dyDescent="0.2">
      <c r="G3025" s="31"/>
      <c r="H3025" s="31"/>
      <c r="I3025" s="31"/>
      <c r="J3025" s="31"/>
    </row>
    <row r="3026" spans="7:10" s="29" customFormat="1" x14ac:dyDescent="0.2">
      <c r="G3026" s="31"/>
      <c r="H3026" s="31"/>
      <c r="I3026" s="31"/>
      <c r="J3026" s="31"/>
    </row>
    <row r="3027" spans="7:10" s="29" customFormat="1" x14ac:dyDescent="0.2">
      <c r="G3027" s="31"/>
      <c r="H3027" s="31"/>
      <c r="I3027" s="31"/>
      <c r="J3027" s="31"/>
    </row>
    <row r="3028" spans="7:10" s="29" customFormat="1" x14ac:dyDescent="0.2">
      <c r="G3028" s="31"/>
      <c r="H3028" s="31"/>
      <c r="I3028" s="31"/>
      <c r="J3028" s="31"/>
    </row>
    <row r="3029" spans="7:10" s="29" customFormat="1" x14ac:dyDescent="0.2">
      <c r="G3029" s="31"/>
      <c r="H3029" s="31"/>
      <c r="I3029" s="31"/>
      <c r="J3029" s="31"/>
    </row>
    <row r="3030" spans="7:10" s="29" customFormat="1" x14ac:dyDescent="0.2">
      <c r="G3030" s="31"/>
      <c r="H3030" s="31"/>
      <c r="I3030" s="31"/>
      <c r="J3030" s="31"/>
    </row>
    <row r="3031" spans="7:10" s="29" customFormat="1" x14ac:dyDescent="0.2">
      <c r="G3031" s="31"/>
      <c r="H3031" s="31"/>
      <c r="I3031" s="31"/>
      <c r="J3031" s="31"/>
    </row>
    <row r="3032" spans="7:10" s="29" customFormat="1" x14ac:dyDescent="0.2">
      <c r="G3032" s="31"/>
      <c r="H3032" s="31"/>
      <c r="I3032" s="31"/>
      <c r="J3032" s="31"/>
    </row>
    <row r="3033" spans="7:10" s="29" customFormat="1" x14ac:dyDescent="0.2">
      <c r="G3033" s="31"/>
      <c r="H3033" s="31"/>
      <c r="I3033" s="31"/>
      <c r="J3033" s="31"/>
    </row>
    <row r="3034" spans="7:10" s="29" customFormat="1" x14ac:dyDescent="0.2">
      <c r="G3034" s="31"/>
      <c r="H3034" s="31"/>
      <c r="I3034" s="31"/>
      <c r="J3034" s="31"/>
    </row>
    <row r="3035" spans="7:10" s="29" customFormat="1" x14ac:dyDescent="0.2">
      <c r="G3035" s="31"/>
      <c r="H3035" s="31"/>
      <c r="I3035" s="31"/>
      <c r="J3035" s="31"/>
    </row>
    <row r="3036" spans="7:10" s="29" customFormat="1" x14ac:dyDescent="0.2">
      <c r="G3036" s="31"/>
      <c r="H3036" s="31"/>
      <c r="I3036" s="31"/>
      <c r="J3036" s="31"/>
    </row>
    <row r="3037" spans="7:10" s="29" customFormat="1" x14ac:dyDescent="0.2">
      <c r="G3037" s="31"/>
      <c r="H3037" s="31"/>
      <c r="I3037" s="31"/>
      <c r="J3037" s="31"/>
    </row>
    <row r="3038" spans="7:10" s="29" customFormat="1" x14ac:dyDescent="0.2">
      <c r="G3038" s="31"/>
      <c r="H3038" s="31"/>
      <c r="I3038" s="31"/>
      <c r="J3038" s="31"/>
    </row>
    <row r="3039" spans="7:10" s="29" customFormat="1" x14ac:dyDescent="0.2">
      <c r="G3039" s="31"/>
      <c r="H3039" s="31"/>
      <c r="I3039" s="31"/>
      <c r="J3039" s="31"/>
    </row>
    <row r="3040" spans="7:10" s="29" customFormat="1" x14ac:dyDescent="0.2">
      <c r="G3040" s="31"/>
      <c r="H3040" s="31"/>
      <c r="I3040" s="31"/>
      <c r="J3040" s="31"/>
    </row>
    <row r="3041" spans="7:10" s="29" customFormat="1" x14ac:dyDescent="0.2">
      <c r="G3041" s="31"/>
      <c r="H3041" s="31"/>
      <c r="I3041" s="31"/>
      <c r="J3041" s="31"/>
    </row>
    <row r="3042" spans="7:10" s="29" customFormat="1" x14ac:dyDescent="0.2">
      <c r="G3042" s="31"/>
      <c r="H3042" s="31"/>
      <c r="I3042" s="31"/>
      <c r="J3042" s="31"/>
    </row>
    <row r="3043" spans="7:10" s="29" customFormat="1" x14ac:dyDescent="0.2">
      <c r="G3043" s="31"/>
      <c r="H3043" s="31"/>
      <c r="I3043" s="31"/>
      <c r="J3043" s="31"/>
    </row>
    <row r="3044" spans="7:10" s="29" customFormat="1" x14ac:dyDescent="0.2">
      <c r="G3044" s="31"/>
      <c r="H3044" s="31"/>
      <c r="I3044" s="31"/>
      <c r="J3044" s="31"/>
    </row>
    <row r="3045" spans="7:10" s="29" customFormat="1" x14ac:dyDescent="0.2">
      <c r="G3045" s="31"/>
      <c r="H3045" s="31"/>
      <c r="I3045" s="31"/>
      <c r="J3045" s="31"/>
    </row>
    <row r="3046" spans="7:10" s="29" customFormat="1" x14ac:dyDescent="0.2">
      <c r="G3046" s="31"/>
      <c r="H3046" s="31"/>
      <c r="I3046" s="31"/>
      <c r="J3046" s="31"/>
    </row>
    <row r="3047" spans="7:10" s="29" customFormat="1" x14ac:dyDescent="0.2">
      <c r="G3047" s="31"/>
      <c r="H3047" s="31"/>
      <c r="I3047" s="31"/>
      <c r="J3047" s="31"/>
    </row>
    <row r="3048" spans="7:10" s="29" customFormat="1" x14ac:dyDescent="0.2">
      <c r="G3048" s="31"/>
      <c r="H3048" s="31"/>
      <c r="I3048" s="31"/>
      <c r="J3048" s="31"/>
    </row>
    <row r="3049" spans="7:10" s="29" customFormat="1" x14ac:dyDescent="0.2">
      <c r="G3049" s="31"/>
      <c r="H3049" s="31"/>
      <c r="I3049" s="31"/>
      <c r="J3049" s="31"/>
    </row>
    <row r="3050" spans="7:10" s="29" customFormat="1" x14ac:dyDescent="0.2">
      <c r="G3050" s="31"/>
      <c r="H3050" s="31"/>
      <c r="I3050" s="31"/>
      <c r="J3050" s="31"/>
    </row>
    <row r="3051" spans="7:10" s="29" customFormat="1" x14ac:dyDescent="0.2">
      <c r="G3051" s="31"/>
      <c r="H3051" s="31"/>
      <c r="I3051" s="31"/>
      <c r="J3051" s="31"/>
    </row>
    <row r="3052" spans="7:10" s="29" customFormat="1" x14ac:dyDescent="0.2">
      <c r="G3052" s="31"/>
      <c r="H3052" s="31"/>
      <c r="I3052" s="31"/>
      <c r="J3052" s="31"/>
    </row>
    <row r="3053" spans="7:10" s="29" customFormat="1" x14ac:dyDescent="0.2">
      <c r="G3053" s="31"/>
      <c r="H3053" s="31"/>
      <c r="I3053" s="31"/>
      <c r="J3053" s="31"/>
    </row>
    <row r="3054" spans="7:10" s="29" customFormat="1" x14ac:dyDescent="0.2">
      <c r="G3054" s="31"/>
      <c r="H3054" s="31"/>
      <c r="I3054" s="31"/>
      <c r="J3054" s="31"/>
    </row>
    <row r="3055" spans="7:10" s="29" customFormat="1" x14ac:dyDescent="0.2">
      <c r="G3055" s="31"/>
      <c r="H3055" s="31"/>
      <c r="I3055" s="31"/>
      <c r="J3055" s="31"/>
    </row>
    <row r="3056" spans="7:10" s="29" customFormat="1" x14ac:dyDescent="0.2">
      <c r="G3056" s="31"/>
      <c r="H3056" s="31"/>
      <c r="I3056" s="31"/>
      <c r="J3056" s="31"/>
    </row>
    <row r="3057" spans="7:10" s="29" customFormat="1" x14ac:dyDescent="0.2">
      <c r="G3057" s="31"/>
      <c r="H3057" s="31"/>
      <c r="I3057" s="31"/>
      <c r="J3057" s="31"/>
    </row>
    <row r="3058" spans="7:10" s="29" customFormat="1" x14ac:dyDescent="0.2">
      <c r="G3058" s="31"/>
      <c r="H3058" s="31"/>
      <c r="I3058" s="31"/>
      <c r="J3058" s="31"/>
    </row>
    <row r="3059" spans="7:10" s="29" customFormat="1" x14ac:dyDescent="0.2">
      <c r="G3059" s="31"/>
      <c r="H3059" s="31"/>
      <c r="I3059" s="31"/>
      <c r="J3059" s="31"/>
    </row>
    <row r="3060" spans="7:10" s="29" customFormat="1" x14ac:dyDescent="0.2">
      <c r="G3060" s="31"/>
      <c r="H3060" s="31"/>
      <c r="I3060" s="31"/>
      <c r="J3060" s="31"/>
    </row>
    <row r="3061" spans="7:10" s="29" customFormat="1" x14ac:dyDescent="0.2">
      <c r="G3061" s="31"/>
      <c r="H3061" s="31"/>
      <c r="I3061" s="31"/>
      <c r="J3061" s="31"/>
    </row>
    <row r="3062" spans="7:10" s="29" customFormat="1" x14ac:dyDescent="0.2">
      <c r="G3062" s="31"/>
      <c r="H3062" s="31"/>
      <c r="I3062" s="31"/>
      <c r="J3062" s="31"/>
    </row>
    <row r="3063" spans="7:10" s="29" customFormat="1" x14ac:dyDescent="0.2">
      <c r="G3063" s="31"/>
      <c r="H3063" s="31"/>
      <c r="I3063" s="31"/>
      <c r="J3063" s="31"/>
    </row>
    <row r="3064" spans="7:10" s="29" customFormat="1" x14ac:dyDescent="0.2">
      <c r="G3064" s="31"/>
      <c r="H3064" s="31"/>
      <c r="I3064" s="31"/>
      <c r="J3064" s="31"/>
    </row>
    <row r="3065" spans="7:10" s="29" customFormat="1" x14ac:dyDescent="0.2">
      <c r="G3065" s="31"/>
      <c r="H3065" s="31"/>
      <c r="I3065" s="31"/>
      <c r="J3065" s="31"/>
    </row>
    <row r="3066" spans="7:10" s="29" customFormat="1" x14ac:dyDescent="0.2">
      <c r="G3066" s="31"/>
      <c r="H3066" s="31"/>
      <c r="I3066" s="31"/>
      <c r="J3066" s="31"/>
    </row>
    <row r="3067" spans="7:10" s="29" customFormat="1" x14ac:dyDescent="0.2">
      <c r="G3067" s="31"/>
      <c r="H3067" s="31"/>
      <c r="I3067" s="31"/>
      <c r="J3067" s="31"/>
    </row>
    <row r="3068" spans="7:10" s="29" customFormat="1" x14ac:dyDescent="0.2">
      <c r="G3068" s="31"/>
      <c r="H3068" s="31"/>
      <c r="I3068" s="31"/>
      <c r="J3068" s="31"/>
    </row>
    <row r="3069" spans="7:10" s="29" customFormat="1" x14ac:dyDescent="0.2">
      <c r="G3069" s="31"/>
      <c r="H3069" s="31"/>
      <c r="I3069" s="31"/>
      <c r="J3069" s="31"/>
    </row>
    <row r="3070" spans="7:10" s="29" customFormat="1" x14ac:dyDescent="0.2">
      <c r="G3070" s="31"/>
      <c r="H3070" s="31"/>
      <c r="I3070" s="31"/>
      <c r="J3070" s="31"/>
    </row>
    <row r="3071" spans="7:10" s="29" customFormat="1" x14ac:dyDescent="0.2">
      <c r="G3071" s="31"/>
      <c r="H3071" s="31"/>
      <c r="I3071" s="31"/>
      <c r="J3071" s="31"/>
    </row>
    <row r="3072" spans="7:10" s="29" customFormat="1" x14ac:dyDescent="0.2">
      <c r="G3072" s="31"/>
      <c r="H3072" s="31"/>
      <c r="I3072" s="31"/>
      <c r="J3072" s="31"/>
    </row>
    <row r="3073" spans="7:10" s="29" customFormat="1" x14ac:dyDescent="0.2">
      <c r="G3073" s="31"/>
      <c r="H3073" s="31"/>
      <c r="I3073" s="31"/>
      <c r="J3073" s="31"/>
    </row>
    <row r="3074" spans="7:10" s="29" customFormat="1" x14ac:dyDescent="0.2">
      <c r="G3074" s="31"/>
      <c r="H3074" s="31"/>
      <c r="I3074" s="31"/>
      <c r="J3074" s="31"/>
    </row>
    <row r="3075" spans="7:10" s="29" customFormat="1" x14ac:dyDescent="0.2">
      <c r="G3075" s="31"/>
      <c r="H3075" s="31"/>
      <c r="I3075" s="31"/>
      <c r="J3075" s="31"/>
    </row>
    <row r="3076" spans="7:10" s="29" customFormat="1" x14ac:dyDescent="0.2">
      <c r="G3076" s="31"/>
      <c r="H3076" s="31"/>
      <c r="I3076" s="31"/>
      <c r="J3076" s="31"/>
    </row>
    <row r="3077" spans="7:10" s="29" customFormat="1" x14ac:dyDescent="0.2">
      <c r="G3077" s="31"/>
      <c r="H3077" s="31"/>
      <c r="I3077" s="31"/>
      <c r="J3077" s="31"/>
    </row>
    <row r="3078" spans="7:10" s="29" customFormat="1" x14ac:dyDescent="0.2">
      <c r="G3078" s="31"/>
      <c r="H3078" s="31"/>
      <c r="I3078" s="31"/>
      <c r="J3078" s="31"/>
    </row>
    <row r="3079" spans="7:10" s="29" customFormat="1" x14ac:dyDescent="0.2">
      <c r="G3079" s="31"/>
      <c r="H3079" s="31"/>
      <c r="I3079" s="31"/>
      <c r="J3079" s="31"/>
    </row>
    <row r="3080" spans="7:10" s="29" customFormat="1" x14ac:dyDescent="0.2">
      <c r="G3080" s="31"/>
      <c r="H3080" s="31"/>
      <c r="I3080" s="31"/>
      <c r="J3080" s="31"/>
    </row>
    <row r="3081" spans="7:10" s="29" customFormat="1" x14ac:dyDescent="0.2">
      <c r="G3081" s="31"/>
      <c r="H3081" s="31"/>
      <c r="I3081" s="31"/>
      <c r="J3081" s="31"/>
    </row>
    <row r="3082" spans="7:10" s="29" customFormat="1" x14ac:dyDescent="0.2">
      <c r="G3082" s="31"/>
      <c r="H3082" s="31"/>
      <c r="I3082" s="31"/>
      <c r="J3082" s="31"/>
    </row>
    <row r="3083" spans="7:10" s="29" customFormat="1" x14ac:dyDescent="0.2">
      <c r="G3083" s="31"/>
      <c r="H3083" s="31"/>
      <c r="I3083" s="31"/>
      <c r="J3083" s="31"/>
    </row>
    <row r="3084" spans="7:10" s="29" customFormat="1" x14ac:dyDescent="0.2">
      <c r="G3084" s="31"/>
      <c r="H3084" s="31"/>
      <c r="I3084" s="31"/>
      <c r="J3084" s="31"/>
    </row>
    <row r="3085" spans="7:10" s="29" customFormat="1" x14ac:dyDescent="0.2">
      <c r="G3085" s="31"/>
      <c r="H3085" s="31"/>
      <c r="I3085" s="31"/>
      <c r="J3085" s="31"/>
    </row>
    <row r="3086" spans="7:10" s="29" customFormat="1" x14ac:dyDescent="0.2">
      <c r="G3086" s="31"/>
      <c r="H3086" s="31"/>
      <c r="I3086" s="31"/>
      <c r="J3086" s="31"/>
    </row>
    <row r="3087" spans="7:10" s="29" customFormat="1" x14ac:dyDescent="0.2">
      <c r="G3087" s="31"/>
      <c r="H3087" s="31"/>
      <c r="I3087" s="31"/>
      <c r="J3087" s="31"/>
    </row>
    <row r="3088" spans="7:10" s="29" customFormat="1" x14ac:dyDescent="0.2">
      <c r="G3088" s="31"/>
      <c r="H3088" s="31"/>
      <c r="I3088" s="31"/>
      <c r="J3088" s="31"/>
    </row>
    <row r="3089" spans="7:10" s="29" customFormat="1" x14ac:dyDescent="0.2">
      <c r="G3089" s="31"/>
      <c r="H3089" s="31"/>
      <c r="I3089" s="31"/>
      <c r="J3089" s="31"/>
    </row>
    <row r="3090" spans="7:10" s="29" customFormat="1" x14ac:dyDescent="0.2">
      <c r="G3090" s="31"/>
      <c r="H3090" s="31"/>
      <c r="I3090" s="31"/>
      <c r="J3090" s="31"/>
    </row>
    <row r="3091" spans="7:10" s="29" customFormat="1" x14ac:dyDescent="0.2">
      <c r="G3091" s="31"/>
      <c r="H3091" s="31"/>
      <c r="I3091" s="31"/>
      <c r="J3091" s="31"/>
    </row>
    <row r="3092" spans="7:10" s="29" customFormat="1" x14ac:dyDescent="0.2">
      <c r="G3092" s="31"/>
      <c r="H3092" s="31"/>
      <c r="I3092" s="31"/>
      <c r="J3092" s="31"/>
    </row>
    <row r="3093" spans="7:10" s="29" customFormat="1" x14ac:dyDescent="0.2">
      <c r="G3093" s="31"/>
      <c r="H3093" s="31"/>
      <c r="I3093" s="31"/>
      <c r="J3093" s="31"/>
    </row>
    <row r="3094" spans="7:10" s="29" customFormat="1" x14ac:dyDescent="0.2">
      <c r="G3094" s="31"/>
      <c r="H3094" s="31"/>
      <c r="I3094" s="31"/>
      <c r="J3094" s="31"/>
    </row>
    <row r="3095" spans="7:10" s="29" customFormat="1" x14ac:dyDescent="0.2">
      <c r="G3095" s="31"/>
      <c r="H3095" s="31"/>
      <c r="I3095" s="31"/>
      <c r="J3095" s="31"/>
    </row>
    <row r="3096" spans="7:10" s="29" customFormat="1" x14ac:dyDescent="0.2">
      <c r="G3096" s="31"/>
      <c r="H3096" s="31"/>
      <c r="I3096" s="31"/>
      <c r="J3096" s="31"/>
    </row>
    <row r="3097" spans="7:10" s="29" customFormat="1" x14ac:dyDescent="0.2">
      <c r="G3097" s="31"/>
      <c r="H3097" s="31"/>
      <c r="I3097" s="31"/>
      <c r="J3097" s="31"/>
    </row>
    <row r="3098" spans="7:10" s="29" customFormat="1" x14ac:dyDescent="0.2">
      <c r="G3098" s="31"/>
      <c r="H3098" s="31"/>
      <c r="I3098" s="31"/>
      <c r="J3098" s="31"/>
    </row>
    <row r="3099" spans="7:10" s="29" customFormat="1" x14ac:dyDescent="0.2">
      <c r="G3099" s="31"/>
      <c r="H3099" s="31"/>
      <c r="I3099" s="31"/>
      <c r="J3099" s="31"/>
    </row>
    <row r="3100" spans="7:10" s="29" customFormat="1" x14ac:dyDescent="0.2">
      <c r="G3100" s="31"/>
      <c r="H3100" s="31"/>
      <c r="I3100" s="31"/>
      <c r="J3100" s="31"/>
    </row>
    <row r="3101" spans="7:10" s="29" customFormat="1" x14ac:dyDescent="0.2">
      <c r="G3101" s="31"/>
      <c r="H3101" s="31"/>
      <c r="I3101" s="31"/>
      <c r="J3101" s="31"/>
    </row>
    <row r="3102" spans="7:10" s="29" customFormat="1" x14ac:dyDescent="0.2">
      <c r="G3102" s="31"/>
      <c r="H3102" s="31"/>
      <c r="I3102" s="31"/>
      <c r="J3102" s="31"/>
    </row>
    <row r="3103" spans="7:10" s="29" customFormat="1" x14ac:dyDescent="0.2">
      <c r="G3103" s="31"/>
      <c r="H3103" s="31"/>
      <c r="I3103" s="31"/>
      <c r="J3103" s="31"/>
    </row>
    <row r="3104" spans="7:10" s="29" customFormat="1" x14ac:dyDescent="0.2">
      <c r="G3104" s="31"/>
      <c r="H3104" s="31"/>
      <c r="I3104" s="31"/>
      <c r="J3104" s="31"/>
    </row>
    <row r="3105" spans="7:10" s="29" customFormat="1" x14ac:dyDescent="0.2">
      <c r="G3105" s="31"/>
      <c r="H3105" s="31"/>
      <c r="I3105" s="31"/>
      <c r="J3105" s="31"/>
    </row>
    <row r="3106" spans="7:10" s="29" customFormat="1" x14ac:dyDescent="0.2">
      <c r="G3106" s="31"/>
      <c r="H3106" s="31"/>
      <c r="I3106" s="31"/>
      <c r="J3106" s="31"/>
    </row>
    <row r="3107" spans="7:10" s="29" customFormat="1" x14ac:dyDescent="0.2">
      <c r="G3107" s="31"/>
      <c r="H3107" s="31"/>
      <c r="I3107" s="31"/>
      <c r="J3107" s="31"/>
    </row>
    <row r="3108" spans="7:10" s="29" customFormat="1" x14ac:dyDescent="0.2">
      <c r="G3108" s="31"/>
      <c r="H3108" s="31"/>
      <c r="I3108" s="31"/>
      <c r="J3108" s="31"/>
    </row>
    <row r="3109" spans="7:10" s="29" customFormat="1" x14ac:dyDescent="0.2">
      <c r="G3109" s="31"/>
      <c r="H3109" s="31"/>
      <c r="I3109" s="31"/>
      <c r="J3109" s="31"/>
    </row>
    <row r="3110" spans="7:10" s="29" customFormat="1" x14ac:dyDescent="0.2">
      <c r="G3110" s="31"/>
      <c r="H3110" s="31"/>
      <c r="I3110" s="31"/>
      <c r="J3110" s="31"/>
    </row>
    <row r="3111" spans="7:10" s="29" customFormat="1" x14ac:dyDescent="0.2">
      <c r="G3111" s="31"/>
      <c r="H3111" s="31"/>
      <c r="I3111" s="31"/>
      <c r="J3111" s="31"/>
    </row>
    <row r="3112" spans="7:10" s="29" customFormat="1" x14ac:dyDescent="0.2">
      <c r="G3112" s="31"/>
      <c r="H3112" s="31"/>
      <c r="I3112" s="31"/>
      <c r="J3112" s="31"/>
    </row>
    <row r="3113" spans="7:10" s="29" customFormat="1" x14ac:dyDescent="0.2">
      <c r="G3113" s="31"/>
      <c r="H3113" s="31"/>
      <c r="I3113" s="31"/>
      <c r="J3113" s="31"/>
    </row>
    <row r="3114" spans="7:10" s="29" customFormat="1" x14ac:dyDescent="0.2">
      <c r="G3114" s="31"/>
      <c r="H3114" s="31"/>
      <c r="I3114" s="31"/>
      <c r="J3114" s="31"/>
    </row>
    <row r="3115" spans="7:10" s="29" customFormat="1" x14ac:dyDescent="0.2">
      <c r="G3115" s="31"/>
      <c r="H3115" s="31"/>
      <c r="I3115" s="31"/>
      <c r="J3115" s="31"/>
    </row>
    <row r="3116" spans="7:10" s="29" customFormat="1" x14ac:dyDescent="0.2">
      <c r="G3116" s="31"/>
      <c r="H3116" s="31"/>
      <c r="I3116" s="31"/>
      <c r="J3116" s="31"/>
    </row>
    <row r="3117" spans="7:10" s="29" customFormat="1" x14ac:dyDescent="0.2">
      <c r="G3117" s="31"/>
      <c r="H3117" s="31"/>
      <c r="I3117" s="31"/>
      <c r="J3117" s="31"/>
    </row>
    <row r="3118" spans="7:10" s="29" customFormat="1" x14ac:dyDescent="0.2">
      <c r="G3118" s="31"/>
      <c r="H3118" s="31"/>
      <c r="I3118" s="31"/>
      <c r="J3118" s="31"/>
    </row>
    <row r="3119" spans="7:10" s="29" customFormat="1" x14ac:dyDescent="0.2">
      <c r="G3119" s="31"/>
      <c r="H3119" s="31"/>
      <c r="I3119" s="31"/>
      <c r="J3119" s="31"/>
    </row>
    <row r="3120" spans="7:10" s="29" customFormat="1" x14ac:dyDescent="0.2">
      <c r="G3120" s="31"/>
      <c r="H3120" s="31"/>
      <c r="I3120" s="31"/>
      <c r="J3120" s="31"/>
    </row>
    <row r="3121" spans="7:10" s="29" customFormat="1" x14ac:dyDescent="0.2">
      <c r="G3121" s="31"/>
      <c r="H3121" s="31"/>
      <c r="I3121" s="31"/>
      <c r="J3121" s="31"/>
    </row>
    <row r="3122" spans="7:10" s="29" customFormat="1" x14ac:dyDescent="0.2">
      <c r="G3122" s="31"/>
      <c r="H3122" s="31"/>
      <c r="I3122" s="31"/>
      <c r="J3122" s="31"/>
    </row>
    <row r="3123" spans="7:10" s="29" customFormat="1" x14ac:dyDescent="0.2">
      <c r="G3123" s="31"/>
      <c r="H3123" s="31"/>
      <c r="I3123" s="31"/>
      <c r="J3123" s="31"/>
    </row>
    <row r="3124" spans="7:10" s="29" customFormat="1" x14ac:dyDescent="0.2">
      <c r="G3124" s="31"/>
      <c r="H3124" s="31"/>
      <c r="I3124" s="31"/>
      <c r="J3124" s="31"/>
    </row>
    <row r="3125" spans="7:10" s="29" customFormat="1" x14ac:dyDescent="0.2">
      <c r="G3125" s="31"/>
      <c r="H3125" s="31"/>
      <c r="I3125" s="31"/>
      <c r="J3125" s="31"/>
    </row>
    <row r="3126" spans="7:10" s="29" customFormat="1" x14ac:dyDescent="0.2">
      <c r="G3126" s="31"/>
      <c r="H3126" s="31"/>
      <c r="I3126" s="31"/>
      <c r="J3126" s="31"/>
    </row>
    <row r="3127" spans="7:10" s="29" customFormat="1" x14ac:dyDescent="0.2">
      <c r="G3127" s="31"/>
      <c r="H3127" s="31"/>
      <c r="I3127" s="31"/>
      <c r="J3127" s="31"/>
    </row>
    <row r="3128" spans="7:10" s="29" customFormat="1" x14ac:dyDescent="0.2">
      <c r="G3128" s="31"/>
      <c r="H3128" s="31"/>
      <c r="I3128" s="31"/>
      <c r="J3128" s="31"/>
    </row>
    <row r="3129" spans="7:10" s="29" customFormat="1" x14ac:dyDescent="0.2">
      <c r="G3129" s="31"/>
      <c r="H3129" s="31"/>
      <c r="I3129" s="31"/>
      <c r="J3129" s="31"/>
    </row>
    <row r="3130" spans="7:10" s="29" customFormat="1" x14ac:dyDescent="0.2">
      <c r="G3130" s="31"/>
      <c r="H3130" s="31"/>
      <c r="I3130" s="31"/>
      <c r="J3130" s="31"/>
    </row>
    <row r="3131" spans="7:10" s="29" customFormat="1" x14ac:dyDescent="0.2">
      <c r="G3131" s="31"/>
      <c r="H3131" s="31"/>
      <c r="I3131" s="31"/>
      <c r="J3131" s="31"/>
    </row>
    <row r="3132" spans="7:10" s="29" customFormat="1" x14ac:dyDescent="0.2">
      <c r="G3132" s="31"/>
      <c r="H3132" s="31"/>
      <c r="I3132" s="31"/>
      <c r="J3132" s="31"/>
    </row>
    <row r="3133" spans="7:10" s="29" customFormat="1" x14ac:dyDescent="0.2">
      <c r="G3133" s="31"/>
      <c r="H3133" s="31"/>
      <c r="I3133" s="31"/>
      <c r="J3133" s="31"/>
    </row>
    <row r="3134" spans="7:10" s="29" customFormat="1" x14ac:dyDescent="0.2">
      <c r="G3134" s="31"/>
      <c r="H3134" s="31"/>
      <c r="I3134" s="31"/>
      <c r="J3134" s="31"/>
    </row>
    <row r="3135" spans="7:10" s="29" customFormat="1" x14ac:dyDescent="0.2">
      <c r="G3135" s="31"/>
      <c r="H3135" s="31"/>
      <c r="I3135" s="31"/>
      <c r="J3135" s="31"/>
    </row>
    <row r="3136" spans="7:10" s="29" customFormat="1" x14ac:dyDescent="0.2">
      <c r="G3136" s="31"/>
      <c r="H3136" s="31"/>
      <c r="I3136" s="31"/>
      <c r="J3136" s="31"/>
    </row>
    <row r="3137" spans="7:10" s="29" customFormat="1" x14ac:dyDescent="0.2">
      <c r="G3137" s="31"/>
      <c r="H3137" s="31"/>
      <c r="I3137" s="31"/>
      <c r="J3137" s="31"/>
    </row>
    <row r="3138" spans="7:10" s="29" customFormat="1" x14ac:dyDescent="0.2">
      <c r="G3138" s="31"/>
      <c r="H3138" s="31"/>
      <c r="I3138" s="31"/>
      <c r="J3138" s="31"/>
    </row>
    <row r="3139" spans="7:10" s="29" customFormat="1" x14ac:dyDescent="0.2">
      <c r="G3139" s="31"/>
      <c r="H3139" s="31"/>
      <c r="I3139" s="31"/>
      <c r="J3139" s="31"/>
    </row>
    <row r="3140" spans="7:10" s="29" customFormat="1" x14ac:dyDescent="0.2">
      <c r="G3140" s="31"/>
      <c r="H3140" s="31"/>
      <c r="I3140" s="31"/>
      <c r="J3140" s="31"/>
    </row>
    <row r="3141" spans="7:10" s="29" customFormat="1" x14ac:dyDescent="0.2">
      <c r="G3141" s="31"/>
      <c r="H3141" s="31"/>
      <c r="I3141" s="31"/>
      <c r="J3141" s="31"/>
    </row>
    <row r="3142" spans="7:10" s="29" customFormat="1" x14ac:dyDescent="0.2">
      <c r="G3142" s="31"/>
      <c r="H3142" s="31"/>
      <c r="I3142" s="31"/>
      <c r="J3142" s="31"/>
    </row>
    <row r="3143" spans="7:10" s="29" customFormat="1" x14ac:dyDescent="0.2">
      <c r="G3143" s="31"/>
      <c r="H3143" s="31"/>
      <c r="I3143" s="31"/>
      <c r="J3143" s="31"/>
    </row>
    <row r="3144" spans="7:10" s="29" customFormat="1" x14ac:dyDescent="0.2">
      <c r="G3144" s="31"/>
      <c r="H3144" s="31"/>
      <c r="I3144" s="31"/>
      <c r="J3144" s="31"/>
    </row>
    <row r="3145" spans="7:10" s="29" customFormat="1" x14ac:dyDescent="0.2">
      <c r="G3145" s="31"/>
      <c r="H3145" s="31"/>
      <c r="I3145" s="31"/>
      <c r="J3145" s="31"/>
    </row>
    <row r="3146" spans="7:10" s="29" customFormat="1" x14ac:dyDescent="0.2">
      <c r="G3146" s="31"/>
      <c r="H3146" s="31"/>
      <c r="I3146" s="31"/>
      <c r="J3146" s="31"/>
    </row>
    <row r="3147" spans="7:10" s="29" customFormat="1" x14ac:dyDescent="0.2">
      <c r="G3147" s="31"/>
      <c r="H3147" s="31"/>
      <c r="I3147" s="31"/>
      <c r="J3147" s="31"/>
    </row>
    <row r="3148" spans="7:10" s="29" customFormat="1" x14ac:dyDescent="0.2">
      <c r="G3148" s="31"/>
      <c r="H3148" s="31"/>
      <c r="I3148" s="31"/>
      <c r="J3148" s="31"/>
    </row>
    <row r="3149" spans="7:10" s="29" customFormat="1" x14ac:dyDescent="0.2">
      <c r="G3149" s="31"/>
      <c r="H3149" s="31"/>
      <c r="I3149" s="31"/>
      <c r="J3149" s="31"/>
    </row>
    <row r="3150" spans="7:10" s="29" customFormat="1" x14ac:dyDescent="0.2">
      <c r="G3150" s="31"/>
      <c r="H3150" s="31"/>
      <c r="I3150" s="31"/>
      <c r="J3150" s="31"/>
    </row>
    <row r="3151" spans="7:10" s="29" customFormat="1" x14ac:dyDescent="0.2">
      <c r="G3151" s="31"/>
      <c r="H3151" s="31"/>
      <c r="I3151" s="31"/>
      <c r="J3151" s="31"/>
    </row>
    <row r="3152" spans="7:10" s="29" customFormat="1" x14ac:dyDescent="0.2">
      <c r="G3152" s="31"/>
      <c r="H3152" s="31"/>
      <c r="I3152" s="31"/>
      <c r="J3152" s="31"/>
    </row>
    <row r="3153" spans="7:10" s="29" customFormat="1" x14ac:dyDescent="0.2">
      <c r="G3153" s="31"/>
      <c r="H3153" s="31"/>
      <c r="I3153" s="31"/>
      <c r="J3153" s="31"/>
    </row>
    <row r="3154" spans="7:10" s="29" customFormat="1" x14ac:dyDescent="0.2">
      <c r="G3154" s="31"/>
      <c r="H3154" s="31"/>
      <c r="I3154" s="31"/>
      <c r="J3154" s="31"/>
    </row>
    <row r="3155" spans="7:10" s="29" customFormat="1" x14ac:dyDescent="0.2">
      <c r="G3155" s="31"/>
      <c r="H3155" s="31"/>
      <c r="I3155" s="31"/>
      <c r="J3155" s="31"/>
    </row>
    <row r="3156" spans="7:10" s="29" customFormat="1" x14ac:dyDescent="0.2">
      <c r="G3156" s="31"/>
      <c r="H3156" s="31"/>
      <c r="I3156" s="31"/>
      <c r="J3156" s="31"/>
    </row>
    <row r="3157" spans="7:10" s="29" customFormat="1" x14ac:dyDescent="0.2">
      <c r="G3157" s="31"/>
      <c r="H3157" s="31"/>
      <c r="I3157" s="31"/>
      <c r="J3157" s="31"/>
    </row>
    <row r="3158" spans="7:10" s="29" customFormat="1" x14ac:dyDescent="0.2">
      <c r="G3158" s="31"/>
      <c r="H3158" s="31"/>
      <c r="I3158" s="31"/>
      <c r="J3158" s="31"/>
    </row>
    <row r="3159" spans="7:10" s="29" customFormat="1" x14ac:dyDescent="0.2">
      <c r="G3159" s="31"/>
      <c r="H3159" s="31"/>
      <c r="I3159" s="31"/>
      <c r="J3159" s="31"/>
    </row>
    <row r="3160" spans="7:10" s="29" customFormat="1" x14ac:dyDescent="0.2">
      <c r="G3160" s="31"/>
      <c r="H3160" s="31"/>
      <c r="I3160" s="31"/>
      <c r="J3160" s="31"/>
    </row>
    <row r="3161" spans="7:10" s="29" customFormat="1" x14ac:dyDescent="0.2">
      <c r="G3161" s="31"/>
      <c r="H3161" s="31"/>
      <c r="I3161" s="31"/>
      <c r="J3161" s="31"/>
    </row>
    <row r="3162" spans="7:10" s="29" customFormat="1" x14ac:dyDescent="0.2">
      <c r="G3162" s="31"/>
      <c r="H3162" s="31"/>
      <c r="I3162" s="31"/>
      <c r="J3162" s="31"/>
    </row>
    <row r="3163" spans="7:10" s="29" customFormat="1" x14ac:dyDescent="0.2">
      <c r="G3163" s="31"/>
      <c r="H3163" s="31"/>
      <c r="I3163" s="31"/>
      <c r="J3163" s="31"/>
    </row>
    <row r="3164" spans="7:10" s="29" customFormat="1" x14ac:dyDescent="0.2">
      <c r="G3164" s="31"/>
      <c r="H3164" s="31"/>
      <c r="I3164" s="31"/>
      <c r="J3164" s="31"/>
    </row>
    <row r="3165" spans="7:10" s="29" customFormat="1" x14ac:dyDescent="0.2">
      <c r="G3165" s="31"/>
      <c r="H3165" s="31"/>
      <c r="I3165" s="31"/>
      <c r="J3165" s="31"/>
    </row>
    <row r="3166" spans="7:10" s="29" customFormat="1" x14ac:dyDescent="0.2">
      <c r="G3166" s="31"/>
      <c r="H3166" s="31"/>
      <c r="I3166" s="31"/>
      <c r="J3166" s="31"/>
    </row>
    <row r="3167" spans="7:10" s="29" customFormat="1" x14ac:dyDescent="0.2">
      <c r="G3167" s="31"/>
      <c r="H3167" s="31"/>
      <c r="I3167" s="31"/>
      <c r="J3167" s="31"/>
    </row>
    <row r="3168" spans="7:10" s="29" customFormat="1" x14ac:dyDescent="0.2">
      <c r="G3168" s="31"/>
      <c r="H3168" s="31"/>
      <c r="I3168" s="31"/>
      <c r="J3168" s="31"/>
    </row>
    <row r="3169" spans="7:10" s="29" customFormat="1" x14ac:dyDescent="0.2">
      <c r="G3169" s="31"/>
      <c r="H3169" s="31"/>
      <c r="I3169" s="31"/>
      <c r="J3169" s="31"/>
    </row>
    <row r="3170" spans="7:10" s="29" customFormat="1" x14ac:dyDescent="0.2">
      <c r="G3170" s="31"/>
      <c r="H3170" s="31"/>
      <c r="I3170" s="31"/>
      <c r="J3170" s="31"/>
    </row>
    <row r="3171" spans="7:10" s="29" customFormat="1" x14ac:dyDescent="0.2">
      <c r="G3171" s="31"/>
      <c r="H3171" s="31"/>
      <c r="I3171" s="31"/>
      <c r="J3171" s="31"/>
    </row>
    <row r="3172" spans="7:10" s="29" customFormat="1" x14ac:dyDescent="0.2">
      <c r="G3172" s="31"/>
      <c r="H3172" s="31"/>
      <c r="I3172" s="31"/>
      <c r="J3172" s="31"/>
    </row>
    <row r="3173" spans="7:10" s="29" customFormat="1" x14ac:dyDescent="0.2">
      <c r="G3173" s="31"/>
      <c r="H3173" s="31"/>
      <c r="I3173" s="31"/>
      <c r="J3173" s="31"/>
    </row>
    <row r="3174" spans="7:10" s="29" customFormat="1" x14ac:dyDescent="0.2">
      <c r="G3174" s="31"/>
      <c r="H3174" s="31"/>
      <c r="I3174" s="31"/>
      <c r="J3174" s="31"/>
    </row>
    <row r="3175" spans="7:10" s="29" customFormat="1" x14ac:dyDescent="0.2">
      <c r="G3175" s="31"/>
      <c r="H3175" s="31"/>
      <c r="I3175" s="31"/>
      <c r="J3175" s="31"/>
    </row>
    <row r="3176" spans="7:10" s="29" customFormat="1" x14ac:dyDescent="0.2">
      <c r="G3176" s="31"/>
      <c r="H3176" s="31"/>
      <c r="I3176" s="31"/>
      <c r="J3176" s="31"/>
    </row>
    <row r="3177" spans="7:10" s="29" customFormat="1" x14ac:dyDescent="0.2">
      <c r="G3177" s="31"/>
      <c r="H3177" s="31"/>
      <c r="I3177" s="31"/>
      <c r="J3177" s="31"/>
    </row>
    <row r="3178" spans="7:10" s="29" customFormat="1" x14ac:dyDescent="0.2">
      <c r="G3178" s="31"/>
      <c r="H3178" s="31"/>
      <c r="I3178" s="31"/>
      <c r="J3178" s="31"/>
    </row>
    <row r="3179" spans="7:10" s="29" customFormat="1" x14ac:dyDescent="0.2">
      <c r="G3179" s="31"/>
      <c r="H3179" s="31"/>
      <c r="I3179" s="31"/>
      <c r="J3179" s="31"/>
    </row>
    <row r="3180" spans="7:10" s="29" customFormat="1" x14ac:dyDescent="0.2">
      <c r="G3180" s="31"/>
      <c r="H3180" s="31"/>
      <c r="I3180" s="31"/>
      <c r="J3180" s="31"/>
    </row>
    <row r="3181" spans="7:10" s="29" customFormat="1" x14ac:dyDescent="0.2">
      <c r="G3181" s="31"/>
      <c r="H3181" s="31"/>
      <c r="I3181" s="31"/>
      <c r="J3181" s="31"/>
    </row>
    <row r="3182" spans="7:10" s="29" customFormat="1" x14ac:dyDescent="0.2">
      <c r="G3182" s="31"/>
      <c r="H3182" s="31"/>
      <c r="I3182" s="31"/>
      <c r="J3182" s="31"/>
    </row>
    <row r="3183" spans="7:10" s="29" customFormat="1" x14ac:dyDescent="0.2">
      <c r="G3183" s="31"/>
      <c r="H3183" s="31"/>
      <c r="I3183" s="31"/>
      <c r="J3183" s="31"/>
    </row>
    <row r="3184" spans="7:10" s="29" customFormat="1" x14ac:dyDescent="0.2">
      <c r="G3184" s="31"/>
      <c r="H3184" s="31"/>
      <c r="I3184" s="31"/>
      <c r="J3184" s="31"/>
    </row>
    <row r="3185" spans="7:10" s="29" customFormat="1" x14ac:dyDescent="0.2">
      <c r="G3185" s="31"/>
      <c r="H3185" s="31"/>
      <c r="I3185" s="31"/>
      <c r="J3185" s="31"/>
    </row>
    <row r="3186" spans="7:10" s="29" customFormat="1" x14ac:dyDescent="0.2">
      <c r="G3186" s="31"/>
      <c r="H3186" s="31"/>
      <c r="I3186" s="31"/>
      <c r="J3186" s="31"/>
    </row>
    <row r="3187" spans="7:10" s="29" customFormat="1" x14ac:dyDescent="0.2">
      <c r="G3187" s="31"/>
      <c r="H3187" s="31"/>
      <c r="I3187" s="31"/>
      <c r="J3187" s="31"/>
    </row>
    <row r="3188" spans="7:10" s="29" customFormat="1" x14ac:dyDescent="0.2">
      <c r="G3188" s="31"/>
      <c r="H3188" s="31"/>
      <c r="I3188" s="31"/>
      <c r="J3188" s="31"/>
    </row>
    <row r="3189" spans="7:10" s="29" customFormat="1" x14ac:dyDescent="0.2">
      <c r="G3189" s="31"/>
      <c r="H3189" s="31"/>
      <c r="I3189" s="31"/>
      <c r="J3189" s="31"/>
    </row>
    <row r="3190" spans="7:10" s="29" customFormat="1" x14ac:dyDescent="0.2">
      <c r="G3190" s="31"/>
      <c r="H3190" s="31"/>
      <c r="I3190" s="31"/>
      <c r="J3190" s="31"/>
    </row>
    <row r="3191" spans="7:10" s="29" customFormat="1" x14ac:dyDescent="0.2">
      <c r="G3191" s="31"/>
      <c r="H3191" s="31"/>
      <c r="I3191" s="31"/>
      <c r="J3191" s="31"/>
    </row>
    <row r="3192" spans="7:10" s="29" customFormat="1" x14ac:dyDescent="0.2">
      <c r="G3192" s="31"/>
      <c r="H3192" s="31"/>
      <c r="I3192" s="31"/>
      <c r="J3192" s="31"/>
    </row>
    <row r="3193" spans="7:10" s="29" customFormat="1" x14ac:dyDescent="0.2">
      <c r="G3193" s="31"/>
      <c r="H3193" s="31"/>
      <c r="I3193" s="31"/>
      <c r="J3193" s="31"/>
    </row>
    <row r="3194" spans="7:10" s="29" customFormat="1" x14ac:dyDescent="0.2">
      <c r="G3194" s="31"/>
      <c r="H3194" s="31"/>
      <c r="I3194" s="31"/>
      <c r="J3194" s="31"/>
    </row>
    <row r="3195" spans="7:10" s="29" customFormat="1" x14ac:dyDescent="0.2">
      <c r="G3195" s="31"/>
      <c r="H3195" s="31"/>
      <c r="I3195" s="31"/>
      <c r="J3195" s="31"/>
    </row>
    <row r="3196" spans="7:10" s="29" customFormat="1" x14ac:dyDescent="0.2">
      <c r="G3196" s="31"/>
      <c r="H3196" s="31"/>
      <c r="I3196" s="31"/>
      <c r="J3196" s="31"/>
    </row>
    <row r="3197" spans="7:10" s="29" customFormat="1" x14ac:dyDescent="0.2">
      <c r="G3197" s="31"/>
      <c r="H3197" s="31"/>
      <c r="I3197" s="31"/>
      <c r="J3197" s="31"/>
    </row>
    <row r="3198" spans="7:10" s="29" customFormat="1" x14ac:dyDescent="0.2">
      <c r="G3198" s="31"/>
      <c r="H3198" s="31"/>
      <c r="I3198" s="31"/>
      <c r="J3198" s="31"/>
    </row>
    <row r="3199" spans="7:10" s="29" customFormat="1" x14ac:dyDescent="0.2">
      <c r="G3199" s="31"/>
      <c r="H3199" s="31"/>
      <c r="I3199" s="31"/>
      <c r="J3199" s="31"/>
    </row>
    <row r="3200" spans="7:10" s="29" customFormat="1" x14ac:dyDescent="0.2">
      <c r="G3200" s="31"/>
      <c r="H3200" s="31"/>
      <c r="I3200" s="31"/>
      <c r="J3200" s="31"/>
    </row>
    <row r="3201" spans="7:10" s="29" customFormat="1" x14ac:dyDescent="0.2">
      <c r="G3201" s="31"/>
      <c r="H3201" s="31"/>
      <c r="I3201" s="31"/>
      <c r="J3201" s="31"/>
    </row>
    <row r="3202" spans="7:10" s="29" customFormat="1" x14ac:dyDescent="0.2">
      <c r="G3202" s="31"/>
      <c r="H3202" s="31"/>
      <c r="I3202" s="31"/>
      <c r="J3202" s="31"/>
    </row>
    <row r="3203" spans="7:10" s="29" customFormat="1" x14ac:dyDescent="0.2">
      <c r="G3203" s="31"/>
      <c r="H3203" s="31"/>
      <c r="I3203" s="31"/>
      <c r="J3203" s="31"/>
    </row>
    <row r="3204" spans="7:10" s="29" customFormat="1" x14ac:dyDescent="0.2">
      <c r="G3204" s="31"/>
      <c r="H3204" s="31"/>
      <c r="I3204" s="31"/>
      <c r="J3204" s="31"/>
    </row>
    <row r="3205" spans="7:10" s="29" customFormat="1" x14ac:dyDescent="0.2">
      <c r="G3205" s="31"/>
      <c r="H3205" s="31"/>
      <c r="I3205" s="31"/>
      <c r="J3205" s="31"/>
    </row>
    <row r="3206" spans="7:10" s="29" customFormat="1" x14ac:dyDescent="0.2">
      <c r="G3206" s="31"/>
      <c r="H3206" s="31"/>
      <c r="I3206" s="31"/>
      <c r="J3206" s="31"/>
    </row>
    <row r="3207" spans="7:10" s="29" customFormat="1" x14ac:dyDescent="0.2">
      <c r="G3207" s="31"/>
      <c r="H3207" s="31"/>
      <c r="I3207" s="31"/>
      <c r="J3207" s="31"/>
    </row>
    <row r="3208" spans="7:10" s="29" customFormat="1" x14ac:dyDescent="0.2">
      <c r="G3208" s="31"/>
      <c r="H3208" s="31"/>
      <c r="I3208" s="31"/>
      <c r="J3208" s="31"/>
    </row>
    <row r="3209" spans="7:10" s="29" customFormat="1" x14ac:dyDescent="0.2">
      <c r="G3209" s="31"/>
      <c r="H3209" s="31"/>
      <c r="I3209" s="31"/>
      <c r="J3209" s="31"/>
    </row>
    <row r="3210" spans="7:10" s="29" customFormat="1" x14ac:dyDescent="0.2">
      <c r="G3210" s="31"/>
      <c r="H3210" s="31"/>
      <c r="I3210" s="31"/>
      <c r="J3210" s="31"/>
    </row>
    <row r="3211" spans="7:10" s="29" customFormat="1" x14ac:dyDescent="0.2">
      <c r="G3211" s="31"/>
      <c r="H3211" s="31"/>
      <c r="I3211" s="31"/>
      <c r="J3211" s="31"/>
    </row>
    <row r="3212" spans="7:10" s="29" customFormat="1" x14ac:dyDescent="0.2">
      <c r="G3212" s="31"/>
      <c r="H3212" s="31"/>
      <c r="I3212" s="31"/>
      <c r="J3212" s="31"/>
    </row>
    <row r="3213" spans="7:10" s="29" customFormat="1" x14ac:dyDescent="0.2">
      <c r="G3213" s="31"/>
      <c r="H3213" s="31"/>
      <c r="I3213" s="31"/>
      <c r="J3213" s="31"/>
    </row>
    <row r="3214" spans="7:10" s="29" customFormat="1" x14ac:dyDescent="0.2">
      <c r="G3214" s="31"/>
      <c r="H3214" s="31"/>
      <c r="I3214" s="31"/>
      <c r="J3214" s="31"/>
    </row>
    <row r="3215" spans="7:10" s="29" customFormat="1" x14ac:dyDescent="0.2">
      <c r="G3215" s="31"/>
      <c r="H3215" s="31"/>
      <c r="I3215" s="31"/>
      <c r="J3215" s="31"/>
    </row>
    <row r="3216" spans="7:10" s="29" customFormat="1" x14ac:dyDescent="0.2">
      <c r="G3216" s="31"/>
      <c r="H3216" s="31"/>
      <c r="I3216" s="31"/>
      <c r="J3216" s="31"/>
    </row>
    <row r="3217" spans="7:10" s="29" customFormat="1" x14ac:dyDescent="0.2">
      <c r="G3217" s="31"/>
      <c r="H3217" s="31"/>
      <c r="I3217" s="31"/>
      <c r="J3217" s="31"/>
    </row>
    <row r="3218" spans="7:10" s="29" customFormat="1" x14ac:dyDescent="0.2">
      <c r="G3218" s="31"/>
      <c r="H3218" s="31"/>
      <c r="I3218" s="31"/>
      <c r="J3218" s="31"/>
    </row>
    <row r="3219" spans="7:10" s="29" customFormat="1" x14ac:dyDescent="0.2">
      <c r="G3219" s="31"/>
      <c r="H3219" s="31"/>
      <c r="I3219" s="31"/>
      <c r="J3219" s="31"/>
    </row>
    <row r="3220" spans="7:10" s="29" customFormat="1" x14ac:dyDescent="0.2">
      <c r="G3220" s="31"/>
      <c r="H3220" s="31"/>
      <c r="I3220" s="31"/>
      <c r="J3220" s="31"/>
    </row>
    <row r="3221" spans="7:10" s="29" customFormat="1" x14ac:dyDescent="0.2">
      <c r="G3221" s="31"/>
      <c r="H3221" s="31"/>
      <c r="I3221" s="31"/>
      <c r="J3221" s="31"/>
    </row>
    <row r="3222" spans="7:10" s="29" customFormat="1" x14ac:dyDescent="0.2">
      <c r="G3222" s="31"/>
      <c r="H3222" s="31"/>
      <c r="I3222" s="31"/>
      <c r="J3222" s="31"/>
    </row>
    <row r="3223" spans="7:10" s="29" customFormat="1" x14ac:dyDescent="0.2">
      <c r="G3223" s="31"/>
      <c r="H3223" s="31"/>
      <c r="I3223" s="31"/>
      <c r="J3223" s="31"/>
    </row>
    <row r="3224" spans="7:10" s="29" customFormat="1" x14ac:dyDescent="0.2">
      <c r="G3224" s="31"/>
      <c r="H3224" s="31"/>
      <c r="I3224" s="31"/>
      <c r="J3224" s="31"/>
    </row>
    <row r="3225" spans="7:10" s="29" customFormat="1" x14ac:dyDescent="0.2">
      <c r="G3225" s="31"/>
      <c r="H3225" s="31"/>
      <c r="I3225" s="31"/>
      <c r="J3225" s="31"/>
    </row>
    <row r="3226" spans="7:10" s="29" customFormat="1" x14ac:dyDescent="0.2">
      <c r="G3226" s="31"/>
      <c r="H3226" s="31"/>
      <c r="I3226" s="31"/>
      <c r="J3226" s="31"/>
    </row>
    <row r="3227" spans="7:10" s="29" customFormat="1" x14ac:dyDescent="0.2">
      <c r="G3227" s="31"/>
      <c r="H3227" s="31"/>
      <c r="I3227" s="31"/>
      <c r="J3227" s="31"/>
    </row>
    <row r="3228" spans="7:10" s="29" customFormat="1" x14ac:dyDescent="0.2">
      <c r="G3228" s="31"/>
      <c r="H3228" s="31"/>
      <c r="I3228" s="31"/>
      <c r="J3228" s="31"/>
    </row>
    <row r="3229" spans="7:10" s="29" customFormat="1" x14ac:dyDescent="0.2">
      <c r="G3229" s="31"/>
      <c r="H3229" s="31"/>
      <c r="I3229" s="31"/>
      <c r="J3229" s="31"/>
    </row>
    <row r="3230" spans="7:10" s="29" customFormat="1" x14ac:dyDescent="0.2">
      <c r="G3230" s="31"/>
      <c r="H3230" s="31"/>
      <c r="I3230" s="31"/>
      <c r="J3230" s="31"/>
    </row>
    <row r="3231" spans="7:10" s="29" customFormat="1" x14ac:dyDescent="0.2">
      <c r="G3231" s="31"/>
      <c r="H3231" s="31"/>
      <c r="I3231" s="31"/>
      <c r="J3231" s="31"/>
    </row>
    <row r="3232" spans="7:10" s="29" customFormat="1" x14ac:dyDescent="0.2">
      <c r="G3232" s="31"/>
      <c r="H3232" s="31"/>
      <c r="I3232" s="31"/>
      <c r="J3232" s="31"/>
    </row>
    <row r="3233" spans="7:10" s="29" customFormat="1" x14ac:dyDescent="0.2">
      <c r="G3233" s="31"/>
      <c r="H3233" s="31"/>
      <c r="I3233" s="31"/>
      <c r="J3233" s="31"/>
    </row>
    <row r="3234" spans="7:10" s="29" customFormat="1" x14ac:dyDescent="0.2">
      <c r="G3234" s="31"/>
      <c r="H3234" s="31"/>
      <c r="I3234" s="31"/>
      <c r="J3234" s="31"/>
    </row>
    <row r="3235" spans="7:10" s="29" customFormat="1" x14ac:dyDescent="0.2">
      <c r="G3235" s="31"/>
      <c r="H3235" s="31"/>
      <c r="I3235" s="31"/>
      <c r="J3235" s="31"/>
    </row>
    <row r="3236" spans="7:10" s="29" customFormat="1" x14ac:dyDescent="0.2">
      <c r="G3236" s="31"/>
      <c r="H3236" s="31"/>
      <c r="I3236" s="31"/>
      <c r="J3236" s="31"/>
    </row>
    <row r="3237" spans="7:10" s="29" customFormat="1" x14ac:dyDescent="0.2">
      <c r="G3237" s="31"/>
      <c r="H3237" s="31"/>
      <c r="I3237" s="31"/>
      <c r="J3237" s="31"/>
    </row>
    <row r="3238" spans="7:10" s="29" customFormat="1" x14ac:dyDescent="0.2">
      <c r="G3238" s="31"/>
      <c r="H3238" s="31"/>
      <c r="I3238" s="31"/>
      <c r="J3238" s="31"/>
    </row>
    <row r="3239" spans="7:10" s="29" customFormat="1" x14ac:dyDescent="0.2">
      <c r="G3239" s="31"/>
      <c r="H3239" s="31"/>
      <c r="I3239" s="31"/>
      <c r="J3239" s="31"/>
    </row>
    <row r="3240" spans="7:10" s="29" customFormat="1" x14ac:dyDescent="0.2">
      <c r="G3240" s="31"/>
      <c r="H3240" s="31"/>
      <c r="I3240" s="31"/>
      <c r="J3240" s="31"/>
    </row>
    <row r="3241" spans="7:10" s="29" customFormat="1" x14ac:dyDescent="0.2">
      <c r="G3241" s="31"/>
      <c r="H3241" s="31"/>
      <c r="I3241" s="31"/>
      <c r="J3241" s="31"/>
    </row>
    <row r="3242" spans="7:10" s="29" customFormat="1" x14ac:dyDescent="0.2">
      <c r="G3242" s="31"/>
      <c r="H3242" s="31"/>
      <c r="I3242" s="31"/>
      <c r="J3242" s="31"/>
    </row>
    <row r="3243" spans="7:10" s="29" customFormat="1" x14ac:dyDescent="0.2">
      <c r="G3243" s="31"/>
      <c r="H3243" s="31"/>
      <c r="I3243" s="31"/>
      <c r="J3243" s="31"/>
    </row>
    <row r="3244" spans="7:10" s="29" customFormat="1" x14ac:dyDescent="0.2">
      <c r="G3244" s="31"/>
      <c r="H3244" s="31"/>
      <c r="I3244" s="31"/>
      <c r="J3244" s="31"/>
    </row>
    <row r="3245" spans="7:10" s="29" customFormat="1" x14ac:dyDescent="0.2">
      <c r="G3245" s="31"/>
      <c r="H3245" s="31"/>
      <c r="I3245" s="31"/>
      <c r="J3245" s="31"/>
    </row>
    <row r="3246" spans="7:10" s="29" customFormat="1" x14ac:dyDescent="0.2">
      <c r="G3246" s="31"/>
      <c r="H3246" s="31"/>
      <c r="I3246" s="31"/>
      <c r="J3246" s="31"/>
    </row>
    <row r="3247" spans="7:10" s="29" customFormat="1" x14ac:dyDescent="0.2">
      <c r="G3247" s="31"/>
      <c r="H3247" s="31"/>
      <c r="I3247" s="31"/>
      <c r="J3247" s="31"/>
    </row>
    <row r="3248" spans="7:10" s="29" customFormat="1" x14ac:dyDescent="0.2">
      <c r="G3248" s="31"/>
      <c r="H3248" s="31"/>
      <c r="I3248" s="31"/>
      <c r="J3248" s="31"/>
    </row>
    <row r="3249" spans="7:10" s="29" customFormat="1" x14ac:dyDescent="0.2">
      <c r="G3249" s="31"/>
      <c r="H3249" s="31"/>
      <c r="I3249" s="31"/>
      <c r="J3249" s="31"/>
    </row>
    <row r="3250" spans="7:10" s="29" customFormat="1" x14ac:dyDescent="0.2">
      <c r="G3250" s="31"/>
      <c r="H3250" s="31"/>
      <c r="I3250" s="31"/>
      <c r="J3250" s="31"/>
    </row>
    <row r="3251" spans="7:10" s="29" customFormat="1" x14ac:dyDescent="0.2">
      <c r="G3251" s="31"/>
      <c r="H3251" s="31"/>
      <c r="I3251" s="31"/>
      <c r="J3251" s="31"/>
    </row>
    <row r="3252" spans="7:10" s="29" customFormat="1" x14ac:dyDescent="0.2">
      <c r="G3252" s="31"/>
      <c r="H3252" s="31"/>
      <c r="I3252" s="31"/>
      <c r="J3252" s="31"/>
    </row>
    <row r="3253" spans="7:10" s="29" customFormat="1" x14ac:dyDescent="0.2">
      <c r="G3253" s="31"/>
      <c r="H3253" s="31"/>
      <c r="I3253" s="31"/>
      <c r="J3253" s="31"/>
    </row>
    <row r="3254" spans="7:10" s="29" customFormat="1" x14ac:dyDescent="0.2">
      <c r="G3254" s="31"/>
      <c r="H3254" s="31"/>
      <c r="I3254" s="31"/>
      <c r="J3254" s="31"/>
    </row>
    <row r="3255" spans="7:10" s="29" customFormat="1" x14ac:dyDescent="0.2">
      <c r="G3255" s="31"/>
      <c r="H3255" s="31"/>
      <c r="I3255" s="31"/>
      <c r="J3255" s="31"/>
    </row>
    <row r="3256" spans="7:10" s="29" customFormat="1" x14ac:dyDescent="0.2">
      <c r="G3256" s="31"/>
      <c r="H3256" s="31"/>
      <c r="I3256" s="31"/>
      <c r="J3256" s="31"/>
    </row>
    <row r="3257" spans="7:10" s="29" customFormat="1" x14ac:dyDescent="0.2">
      <c r="G3257" s="31"/>
      <c r="H3257" s="31"/>
      <c r="I3257" s="31"/>
      <c r="J3257" s="31"/>
    </row>
    <row r="3258" spans="7:10" s="29" customFormat="1" x14ac:dyDescent="0.2">
      <c r="G3258" s="31"/>
      <c r="H3258" s="31"/>
      <c r="I3258" s="31"/>
      <c r="J3258" s="31"/>
    </row>
    <row r="3259" spans="7:10" s="29" customFormat="1" x14ac:dyDescent="0.2">
      <c r="G3259" s="31"/>
      <c r="H3259" s="31"/>
      <c r="I3259" s="31"/>
      <c r="J3259" s="31"/>
    </row>
    <row r="3260" spans="7:10" s="29" customFormat="1" x14ac:dyDescent="0.2">
      <c r="G3260" s="31"/>
      <c r="H3260" s="31"/>
      <c r="I3260" s="31"/>
      <c r="J3260" s="31"/>
    </row>
    <row r="3261" spans="7:10" s="29" customFormat="1" x14ac:dyDescent="0.2">
      <c r="G3261" s="31"/>
      <c r="H3261" s="31"/>
      <c r="I3261" s="31"/>
      <c r="J3261" s="31"/>
    </row>
    <row r="3262" spans="7:10" s="29" customFormat="1" x14ac:dyDescent="0.2">
      <c r="G3262" s="31"/>
      <c r="H3262" s="31"/>
      <c r="I3262" s="31"/>
      <c r="J3262" s="31"/>
    </row>
    <row r="3263" spans="7:10" s="29" customFormat="1" x14ac:dyDescent="0.2">
      <c r="G3263" s="31"/>
      <c r="H3263" s="31"/>
      <c r="I3263" s="31"/>
      <c r="J3263" s="31"/>
    </row>
    <row r="3264" spans="7:10" s="29" customFormat="1" x14ac:dyDescent="0.2">
      <c r="G3264" s="31"/>
      <c r="H3264" s="31"/>
      <c r="I3264" s="31"/>
      <c r="J3264" s="31"/>
    </row>
    <row r="3265" spans="7:10" s="29" customFormat="1" x14ac:dyDescent="0.2">
      <c r="G3265" s="31"/>
      <c r="H3265" s="31"/>
      <c r="I3265" s="31"/>
      <c r="J3265" s="31"/>
    </row>
    <row r="3266" spans="7:10" s="29" customFormat="1" x14ac:dyDescent="0.2">
      <c r="G3266" s="31"/>
      <c r="H3266" s="31"/>
      <c r="I3266" s="31"/>
      <c r="J3266" s="31"/>
    </row>
    <row r="3267" spans="7:10" s="29" customFormat="1" x14ac:dyDescent="0.2">
      <c r="G3267" s="31"/>
      <c r="H3267" s="31"/>
      <c r="I3267" s="31"/>
      <c r="J3267" s="31"/>
    </row>
    <row r="3268" spans="7:10" s="29" customFormat="1" x14ac:dyDescent="0.2">
      <c r="G3268" s="31"/>
      <c r="H3268" s="31"/>
      <c r="I3268" s="31"/>
      <c r="J3268" s="31"/>
    </row>
    <row r="3269" spans="7:10" s="29" customFormat="1" x14ac:dyDescent="0.2">
      <c r="G3269" s="31"/>
      <c r="H3269" s="31"/>
      <c r="I3269" s="31"/>
      <c r="J3269" s="31"/>
    </row>
    <row r="3270" spans="7:10" s="29" customFormat="1" x14ac:dyDescent="0.2">
      <c r="G3270" s="31"/>
      <c r="H3270" s="31"/>
      <c r="I3270" s="31"/>
      <c r="J3270" s="31"/>
    </row>
    <row r="3271" spans="7:10" s="29" customFormat="1" x14ac:dyDescent="0.2">
      <c r="G3271" s="31"/>
      <c r="H3271" s="31"/>
      <c r="I3271" s="31"/>
      <c r="J3271" s="31"/>
    </row>
    <row r="3272" spans="7:10" s="29" customFormat="1" x14ac:dyDescent="0.2">
      <c r="G3272" s="31"/>
      <c r="H3272" s="31"/>
      <c r="I3272" s="31"/>
      <c r="J3272" s="31"/>
    </row>
    <row r="3273" spans="7:10" s="29" customFormat="1" x14ac:dyDescent="0.2">
      <c r="G3273" s="31"/>
      <c r="H3273" s="31"/>
      <c r="I3273" s="31"/>
      <c r="J3273" s="31"/>
    </row>
    <row r="3274" spans="7:10" s="29" customFormat="1" x14ac:dyDescent="0.2">
      <c r="G3274" s="31"/>
      <c r="H3274" s="31"/>
      <c r="I3274" s="31"/>
      <c r="J3274" s="31"/>
    </row>
    <row r="3275" spans="7:10" s="29" customFormat="1" x14ac:dyDescent="0.2">
      <c r="G3275" s="31"/>
      <c r="H3275" s="31"/>
      <c r="I3275" s="31"/>
      <c r="J3275" s="31"/>
    </row>
    <row r="3276" spans="7:10" s="29" customFormat="1" x14ac:dyDescent="0.2">
      <c r="G3276" s="31"/>
      <c r="H3276" s="31"/>
      <c r="I3276" s="31"/>
      <c r="J3276" s="31"/>
    </row>
    <row r="3277" spans="7:10" s="29" customFormat="1" x14ac:dyDescent="0.2">
      <c r="G3277" s="31"/>
      <c r="H3277" s="31"/>
      <c r="I3277" s="31"/>
      <c r="J3277" s="31"/>
    </row>
    <row r="3278" spans="7:10" s="29" customFormat="1" x14ac:dyDescent="0.2">
      <c r="G3278" s="31"/>
      <c r="H3278" s="31"/>
      <c r="I3278" s="31"/>
      <c r="J3278" s="31"/>
    </row>
    <row r="3279" spans="7:10" s="29" customFormat="1" x14ac:dyDescent="0.2">
      <c r="G3279" s="31"/>
      <c r="H3279" s="31"/>
      <c r="I3279" s="31"/>
      <c r="J3279" s="31"/>
    </row>
    <row r="3280" spans="7:10" s="29" customFormat="1" x14ac:dyDescent="0.2">
      <c r="G3280" s="31"/>
      <c r="H3280" s="31"/>
      <c r="I3280" s="31"/>
      <c r="J3280" s="31"/>
    </row>
    <row r="3281" spans="7:10" s="29" customFormat="1" x14ac:dyDescent="0.2">
      <c r="G3281" s="31"/>
      <c r="H3281" s="31"/>
      <c r="I3281" s="31"/>
      <c r="J3281" s="31"/>
    </row>
    <row r="3282" spans="7:10" s="29" customFormat="1" x14ac:dyDescent="0.2">
      <c r="G3282" s="31"/>
      <c r="H3282" s="31"/>
      <c r="I3282" s="31"/>
      <c r="J3282" s="31"/>
    </row>
    <row r="3283" spans="7:10" s="29" customFormat="1" x14ac:dyDescent="0.2">
      <c r="G3283" s="31"/>
      <c r="H3283" s="31"/>
      <c r="I3283" s="31"/>
      <c r="J3283" s="31"/>
    </row>
    <row r="3284" spans="7:10" s="29" customFormat="1" x14ac:dyDescent="0.2">
      <c r="G3284" s="31"/>
      <c r="H3284" s="31"/>
      <c r="I3284" s="31"/>
      <c r="J3284" s="31"/>
    </row>
    <row r="3285" spans="7:10" s="29" customFormat="1" x14ac:dyDescent="0.2">
      <c r="G3285" s="31"/>
      <c r="H3285" s="31"/>
      <c r="I3285" s="31"/>
      <c r="J3285" s="31"/>
    </row>
    <row r="3286" spans="7:10" s="29" customFormat="1" x14ac:dyDescent="0.2">
      <c r="G3286" s="31"/>
      <c r="H3286" s="31"/>
      <c r="I3286" s="31"/>
      <c r="J3286" s="31"/>
    </row>
    <row r="3287" spans="7:10" s="29" customFormat="1" x14ac:dyDescent="0.2">
      <c r="G3287" s="31"/>
      <c r="H3287" s="31"/>
      <c r="I3287" s="31"/>
      <c r="J3287" s="31"/>
    </row>
    <row r="3288" spans="7:10" s="29" customFormat="1" x14ac:dyDescent="0.2">
      <c r="G3288" s="31"/>
      <c r="H3288" s="31"/>
      <c r="I3288" s="31"/>
      <c r="J3288" s="31"/>
    </row>
    <row r="3289" spans="7:10" s="29" customFormat="1" x14ac:dyDescent="0.2">
      <c r="G3289" s="31"/>
      <c r="H3289" s="31"/>
      <c r="I3289" s="31"/>
      <c r="J3289" s="31"/>
    </row>
    <row r="3290" spans="7:10" s="29" customFormat="1" x14ac:dyDescent="0.2">
      <c r="G3290" s="31"/>
      <c r="H3290" s="31"/>
      <c r="I3290" s="31"/>
      <c r="J3290" s="31"/>
    </row>
    <row r="3291" spans="7:10" s="29" customFormat="1" x14ac:dyDescent="0.2">
      <c r="G3291" s="31"/>
      <c r="H3291" s="31"/>
      <c r="I3291" s="31"/>
      <c r="J3291" s="31"/>
    </row>
    <row r="3292" spans="7:10" s="29" customFormat="1" x14ac:dyDescent="0.2">
      <c r="G3292" s="31"/>
      <c r="H3292" s="31"/>
      <c r="I3292" s="31"/>
      <c r="J3292" s="31"/>
    </row>
    <row r="3293" spans="7:10" s="29" customFormat="1" x14ac:dyDescent="0.2">
      <c r="G3293" s="31"/>
      <c r="H3293" s="31"/>
      <c r="I3293" s="31"/>
      <c r="J3293" s="31"/>
    </row>
    <row r="3294" spans="7:10" s="29" customFormat="1" x14ac:dyDescent="0.2">
      <c r="G3294" s="31"/>
      <c r="H3294" s="31"/>
      <c r="I3294" s="31"/>
      <c r="J3294" s="31"/>
    </row>
    <row r="3295" spans="7:10" s="29" customFormat="1" x14ac:dyDescent="0.2">
      <c r="G3295" s="31"/>
      <c r="H3295" s="31"/>
      <c r="I3295" s="31"/>
      <c r="J3295" s="31"/>
    </row>
    <row r="3296" spans="7:10" s="29" customFormat="1" x14ac:dyDescent="0.2">
      <c r="G3296" s="31"/>
      <c r="H3296" s="31"/>
      <c r="I3296" s="31"/>
      <c r="J3296" s="31"/>
    </row>
    <row r="3297" spans="7:10" s="29" customFormat="1" x14ac:dyDescent="0.2">
      <c r="G3297" s="31"/>
      <c r="H3297" s="31"/>
      <c r="I3297" s="31"/>
      <c r="J3297" s="31"/>
    </row>
    <row r="3298" spans="7:10" s="29" customFormat="1" x14ac:dyDescent="0.2">
      <c r="G3298" s="31"/>
      <c r="H3298" s="31"/>
      <c r="I3298" s="31"/>
      <c r="J3298" s="31"/>
    </row>
    <row r="3299" spans="7:10" s="29" customFormat="1" x14ac:dyDescent="0.2">
      <c r="G3299" s="31"/>
      <c r="H3299" s="31"/>
      <c r="I3299" s="31"/>
      <c r="J3299" s="31"/>
    </row>
    <row r="3300" spans="7:10" s="29" customFormat="1" x14ac:dyDescent="0.2">
      <c r="G3300" s="31"/>
      <c r="H3300" s="31"/>
      <c r="I3300" s="31"/>
      <c r="J3300" s="31"/>
    </row>
    <row r="3301" spans="7:10" s="29" customFormat="1" x14ac:dyDescent="0.2">
      <c r="G3301" s="31"/>
      <c r="H3301" s="31"/>
      <c r="I3301" s="31"/>
      <c r="J3301" s="31"/>
    </row>
    <row r="3302" spans="7:10" s="29" customFormat="1" x14ac:dyDescent="0.2">
      <c r="G3302" s="31"/>
      <c r="H3302" s="31"/>
      <c r="I3302" s="31"/>
      <c r="J3302" s="31"/>
    </row>
    <row r="3303" spans="7:10" s="29" customFormat="1" x14ac:dyDescent="0.2">
      <c r="G3303" s="31"/>
      <c r="H3303" s="31"/>
      <c r="I3303" s="31"/>
      <c r="J3303" s="31"/>
    </row>
    <row r="3304" spans="7:10" s="29" customFormat="1" x14ac:dyDescent="0.2">
      <c r="G3304" s="31"/>
      <c r="H3304" s="31"/>
      <c r="I3304" s="31"/>
      <c r="J3304" s="31"/>
    </row>
    <row r="3305" spans="7:10" s="29" customFormat="1" x14ac:dyDescent="0.2">
      <c r="G3305" s="31"/>
      <c r="H3305" s="31"/>
      <c r="I3305" s="31"/>
      <c r="J3305" s="31"/>
    </row>
    <row r="3306" spans="7:10" s="29" customFormat="1" x14ac:dyDescent="0.2">
      <c r="G3306" s="31"/>
      <c r="H3306" s="31"/>
      <c r="I3306" s="31"/>
      <c r="J3306" s="31"/>
    </row>
    <row r="3307" spans="7:10" s="29" customFormat="1" x14ac:dyDescent="0.2">
      <c r="G3307" s="31"/>
      <c r="H3307" s="31"/>
      <c r="I3307" s="31"/>
      <c r="J3307" s="31"/>
    </row>
    <row r="3308" spans="7:10" s="29" customFormat="1" x14ac:dyDescent="0.2">
      <c r="G3308" s="31"/>
      <c r="H3308" s="31"/>
      <c r="I3308" s="31"/>
      <c r="J3308" s="31"/>
    </row>
    <row r="3309" spans="7:10" s="29" customFormat="1" x14ac:dyDescent="0.2">
      <c r="G3309" s="31"/>
      <c r="H3309" s="31"/>
      <c r="I3309" s="31"/>
      <c r="J3309" s="31"/>
    </row>
    <row r="3310" spans="7:10" s="29" customFormat="1" x14ac:dyDescent="0.2">
      <c r="G3310" s="31"/>
      <c r="H3310" s="31"/>
      <c r="I3310" s="31"/>
      <c r="J3310" s="31"/>
    </row>
    <row r="3311" spans="7:10" s="29" customFormat="1" x14ac:dyDescent="0.2">
      <c r="G3311" s="31"/>
      <c r="H3311" s="31"/>
      <c r="I3311" s="31"/>
      <c r="J3311" s="31"/>
    </row>
    <row r="3312" spans="7:10" s="29" customFormat="1" x14ac:dyDescent="0.2">
      <c r="G3312" s="31"/>
      <c r="H3312" s="31"/>
      <c r="I3312" s="31"/>
      <c r="J3312" s="31"/>
    </row>
    <row r="3313" spans="7:10" s="29" customFormat="1" x14ac:dyDescent="0.2">
      <c r="G3313" s="31"/>
      <c r="H3313" s="31"/>
      <c r="I3313" s="31"/>
      <c r="J3313" s="31"/>
    </row>
    <row r="3314" spans="7:10" s="29" customFormat="1" x14ac:dyDescent="0.2">
      <c r="G3314" s="31"/>
      <c r="H3314" s="31"/>
      <c r="I3314" s="31"/>
      <c r="J3314" s="31"/>
    </row>
    <row r="3315" spans="7:10" s="29" customFormat="1" x14ac:dyDescent="0.2">
      <c r="G3315" s="31"/>
      <c r="H3315" s="31"/>
      <c r="I3315" s="31"/>
      <c r="J3315" s="31"/>
    </row>
    <row r="3316" spans="7:10" s="29" customFormat="1" x14ac:dyDescent="0.2">
      <c r="G3316" s="31"/>
      <c r="H3316" s="31"/>
      <c r="I3316" s="31"/>
      <c r="J3316" s="31"/>
    </row>
    <row r="3317" spans="7:10" s="29" customFormat="1" x14ac:dyDescent="0.2">
      <c r="G3317" s="31"/>
      <c r="H3317" s="31"/>
      <c r="I3317" s="31"/>
      <c r="J3317" s="31"/>
    </row>
    <row r="3318" spans="7:10" s="29" customFormat="1" x14ac:dyDescent="0.2">
      <c r="G3318" s="31"/>
      <c r="H3318" s="31"/>
      <c r="I3318" s="31"/>
      <c r="J3318" s="31"/>
    </row>
    <row r="3319" spans="7:10" s="29" customFormat="1" x14ac:dyDescent="0.2">
      <c r="G3319" s="31"/>
      <c r="H3319" s="31"/>
      <c r="I3319" s="31"/>
      <c r="J3319" s="31"/>
    </row>
    <row r="3320" spans="7:10" s="29" customFormat="1" x14ac:dyDescent="0.2">
      <c r="G3320" s="31"/>
      <c r="H3320" s="31"/>
      <c r="I3320" s="31"/>
      <c r="J3320" s="31"/>
    </row>
    <row r="3321" spans="7:10" s="29" customFormat="1" x14ac:dyDescent="0.2">
      <c r="G3321" s="31"/>
      <c r="H3321" s="31"/>
      <c r="I3321" s="31"/>
      <c r="J3321" s="31"/>
    </row>
    <row r="3322" spans="7:10" s="29" customFormat="1" x14ac:dyDescent="0.2">
      <c r="G3322" s="31"/>
      <c r="H3322" s="31"/>
      <c r="I3322" s="31"/>
      <c r="J3322" s="31"/>
    </row>
    <row r="3323" spans="7:10" s="29" customFormat="1" x14ac:dyDescent="0.2">
      <c r="G3323" s="31"/>
      <c r="H3323" s="31"/>
      <c r="I3323" s="31"/>
      <c r="J3323" s="31"/>
    </row>
    <row r="3324" spans="7:10" s="29" customFormat="1" x14ac:dyDescent="0.2">
      <c r="G3324" s="31"/>
      <c r="H3324" s="31"/>
      <c r="I3324" s="31"/>
      <c r="J3324" s="31"/>
    </row>
    <row r="3325" spans="7:10" s="29" customFormat="1" x14ac:dyDescent="0.2">
      <c r="G3325" s="31"/>
      <c r="H3325" s="31"/>
      <c r="I3325" s="31"/>
      <c r="J3325" s="31"/>
    </row>
    <row r="3326" spans="7:10" s="29" customFormat="1" x14ac:dyDescent="0.2">
      <c r="G3326" s="31"/>
      <c r="H3326" s="31"/>
      <c r="I3326" s="31"/>
      <c r="J3326" s="31"/>
    </row>
    <row r="3327" spans="7:10" s="29" customFormat="1" x14ac:dyDescent="0.2">
      <c r="G3327" s="31"/>
      <c r="H3327" s="31"/>
      <c r="I3327" s="31"/>
      <c r="J3327" s="31"/>
    </row>
    <row r="3328" spans="7:10" s="29" customFormat="1" x14ac:dyDescent="0.2">
      <c r="G3328" s="31"/>
      <c r="H3328" s="31"/>
      <c r="I3328" s="31"/>
      <c r="J3328" s="31"/>
    </row>
    <row r="3329" spans="7:10" s="29" customFormat="1" x14ac:dyDescent="0.2">
      <c r="G3329" s="31"/>
      <c r="H3329" s="31"/>
      <c r="I3329" s="31"/>
      <c r="J3329" s="31"/>
    </row>
    <row r="3330" spans="7:10" s="29" customFormat="1" x14ac:dyDescent="0.2">
      <c r="G3330" s="31"/>
      <c r="H3330" s="31"/>
      <c r="I3330" s="31"/>
      <c r="J3330" s="31"/>
    </row>
    <row r="3331" spans="7:10" s="29" customFormat="1" x14ac:dyDescent="0.2">
      <c r="G3331" s="31"/>
      <c r="H3331" s="31"/>
      <c r="I3331" s="31"/>
      <c r="J3331" s="31"/>
    </row>
    <row r="3332" spans="7:10" s="29" customFormat="1" x14ac:dyDescent="0.2">
      <c r="G3332" s="31"/>
      <c r="H3332" s="31"/>
      <c r="I3332" s="31"/>
      <c r="J3332" s="31"/>
    </row>
    <row r="3333" spans="7:10" s="29" customFormat="1" x14ac:dyDescent="0.2">
      <c r="G3333" s="31"/>
      <c r="H3333" s="31"/>
      <c r="I3333" s="31"/>
      <c r="J3333" s="31"/>
    </row>
    <row r="3334" spans="7:10" s="29" customFormat="1" x14ac:dyDescent="0.2">
      <c r="G3334" s="31"/>
      <c r="H3334" s="31"/>
      <c r="I3334" s="31"/>
      <c r="J3334" s="31"/>
    </row>
    <row r="3335" spans="7:10" s="29" customFormat="1" x14ac:dyDescent="0.2">
      <c r="G3335" s="31"/>
      <c r="H3335" s="31"/>
      <c r="I3335" s="31"/>
      <c r="J3335" s="31"/>
    </row>
    <row r="3336" spans="7:10" s="29" customFormat="1" x14ac:dyDescent="0.2">
      <c r="G3336" s="31"/>
      <c r="H3336" s="31"/>
      <c r="I3336" s="31"/>
      <c r="J3336" s="31"/>
    </row>
    <row r="3337" spans="7:10" s="29" customFormat="1" x14ac:dyDescent="0.2">
      <c r="G3337" s="31"/>
      <c r="H3337" s="31"/>
      <c r="I3337" s="31"/>
      <c r="J3337" s="31"/>
    </row>
    <row r="3338" spans="7:10" s="29" customFormat="1" x14ac:dyDescent="0.2">
      <c r="G3338" s="31"/>
      <c r="H3338" s="31"/>
      <c r="I3338" s="31"/>
      <c r="J3338" s="31"/>
    </row>
    <row r="3339" spans="7:10" s="29" customFormat="1" x14ac:dyDescent="0.2">
      <c r="G3339" s="31"/>
      <c r="H3339" s="31"/>
      <c r="I3339" s="31"/>
      <c r="J3339" s="31"/>
    </row>
    <row r="3340" spans="7:10" s="29" customFormat="1" x14ac:dyDescent="0.2">
      <c r="G3340" s="31"/>
      <c r="H3340" s="31"/>
      <c r="I3340" s="31"/>
      <c r="J3340" s="31"/>
    </row>
    <row r="3341" spans="7:10" s="29" customFormat="1" x14ac:dyDescent="0.2">
      <c r="G3341" s="31"/>
      <c r="H3341" s="31"/>
      <c r="I3341" s="31"/>
      <c r="J3341" s="31"/>
    </row>
    <row r="3342" spans="7:10" s="29" customFormat="1" x14ac:dyDescent="0.2">
      <c r="G3342" s="31"/>
      <c r="H3342" s="31"/>
      <c r="I3342" s="31"/>
      <c r="J3342" s="31"/>
    </row>
    <row r="3343" spans="7:10" s="29" customFormat="1" x14ac:dyDescent="0.2">
      <c r="G3343" s="31"/>
      <c r="H3343" s="31"/>
      <c r="I3343" s="31"/>
      <c r="J3343" s="31"/>
    </row>
    <row r="3344" spans="7:10" s="29" customFormat="1" x14ac:dyDescent="0.2">
      <c r="G3344" s="31"/>
      <c r="H3344" s="31"/>
      <c r="I3344" s="31"/>
      <c r="J3344" s="31"/>
    </row>
    <row r="3345" spans="7:10" s="29" customFormat="1" x14ac:dyDescent="0.2">
      <c r="G3345" s="31"/>
      <c r="H3345" s="31"/>
      <c r="I3345" s="31"/>
      <c r="J3345" s="31"/>
    </row>
    <row r="3346" spans="7:10" s="29" customFormat="1" x14ac:dyDescent="0.2">
      <c r="G3346" s="31"/>
      <c r="H3346" s="31"/>
      <c r="I3346" s="31"/>
      <c r="J3346" s="31"/>
    </row>
    <row r="3347" spans="7:10" s="29" customFormat="1" x14ac:dyDescent="0.2">
      <c r="G3347" s="31"/>
      <c r="H3347" s="31"/>
      <c r="I3347" s="31"/>
      <c r="J3347" s="31"/>
    </row>
    <row r="3348" spans="7:10" s="29" customFormat="1" x14ac:dyDescent="0.2">
      <c r="G3348" s="31"/>
      <c r="H3348" s="31"/>
      <c r="I3348" s="31"/>
      <c r="J3348" s="31"/>
    </row>
    <row r="3349" spans="7:10" s="29" customFormat="1" x14ac:dyDescent="0.2">
      <c r="G3349" s="31"/>
      <c r="H3349" s="31"/>
      <c r="I3349" s="31"/>
      <c r="J3349" s="31"/>
    </row>
    <row r="3350" spans="7:10" s="29" customFormat="1" x14ac:dyDescent="0.2">
      <c r="G3350" s="31"/>
      <c r="H3350" s="31"/>
      <c r="I3350" s="31"/>
      <c r="J3350" s="31"/>
    </row>
    <row r="3351" spans="7:10" s="29" customFormat="1" x14ac:dyDescent="0.2">
      <c r="G3351" s="31"/>
      <c r="H3351" s="31"/>
      <c r="I3351" s="31"/>
      <c r="J3351" s="31"/>
    </row>
    <row r="3352" spans="7:10" s="29" customFormat="1" x14ac:dyDescent="0.2">
      <c r="G3352" s="31"/>
      <c r="H3352" s="31"/>
      <c r="I3352" s="31"/>
      <c r="J3352" s="31"/>
    </row>
    <row r="3353" spans="7:10" s="29" customFormat="1" x14ac:dyDescent="0.2">
      <c r="G3353" s="31"/>
      <c r="H3353" s="31"/>
      <c r="I3353" s="31"/>
      <c r="J3353" s="31"/>
    </row>
    <row r="3354" spans="7:10" s="29" customFormat="1" x14ac:dyDescent="0.2">
      <c r="G3354" s="31"/>
      <c r="H3354" s="31"/>
      <c r="I3354" s="31"/>
      <c r="J3354" s="31"/>
    </row>
    <row r="3355" spans="7:10" s="29" customFormat="1" x14ac:dyDescent="0.2">
      <c r="G3355" s="31"/>
      <c r="H3355" s="31"/>
      <c r="I3355" s="31"/>
      <c r="J3355" s="31"/>
    </row>
    <row r="3356" spans="7:10" s="29" customFormat="1" x14ac:dyDescent="0.2">
      <c r="G3356" s="31"/>
      <c r="H3356" s="31"/>
      <c r="I3356" s="31"/>
      <c r="J3356" s="31"/>
    </row>
    <row r="3357" spans="7:10" s="29" customFormat="1" x14ac:dyDescent="0.2">
      <c r="G3357" s="31"/>
      <c r="H3357" s="31"/>
      <c r="I3357" s="31"/>
      <c r="J3357" s="31"/>
    </row>
    <row r="3358" spans="7:10" s="29" customFormat="1" x14ac:dyDescent="0.2">
      <c r="G3358" s="31"/>
      <c r="H3358" s="31"/>
      <c r="I3358" s="31"/>
      <c r="J3358" s="31"/>
    </row>
    <row r="3359" spans="7:10" s="29" customFormat="1" x14ac:dyDescent="0.2">
      <c r="G3359" s="31"/>
      <c r="H3359" s="31"/>
      <c r="I3359" s="31"/>
      <c r="J3359" s="31"/>
    </row>
    <row r="3360" spans="7:10" s="29" customFormat="1" x14ac:dyDescent="0.2">
      <c r="G3360" s="31"/>
      <c r="H3360" s="31"/>
      <c r="I3360" s="31"/>
      <c r="J3360" s="31"/>
    </row>
    <row r="3361" spans="7:10" s="29" customFormat="1" x14ac:dyDescent="0.2">
      <c r="G3361" s="31"/>
      <c r="H3361" s="31"/>
      <c r="I3361" s="31"/>
      <c r="J3361" s="31"/>
    </row>
    <row r="3362" spans="7:10" s="29" customFormat="1" x14ac:dyDescent="0.2">
      <c r="G3362" s="31"/>
      <c r="H3362" s="31"/>
      <c r="I3362" s="31"/>
      <c r="J3362" s="31"/>
    </row>
    <row r="3363" spans="7:10" s="29" customFormat="1" x14ac:dyDescent="0.2">
      <c r="G3363" s="31"/>
      <c r="H3363" s="31"/>
      <c r="I3363" s="31"/>
      <c r="J3363" s="31"/>
    </row>
    <row r="3364" spans="7:10" s="29" customFormat="1" x14ac:dyDescent="0.2">
      <c r="G3364" s="31"/>
      <c r="H3364" s="31"/>
      <c r="I3364" s="31"/>
      <c r="J3364" s="31"/>
    </row>
    <row r="3365" spans="7:10" s="29" customFormat="1" x14ac:dyDescent="0.2">
      <c r="G3365" s="31"/>
      <c r="H3365" s="31"/>
      <c r="I3365" s="31"/>
      <c r="J3365" s="31"/>
    </row>
    <row r="3366" spans="7:10" s="29" customFormat="1" x14ac:dyDescent="0.2">
      <c r="G3366" s="31"/>
      <c r="H3366" s="31"/>
      <c r="I3366" s="31"/>
      <c r="J3366" s="31"/>
    </row>
    <row r="3367" spans="7:10" s="29" customFormat="1" x14ac:dyDescent="0.2">
      <c r="G3367" s="31"/>
      <c r="H3367" s="31"/>
      <c r="I3367" s="31"/>
      <c r="J3367" s="31"/>
    </row>
    <row r="3368" spans="7:10" s="29" customFormat="1" x14ac:dyDescent="0.2">
      <c r="G3368" s="31"/>
      <c r="H3368" s="31"/>
      <c r="I3368" s="31"/>
      <c r="J3368" s="31"/>
    </row>
    <row r="3369" spans="7:10" s="29" customFormat="1" x14ac:dyDescent="0.2">
      <c r="G3369" s="31"/>
      <c r="H3369" s="31"/>
      <c r="I3369" s="31"/>
      <c r="J3369" s="31"/>
    </row>
    <row r="3370" spans="7:10" s="29" customFormat="1" x14ac:dyDescent="0.2">
      <c r="G3370" s="31"/>
      <c r="H3370" s="31"/>
      <c r="I3370" s="31"/>
      <c r="J3370" s="31"/>
    </row>
    <row r="3371" spans="7:10" s="29" customFormat="1" x14ac:dyDescent="0.2">
      <c r="G3371" s="31"/>
      <c r="H3371" s="31"/>
      <c r="I3371" s="31"/>
      <c r="J3371" s="31"/>
    </row>
    <row r="3372" spans="7:10" s="29" customFormat="1" x14ac:dyDescent="0.2">
      <c r="G3372" s="31"/>
      <c r="H3372" s="31"/>
      <c r="I3372" s="31"/>
      <c r="J3372" s="31"/>
    </row>
    <row r="3373" spans="7:10" s="29" customFormat="1" x14ac:dyDescent="0.2">
      <c r="G3373" s="31"/>
      <c r="H3373" s="31"/>
      <c r="I3373" s="31"/>
      <c r="J3373" s="31"/>
    </row>
    <row r="3374" spans="7:10" s="29" customFormat="1" x14ac:dyDescent="0.2">
      <c r="G3374" s="31"/>
      <c r="H3374" s="31"/>
      <c r="I3374" s="31"/>
      <c r="J3374" s="31"/>
    </row>
    <row r="3375" spans="7:10" s="29" customFormat="1" x14ac:dyDescent="0.2">
      <c r="G3375" s="31"/>
      <c r="H3375" s="31"/>
      <c r="I3375" s="31"/>
      <c r="J3375" s="31"/>
    </row>
    <row r="3376" spans="7:10" s="29" customFormat="1" x14ac:dyDescent="0.2">
      <c r="G3376" s="31"/>
      <c r="H3376" s="31"/>
      <c r="I3376" s="31"/>
      <c r="J3376" s="31"/>
    </row>
    <row r="3377" spans="7:10" s="29" customFormat="1" x14ac:dyDescent="0.2">
      <c r="G3377" s="31"/>
      <c r="H3377" s="31"/>
      <c r="I3377" s="31"/>
      <c r="J3377" s="31"/>
    </row>
    <row r="3378" spans="7:10" s="29" customFormat="1" x14ac:dyDescent="0.2">
      <c r="G3378" s="31"/>
      <c r="H3378" s="31"/>
      <c r="I3378" s="31"/>
      <c r="J3378" s="31"/>
    </row>
    <row r="3379" spans="7:10" s="29" customFormat="1" x14ac:dyDescent="0.2">
      <c r="G3379" s="31"/>
      <c r="H3379" s="31"/>
      <c r="I3379" s="31"/>
      <c r="J3379" s="31"/>
    </row>
    <row r="3380" spans="7:10" s="29" customFormat="1" x14ac:dyDescent="0.2">
      <c r="G3380" s="31"/>
      <c r="H3380" s="31"/>
      <c r="I3380" s="31"/>
      <c r="J3380" s="31"/>
    </row>
    <row r="3381" spans="7:10" s="29" customFormat="1" x14ac:dyDescent="0.2">
      <c r="G3381" s="31"/>
      <c r="H3381" s="31"/>
      <c r="I3381" s="31"/>
      <c r="J3381" s="31"/>
    </row>
    <row r="3382" spans="7:10" s="29" customFormat="1" x14ac:dyDescent="0.2">
      <c r="G3382" s="31"/>
      <c r="H3382" s="31"/>
      <c r="I3382" s="31"/>
      <c r="J3382" s="31"/>
    </row>
    <row r="3383" spans="7:10" s="29" customFormat="1" x14ac:dyDescent="0.2">
      <c r="G3383" s="31"/>
      <c r="H3383" s="31"/>
      <c r="I3383" s="31"/>
      <c r="J3383" s="31"/>
    </row>
    <row r="3384" spans="7:10" s="29" customFormat="1" x14ac:dyDescent="0.2">
      <c r="G3384" s="31"/>
      <c r="H3384" s="31"/>
      <c r="I3384" s="31"/>
      <c r="J3384" s="31"/>
    </row>
    <row r="3385" spans="7:10" s="29" customFormat="1" x14ac:dyDescent="0.2">
      <c r="G3385" s="31"/>
      <c r="H3385" s="31"/>
      <c r="I3385" s="31"/>
      <c r="J3385" s="31"/>
    </row>
    <row r="3386" spans="7:10" s="29" customFormat="1" x14ac:dyDescent="0.2">
      <c r="G3386" s="31"/>
      <c r="H3386" s="31"/>
      <c r="I3386" s="31"/>
      <c r="J3386" s="31"/>
    </row>
    <row r="3387" spans="7:10" s="29" customFormat="1" x14ac:dyDescent="0.2">
      <c r="G3387" s="31"/>
      <c r="H3387" s="31"/>
      <c r="I3387" s="31"/>
      <c r="J3387" s="31"/>
    </row>
    <row r="3388" spans="7:10" s="29" customFormat="1" x14ac:dyDescent="0.2">
      <c r="G3388" s="31"/>
      <c r="H3388" s="31"/>
      <c r="I3388" s="31"/>
      <c r="J3388" s="31"/>
    </row>
    <row r="3389" spans="7:10" s="29" customFormat="1" x14ac:dyDescent="0.2">
      <c r="G3389" s="31"/>
      <c r="H3389" s="31"/>
      <c r="I3389" s="31"/>
      <c r="J3389" s="31"/>
    </row>
    <row r="3390" spans="7:10" s="29" customFormat="1" x14ac:dyDescent="0.2">
      <c r="G3390" s="31"/>
      <c r="H3390" s="31"/>
      <c r="I3390" s="31"/>
      <c r="J3390" s="31"/>
    </row>
    <row r="3391" spans="7:10" s="29" customFormat="1" x14ac:dyDescent="0.2">
      <c r="G3391" s="31"/>
      <c r="H3391" s="31"/>
      <c r="I3391" s="31"/>
      <c r="J3391" s="31"/>
    </row>
    <row r="3392" spans="7:10" s="29" customFormat="1" x14ac:dyDescent="0.2">
      <c r="G3392" s="31"/>
      <c r="H3392" s="31"/>
      <c r="I3392" s="31"/>
      <c r="J3392" s="31"/>
    </row>
    <row r="3393" spans="7:10" s="29" customFormat="1" x14ac:dyDescent="0.2">
      <c r="G3393" s="31"/>
      <c r="H3393" s="31"/>
      <c r="I3393" s="31"/>
      <c r="J3393" s="31"/>
    </row>
    <row r="3394" spans="7:10" s="29" customFormat="1" x14ac:dyDescent="0.2">
      <c r="G3394" s="31"/>
      <c r="H3394" s="31"/>
      <c r="I3394" s="31"/>
      <c r="J3394" s="31"/>
    </row>
    <row r="3395" spans="7:10" s="29" customFormat="1" x14ac:dyDescent="0.2">
      <c r="G3395" s="31"/>
      <c r="H3395" s="31"/>
      <c r="I3395" s="31"/>
      <c r="J3395" s="31"/>
    </row>
    <row r="3396" spans="7:10" s="29" customFormat="1" x14ac:dyDescent="0.2">
      <c r="G3396" s="31"/>
      <c r="H3396" s="31"/>
      <c r="I3396" s="31"/>
      <c r="J3396" s="31"/>
    </row>
    <row r="3397" spans="7:10" s="29" customFormat="1" x14ac:dyDescent="0.2">
      <c r="G3397" s="31"/>
      <c r="H3397" s="31"/>
      <c r="I3397" s="31"/>
      <c r="J3397" s="31"/>
    </row>
    <row r="3398" spans="7:10" s="29" customFormat="1" x14ac:dyDescent="0.2">
      <c r="G3398" s="31"/>
      <c r="H3398" s="31"/>
      <c r="I3398" s="31"/>
      <c r="J3398" s="31"/>
    </row>
    <row r="3399" spans="7:10" s="29" customFormat="1" x14ac:dyDescent="0.2">
      <c r="G3399" s="31"/>
      <c r="H3399" s="31"/>
      <c r="I3399" s="31"/>
      <c r="J3399" s="31"/>
    </row>
    <row r="3400" spans="7:10" s="29" customFormat="1" x14ac:dyDescent="0.2">
      <c r="G3400" s="31"/>
      <c r="H3400" s="31"/>
      <c r="I3400" s="31"/>
      <c r="J3400" s="31"/>
    </row>
    <row r="3401" spans="7:10" s="29" customFormat="1" x14ac:dyDescent="0.2">
      <c r="G3401" s="31"/>
      <c r="H3401" s="31"/>
      <c r="I3401" s="31"/>
      <c r="J3401" s="31"/>
    </row>
    <row r="3402" spans="7:10" s="29" customFormat="1" x14ac:dyDescent="0.2">
      <c r="G3402" s="31"/>
      <c r="H3402" s="31"/>
      <c r="I3402" s="31"/>
      <c r="J3402" s="31"/>
    </row>
    <row r="3403" spans="7:10" s="29" customFormat="1" x14ac:dyDescent="0.2">
      <c r="G3403" s="31"/>
      <c r="H3403" s="31"/>
      <c r="I3403" s="31"/>
      <c r="J3403" s="31"/>
    </row>
    <row r="3404" spans="7:10" s="29" customFormat="1" x14ac:dyDescent="0.2">
      <c r="G3404" s="31"/>
      <c r="H3404" s="31"/>
      <c r="I3404" s="31"/>
      <c r="J3404" s="31"/>
    </row>
    <row r="3405" spans="7:10" s="29" customFormat="1" x14ac:dyDescent="0.2">
      <c r="G3405" s="31"/>
      <c r="H3405" s="31"/>
      <c r="I3405" s="31"/>
      <c r="J3405" s="31"/>
    </row>
    <row r="3406" spans="7:10" s="29" customFormat="1" x14ac:dyDescent="0.2">
      <c r="G3406" s="31"/>
      <c r="H3406" s="31"/>
      <c r="I3406" s="31"/>
      <c r="J3406" s="31"/>
    </row>
    <row r="3407" spans="7:10" s="29" customFormat="1" x14ac:dyDescent="0.2">
      <c r="G3407" s="31"/>
      <c r="H3407" s="31"/>
      <c r="I3407" s="31"/>
      <c r="J3407" s="31"/>
    </row>
    <row r="3408" spans="7:10" s="29" customFormat="1" x14ac:dyDescent="0.2">
      <c r="G3408" s="31"/>
      <c r="H3408" s="31"/>
      <c r="I3408" s="31"/>
      <c r="J3408" s="31"/>
    </row>
    <row r="3409" spans="7:10" s="29" customFormat="1" x14ac:dyDescent="0.2">
      <c r="G3409" s="31"/>
      <c r="H3409" s="31"/>
      <c r="I3409" s="31"/>
      <c r="J3409" s="31"/>
    </row>
    <row r="3410" spans="7:10" s="29" customFormat="1" x14ac:dyDescent="0.2">
      <c r="G3410" s="31"/>
      <c r="H3410" s="31"/>
      <c r="I3410" s="31"/>
      <c r="J3410" s="31"/>
    </row>
    <row r="3411" spans="7:10" s="29" customFormat="1" x14ac:dyDescent="0.2">
      <c r="G3411" s="31"/>
      <c r="H3411" s="31"/>
      <c r="I3411" s="31"/>
      <c r="J3411" s="31"/>
    </row>
    <row r="3412" spans="7:10" s="29" customFormat="1" x14ac:dyDescent="0.2">
      <c r="G3412" s="31"/>
      <c r="H3412" s="31"/>
      <c r="I3412" s="31"/>
      <c r="J3412" s="31"/>
    </row>
    <row r="3413" spans="7:10" s="29" customFormat="1" x14ac:dyDescent="0.2">
      <c r="G3413" s="31"/>
      <c r="H3413" s="31"/>
      <c r="I3413" s="31"/>
      <c r="J3413" s="31"/>
    </row>
    <row r="3414" spans="7:10" s="29" customFormat="1" x14ac:dyDescent="0.2">
      <c r="G3414" s="31"/>
      <c r="H3414" s="31"/>
      <c r="I3414" s="31"/>
      <c r="J3414" s="31"/>
    </row>
    <row r="3415" spans="7:10" s="29" customFormat="1" x14ac:dyDescent="0.2">
      <c r="G3415" s="31"/>
      <c r="H3415" s="31"/>
      <c r="I3415" s="31"/>
      <c r="J3415" s="31"/>
    </row>
    <row r="3416" spans="7:10" s="29" customFormat="1" x14ac:dyDescent="0.2">
      <c r="G3416" s="31"/>
      <c r="H3416" s="31"/>
      <c r="I3416" s="31"/>
      <c r="J3416" s="31"/>
    </row>
    <row r="3417" spans="7:10" s="29" customFormat="1" x14ac:dyDescent="0.2">
      <c r="G3417" s="31"/>
      <c r="H3417" s="31"/>
      <c r="I3417" s="31"/>
      <c r="J3417" s="31"/>
    </row>
    <row r="3418" spans="7:10" s="29" customFormat="1" x14ac:dyDescent="0.2">
      <c r="G3418" s="31"/>
      <c r="H3418" s="31"/>
      <c r="I3418" s="31"/>
      <c r="J3418" s="31"/>
    </row>
    <row r="3419" spans="7:10" s="29" customFormat="1" x14ac:dyDescent="0.2">
      <c r="G3419" s="31"/>
      <c r="H3419" s="31"/>
      <c r="I3419" s="31"/>
      <c r="J3419" s="31"/>
    </row>
    <row r="3420" spans="7:10" s="29" customFormat="1" x14ac:dyDescent="0.2">
      <c r="G3420" s="31"/>
      <c r="H3420" s="31"/>
      <c r="I3420" s="31"/>
      <c r="J3420" s="31"/>
    </row>
    <row r="3421" spans="7:10" s="29" customFormat="1" x14ac:dyDescent="0.2">
      <c r="G3421" s="31"/>
      <c r="H3421" s="31"/>
      <c r="I3421" s="31"/>
      <c r="J3421" s="31"/>
    </row>
    <row r="3422" spans="7:10" s="29" customFormat="1" x14ac:dyDescent="0.2">
      <c r="G3422" s="31"/>
      <c r="H3422" s="31"/>
      <c r="I3422" s="31"/>
      <c r="J3422" s="31"/>
    </row>
    <row r="3423" spans="7:10" s="29" customFormat="1" x14ac:dyDescent="0.2">
      <c r="G3423" s="31"/>
      <c r="H3423" s="31"/>
      <c r="I3423" s="31"/>
      <c r="J3423" s="31"/>
    </row>
    <row r="3424" spans="7:10" s="29" customFormat="1" x14ac:dyDescent="0.2">
      <c r="G3424" s="31"/>
      <c r="H3424" s="31"/>
      <c r="I3424" s="31"/>
      <c r="J3424" s="31"/>
    </row>
    <row r="3425" spans="7:10" s="29" customFormat="1" x14ac:dyDescent="0.2">
      <c r="G3425" s="31"/>
      <c r="H3425" s="31"/>
      <c r="I3425" s="31"/>
      <c r="J3425" s="31"/>
    </row>
    <row r="3426" spans="7:10" s="29" customFormat="1" x14ac:dyDescent="0.2">
      <c r="G3426" s="31"/>
      <c r="H3426" s="31"/>
      <c r="I3426" s="31"/>
      <c r="J3426" s="31"/>
    </row>
    <row r="3427" spans="7:10" s="29" customFormat="1" x14ac:dyDescent="0.2">
      <c r="G3427" s="31"/>
      <c r="H3427" s="31"/>
      <c r="I3427" s="31"/>
      <c r="J3427" s="31"/>
    </row>
    <row r="3428" spans="7:10" s="29" customFormat="1" x14ac:dyDescent="0.2">
      <c r="G3428" s="31"/>
      <c r="H3428" s="31"/>
      <c r="I3428" s="31"/>
      <c r="J3428" s="31"/>
    </row>
    <row r="3429" spans="7:10" s="29" customFormat="1" x14ac:dyDescent="0.2">
      <c r="G3429" s="31"/>
      <c r="H3429" s="31"/>
      <c r="I3429" s="31"/>
      <c r="J3429" s="31"/>
    </row>
    <row r="3430" spans="7:10" s="29" customFormat="1" x14ac:dyDescent="0.2">
      <c r="G3430" s="31"/>
      <c r="H3430" s="31"/>
      <c r="I3430" s="31"/>
      <c r="J3430" s="31"/>
    </row>
    <row r="3431" spans="7:10" s="29" customFormat="1" x14ac:dyDescent="0.2">
      <c r="G3431" s="31"/>
      <c r="H3431" s="31"/>
      <c r="I3431" s="31"/>
      <c r="J3431" s="31"/>
    </row>
    <row r="3432" spans="7:10" s="29" customFormat="1" x14ac:dyDescent="0.2">
      <c r="G3432" s="31"/>
      <c r="H3432" s="31"/>
      <c r="I3432" s="31"/>
      <c r="J3432" s="31"/>
    </row>
    <row r="3433" spans="7:10" s="29" customFormat="1" x14ac:dyDescent="0.2">
      <c r="G3433" s="31"/>
      <c r="H3433" s="31"/>
      <c r="I3433" s="31"/>
      <c r="J3433" s="31"/>
    </row>
    <row r="3434" spans="7:10" s="29" customFormat="1" x14ac:dyDescent="0.2">
      <c r="G3434" s="31"/>
      <c r="H3434" s="31"/>
      <c r="I3434" s="31"/>
      <c r="J3434" s="31"/>
    </row>
    <row r="3435" spans="7:10" s="29" customFormat="1" x14ac:dyDescent="0.2">
      <c r="G3435" s="31"/>
      <c r="H3435" s="31"/>
      <c r="I3435" s="31"/>
      <c r="J3435" s="31"/>
    </row>
    <row r="3436" spans="7:10" s="29" customFormat="1" x14ac:dyDescent="0.2">
      <c r="G3436" s="31"/>
      <c r="H3436" s="31"/>
      <c r="I3436" s="31"/>
      <c r="J3436" s="31"/>
    </row>
    <row r="3437" spans="7:10" s="29" customFormat="1" x14ac:dyDescent="0.2">
      <c r="G3437" s="31"/>
      <c r="H3437" s="31"/>
      <c r="I3437" s="31"/>
      <c r="J3437" s="31"/>
    </row>
    <row r="3438" spans="7:10" s="29" customFormat="1" x14ac:dyDescent="0.2">
      <c r="G3438" s="31"/>
      <c r="H3438" s="31"/>
      <c r="I3438" s="31"/>
      <c r="J3438" s="31"/>
    </row>
    <row r="3439" spans="7:10" s="29" customFormat="1" x14ac:dyDescent="0.2">
      <c r="G3439" s="31"/>
      <c r="H3439" s="31"/>
      <c r="I3439" s="31"/>
      <c r="J3439" s="31"/>
    </row>
    <row r="3440" spans="7:10" s="29" customFormat="1" x14ac:dyDescent="0.2">
      <c r="G3440" s="31"/>
      <c r="H3440" s="31"/>
      <c r="I3440" s="31"/>
      <c r="J3440" s="31"/>
    </row>
    <row r="3441" spans="7:10" s="29" customFormat="1" x14ac:dyDescent="0.2">
      <c r="G3441" s="31"/>
      <c r="H3441" s="31"/>
      <c r="I3441" s="31"/>
      <c r="J3441" s="31"/>
    </row>
    <row r="3442" spans="7:10" s="29" customFormat="1" x14ac:dyDescent="0.2">
      <c r="G3442" s="31"/>
      <c r="H3442" s="31"/>
      <c r="I3442" s="31"/>
      <c r="J3442" s="31"/>
    </row>
    <row r="3443" spans="7:10" s="29" customFormat="1" x14ac:dyDescent="0.2">
      <c r="G3443" s="31"/>
      <c r="H3443" s="31"/>
      <c r="I3443" s="31"/>
      <c r="J3443" s="31"/>
    </row>
    <row r="3444" spans="7:10" s="29" customFormat="1" x14ac:dyDescent="0.2">
      <c r="G3444" s="31"/>
      <c r="H3444" s="31"/>
      <c r="I3444" s="31"/>
      <c r="J3444" s="31"/>
    </row>
    <row r="3445" spans="7:10" s="29" customFormat="1" x14ac:dyDescent="0.2">
      <c r="G3445" s="31"/>
      <c r="H3445" s="31"/>
      <c r="I3445" s="31"/>
      <c r="J3445" s="31"/>
    </row>
    <row r="3446" spans="7:10" s="29" customFormat="1" x14ac:dyDescent="0.2">
      <c r="G3446" s="31"/>
      <c r="H3446" s="31"/>
      <c r="I3446" s="31"/>
      <c r="J3446" s="31"/>
    </row>
    <row r="3447" spans="7:10" s="29" customFormat="1" x14ac:dyDescent="0.2">
      <c r="G3447" s="31"/>
      <c r="H3447" s="31"/>
      <c r="I3447" s="31"/>
      <c r="J3447" s="31"/>
    </row>
    <row r="3448" spans="7:10" s="29" customFormat="1" x14ac:dyDescent="0.2">
      <c r="G3448" s="31"/>
      <c r="H3448" s="31"/>
      <c r="I3448" s="31"/>
      <c r="J3448" s="31"/>
    </row>
    <row r="3449" spans="7:10" s="29" customFormat="1" x14ac:dyDescent="0.2">
      <c r="G3449" s="31"/>
      <c r="H3449" s="31"/>
      <c r="I3449" s="31"/>
      <c r="J3449" s="31"/>
    </row>
    <row r="3450" spans="7:10" s="29" customFormat="1" x14ac:dyDescent="0.2">
      <c r="G3450" s="31"/>
      <c r="H3450" s="31"/>
      <c r="I3450" s="31"/>
      <c r="J3450" s="31"/>
    </row>
    <row r="3451" spans="7:10" s="29" customFormat="1" x14ac:dyDescent="0.2">
      <c r="G3451" s="31"/>
      <c r="H3451" s="31"/>
      <c r="I3451" s="31"/>
      <c r="J3451" s="31"/>
    </row>
    <row r="3452" spans="7:10" s="29" customFormat="1" x14ac:dyDescent="0.2">
      <c r="G3452" s="31"/>
      <c r="H3452" s="31"/>
      <c r="I3452" s="31"/>
      <c r="J3452" s="31"/>
    </row>
    <row r="3453" spans="7:10" s="29" customFormat="1" x14ac:dyDescent="0.2">
      <c r="G3453" s="31"/>
      <c r="H3453" s="31"/>
      <c r="I3453" s="31"/>
      <c r="J3453" s="31"/>
    </row>
    <row r="3454" spans="7:10" s="29" customFormat="1" x14ac:dyDescent="0.2">
      <c r="G3454" s="31"/>
      <c r="H3454" s="31"/>
      <c r="I3454" s="31"/>
      <c r="J3454" s="31"/>
    </row>
    <row r="3455" spans="7:10" s="29" customFormat="1" x14ac:dyDescent="0.2">
      <c r="G3455" s="31"/>
      <c r="H3455" s="31"/>
      <c r="I3455" s="31"/>
      <c r="J3455" s="31"/>
    </row>
    <row r="3456" spans="7:10" s="29" customFormat="1" x14ac:dyDescent="0.2">
      <c r="G3456" s="31"/>
      <c r="H3456" s="31"/>
      <c r="I3456" s="31"/>
      <c r="J3456" s="31"/>
    </row>
    <row r="3457" spans="7:10" s="29" customFormat="1" x14ac:dyDescent="0.2">
      <c r="G3457" s="31"/>
      <c r="H3457" s="31"/>
      <c r="I3457" s="31"/>
      <c r="J3457" s="31"/>
    </row>
    <row r="3458" spans="7:10" s="29" customFormat="1" x14ac:dyDescent="0.2">
      <c r="G3458" s="31"/>
      <c r="H3458" s="31"/>
      <c r="I3458" s="31"/>
      <c r="J3458" s="31"/>
    </row>
    <row r="3459" spans="7:10" s="29" customFormat="1" x14ac:dyDescent="0.2">
      <c r="G3459" s="31"/>
      <c r="H3459" s="31"/>
      <c r="I3459" s="31"/>
      <c r="J3459" s="31"/>
    </row>
    <row r="3460" spans="7:10" s="29" customFormat="1" x14ac:dyDescent="0.2">
      <c r="G3460" s="31"/>
      <c r="H3460" s="31"/>
      <c r="I3460" s="31"/>
      <c r="J3460" s="31"/>
    </row>
    <row r="3461" spans="7:10" s="29" customFormat="1" x14ac:dyDescent="0.2">
      <c r="G3461" s="31"/>
      <c r="H3461" s="31"/>
      <c r="I3461" s="31"/>
      <c r="J3461" s="31"/>
    </row>
    <row r="3462" spans="7:10" s="29" customFormat="1" x14ac:dyDescent="0.2">
      <c r="G3462" s="31"/>
      <c r="H3462" s="31"/>
      <c r="I3462" s="31"/>
      <c r="J3462" s="31"/>
    </row>
    <row r="3463" spans="7:10" s="29" customFormat="1" x14ac:dyDescent="0.2">
      <c r="G3463" s="31"/>
      <c r="H3463" s="31"/>
      <c r="I3463" s="31"/>
      <c r="J3463" s="31"/>
    </row>
    <row r="3464" spans="7:10" s="29" customFormat="1" x14ac:dyDescent="0.2">
      <c r="G3464" s="31"/>
      <c r="H3464" s="31"/>
      <c r="I3464" s="31"/>
      <c r="J3464" s="31"/>
    </row>
    <row r="3465" spans="7:10" s="29" customFormat="1" x14ac:dyDescent="0.2">
      <c r="G3465" s="31"/>
      <c r="H3465" s="31"/>
      <c r="I3465" s="31"/>
      <c r="J3465" s="31"/>
    </row>
    <row r="3466" spans="7:10" s="29" customFormat="1" x14ac:dyDescent="0.2">
      <c r="G3466" s="31"/>
      <c r="H3466" s="31"/>
      <c r="I3466" s="31"/>
      <c r="J3466" s="31"/>
    </row>
    <row r="3467" spans="7:10" s="29" customFormat="1" x14ac:dyDescent="0.2">
      <c r="G3467" s="31"/>
      <c r="H3467" s="31"/>
      <c r="I3467" s="31"/>
      <c r="J3467" s="31"/>
    </row>
    <row r="3468" spans="7:10" s="29" customFormat="1" x14ac:dyDescent="0.2">
      <c r="G3468" s="31"/>
      <c r="H3468" s="31"/>
      <c r="I3468" s="31"/>
      <c r="J3468" s="31"/>
    </row>
    <row r="3469" spans="7:10" s="29" customFormat="1" x14ac:dyDescent="0.2">
      <c r="G3469" s="31"/>
      <c r="H3469" s="31"/>
      <c r="I3469" s="31"/>
      <c r="J3469" s="31"/>
    </row>
    <row r="3470" spans="7:10" s="29" customFormat="1" x14ac:dyDescent="0.2">
      <c r="G3470" s="31"/>
      <c r="H3470" s="31"/>
      <c r="I3470" s="31"/>
      <c r="J3470" s="31"/>
    </row>
    <row r="3471" spans="7:10" s="29" customFormat="1" x14ac:dyDescent="0.2">
      <c r="G3471" s="31"/>
      <c r="H3471" s="31"/>
      <c r="I3471" s="31"/>
      <c r="J3471" s="31"/>
    </row>
    <row r="3472" spans="7:10" s="29" customFormat="1" x14ac:dyDescent="0.2">
      <c r="G3472" s="31"/>
      <c r="H3472" s="31"/>
      <c r="I3472" s="31"/>
      <c r="J3472" s="31"/>
    </row>
    <row r="3473" spans="7:10" s="29" customFormat="1" x14ac:dyDescent="0.2">
      <c r="G3473" s="31"/>
      <c r="H3473" s="31"/>
      <c r="I3473" s="31"/>
      <c r="J3473" s="31"/>
    </row>
    <row r="3474" spans="7:10" s="29" customFormat="1" x14ac:dyDescent="0.2">
      <c r="G3474" s="31"/>
      <c r="H3474" s="31"/>
      <c r="I3474" s="31"/>
      <c r="J3474" s="31"/>
    </row>
    <row r="3475" spans="7:10" s="29" customFormat="1" x14ac:dyDescent="0.2">
      <c r="G3475" s="31"/>
      <c r="H3475" s="31"/>
      <c r="I3475" s="31"/>
      <c r="J3475" s="31"/>
    </row>
    <row r="3476" spans="7:10" s="29" customFormat="1" x14ac:dyDescent="0.2">
      <c r="G3476" s="31"/>
      <c r="H3476" s="31"/>
      <c r="I3476" s="31"/>
      <c r="J3476" s="31"/>
    </row>
    <row r="3477" spans="7:10" s="29" customFormat="1" x14ac:dyDescent="0.2">
      <c r="G3477" s="31"/>
      <c r="H3477" s="31"/>
      <c r="I3477" s="31"/>
      <c r="J3477" s="31"/>
    </row>
    <row r="3478" spans="7:10" s="29" customFormat="1" x14ac:dyDescent="0.2">
      <c r="G3478" s="31"/>
      <c r="H3478" s="31"/>
      <c r="I3478" s="31"/>
      <c r="J3478" s="31"/>
    </row>
    <row r="3479" spans="7:10" s="29" customFormat="1" x14ac:dyDescent="0.2">
      <c r="G3479" s="31"/>
      <c r="H3479" s="31"/>
      <c r="I3479" s="31"/>
      <c r="J3479" s="31"/>
    </row>
    <row r="3480" spans="7:10" s="29" customFormat="1" x14ac:dyDescent="0.2">
      <c r="G3480" s="31"/>
      <c r="H3480" s="31"/>
      <c r="I3480" s="31"/>
      <c r="J3480" s="31"/>
    </row>
    <row r="3481" spans="7:10" s="29" customFormat="1" x14ac:dyDescent="0.2">
      <c r="G3481" s="31"/>
      <c r="H3481" s="31"/>
      <c r="I3481" s="31"/>
      <c r="J3481" s="31"/>
    </row>
    <row r="3482" spans="7:10" s="29" customFormat="1" x14ac:dyDescent="0.2">
      <c r="G3482" s="31"/>
      <c r="H3482" s="31"/>
      <c r="I3482" s="31"/>
      <c r="J3482" s="31"/>
    </row>
    <row r="3483" spans="7:10" s="29" customFormat="1" x14ac:dyDescent="0.2">
      <c r="G3483" s="31"/>
      <c r="H3483" s="31"/>
      <c r="I3483" s="31"/>
      <c r="J3483" s="31"/>
    </row>
    <row r="3484" spans="7:10" s="29" customFormat="1" x14ac:dyDescent="0.2">
      <c r="G3484" s="31"/>
      <c r="H3484" s="31"/>
      <c r="I3484" s="31"/>
      <c r="J3484" s="31"/>
    </row>
    <row r="3485" spans="7:10" s="29" customFormat="1" x14ac:dyDescent="0.2">
      <c r="G3485" s="31"/>
      <c r="H3485" s="31"/>
      <c r="I3485" s="31"/>
      <c r="J3485" s="31"/>
    </row>
    <row r="3486" spans="7:10" s="29" customFormat="1" x14ac:dyDescent="0.2">
      <c r="G3486" s="31"/>
      <c r="H3486" s="31"/>
      <c r="I3486" s="31"/>
      <c r="J3486" s="31"/>
    </row>
    <row r="3487" spans="7:10" s="29" customFormat="1" x14ac:dyDescent="0.2">
      <c r="G3487" s="31"/>
      <c r="H3487" s="31"/>
      <c r="I3487" s="31"/>
      <c r="J3487" s="31"/>
    </row>
    <row r="3488" spans="7:10" s="29" customFormat="1" x14ac:dyDescent="0.2">
      <c r="G3488" s="31"/>
      <c r="H3488" s="31"/>
      <c r="I3488" s="31"/>
      <c r="J3488" s="31"/>
    </row>
    <row r="3489" spans="7:10" s="29" customFormat="1" x14ac:dyDescent="0.2">
      <c r="G3489" s="31"/>
      <c r="H3489" s="31"/>
      <c r="I3489" s="31"/>
      <c r="J3489" s="31"/>
    </row>
    <row r="3490" spans="7:10" s="29" customFormat="1" x14ac:dyDescent="0.2">
      <c r="G3490" s="31"/>
      <c r="H3490" s="31"/>
      <c r="I3490" s="31"/>
      <c r="J3490" s="31"/>
    </row>
    <row r="3491" spans="7:10" s="29" customFormat="1" x14ac:dyDescent="0.2">
      <c r="G3491" s="31"/>
      <c r="H3491" s="31"/>
      <c r="I3491" s="31"/>
      <c r="J3491" s="31"/>
    </row>
    <row r="3492" spans="7:10" s="29" customFormat="1" x14ac:dyDescent="0.2">
      <c r="G3492" s="31"/>
      <c r="H3492" s="31"/>
      <c r="I3492" s="31"/>
      <c r="J3492" s="31"/>
    </row>
    <row r="3493" spans="7:10" s="29" customFormat="1" x14ac:dyDescent="0.2">
      <c r="G3493" s="31"/>
      <c r="H3493" s="31"/>
      <c r="I3493" s="31"/>
      <c r="J3493" s="31"/>
    </row>
    <row r="3494" spans="7:10" s="29" customFormat="1" x14ac:dyDescent="0.2">
      <c r="G3494" s="31"/>
      <c r="H3494" s="31"/>
      <c r="I3494" s="31"/>
      <c r="J3494" s="31"/>
    </row>
    <row r="3495" spans="7:10" s="29" customFormat="1" x14ac:dyDescent="0.2">
      <c r="G3495" s="31"/>
      <c r="H3495" s="31"/>
      <c r="I3495" s="31"/>
      <c r="J3495" s="31"/>
    </row>
    <row r="3496" spans="7:10" s="29" customFormat="1" x14ac:dyDescent="0.2">
      <c r="G3496" s="31"/>
      <c r="H3496" s="31"/>
      <c r="I3496" s="31"/>
      <c r="J3496" s="31"/>
    </row>
    <row r="3497" spans="7:10" s="29" customFormat="1" x14ac:dyDescent="0.2">
      <c r="G3497" s="31"/>
      <c r="H3497" s="31"/>
      <c r="I3497" s="31"/>
      <c r="J3497" s="31"/>
    </row>
    <row r="3498" spans="7:10" s="29" customFormat="1" x14ac:dyDescent="0.2">
      <c r="G3498" s="31"/>
      <c r="H3498" s="31"/>
      <c r="I3498" s="31"/>
      <c r="J3498" s="31"/>
    </row>
    <row r="3499" spans="7:10" s="29" customFormat="1" x14ac:dyDescent="0.2">
      <c r="G3499" s="31"/>
      <c r="H3499" s="31"/>
      <c r="I3499" s="31"/>
      <c r="J3499" s="31"/>
    </row>
    <row r="3500" spans="7:10" s="29" customFormat="1" x14ac:dyDescent="0.2">
      <c r="G3500" s="31"/>
      <c r="H3500" s="31"/>
      <c r="I3500" s="31"/>
      <c r="J3500" s="31"/>
    </row>
    <row r="3501" spans="7:10" s="29" customFormat="1" x14ac:dyDescent="0.2">
      <c r="G3501" s="31"/>
      <c r="H3501" s="31"/>
      <c r="I3501" s="31"/>
      <c r="J3501" s="31"/>
    </row>
    <row r="3502" spans="7:10" s="29" customFormat="1" x14ac:dyDescent="0.2">
      <c r="G3502" s="31"/>
      <c r="H3502" s="31"/>
      <c r="I3502" s="31"/>
      <c r="J3502" s="31"/>
    </row>
    <row r="3503" spans="7:10" s="29" customFormat="1" x14ac:dyDescent="0.2">
      <c r="G3503" s="31"/>
      <c r="H3503" s="31"/>
      <c r="I3503" s="31"/>
      <c r="J3503" s="31"/>
    </row>
    <row r="3504" spans="7:10" s="29" customFormat="1" x14ac:dyDescent="0.2">
      <c r="G3504" s="31"/>
      <c r="H3504" s="31"/>
      <c r="I3504" s="31"/>
      <c r="J3504" s="31"/>
    </row>
    <row r="3505" spans="7:10" s="29" customFormat="1" x14ac:dyDescent="0.2">
      <c r="G3505" s="31"/>
      <c r="H3505" s="31"/>
      <c r="I3505" s="31"/>
      <c r="J3505" s="31"/>
    </row>
    <row r="3506" spans="7:10" s="29" customFormat="1" x14ac:dyDescent="0.2">
      <c r="G3506" s="31"/>
      <c r="H3506" s="31"/>
      <c r="I3506" s="31"/>
      <c r="J3506" s="31"/>
    </row>
    <row r="3507" spans="7:10" s="29" customFormat="1" x14ac:dyDescent="0.2">
      <c r="G3507" s="31"/>
      <c r="H3507" s="31"/>
      <c r="I3507" s="31"/>
      <c r="J3507" s="31"/>
    </row>
    <row r="3508" spans="7:10" s="29" customFormat="1" x14ac:dyDescent="0.2">
      <c r="G3508" s="31"/>
      <c r="H3508" s="31"/>
      <c r="I3508" s="31"/>
      <c r="J3508" s="31"/>
    </row>
    <row r="3509" spans="7:10" s="29" customFormat="1" x14ac:dyDescent="0.2">
      <c r="G3509" s="31"/>
      <c r="H3509" s="31"/>
      <c r="I3509" s="31"/>
      <c r="J3509" s="31"/>
    </row>
    <row r="3510" spans="7:10" s="29" customFormat="1" x14ac:dyDescent="0.2">
      <c r="G3510" s="31"/>
      <c r="H3510" s="31"/>
      <c r="I3510" s="31"/>
      <c r="J3510" s="31"/>
    </row>
    <row r="3511" spans="7:10" s="29" customFormat="1" x14ac:dyDescent="0.2">
      <c r="G3511" s="31"/>
      <c r="H3511" s="31"/>
      <c r="I3511" s="31"/>
      <c r="J3511" s="31"/>
    </row>
    <row r="3512" spans="7:10" s="29" customFormat="1" x14ac:dyDescent="0.2">
      <c r="G3512" s="31"/>
      <c r="H3512" s="31"/>
      <c r="I3512" s="31"/>
      <c r="J3512" s="31"/>
    </row>
    <row r="3513" spans="7:10" s="29" customFormat="1" x14ac:dyDescent="0.2">
      <c r="G3513" s="31"/>
      <c r="H3513" s="31"/>
      <c r="I3513" s="31"/>
      <c r="J3513" s="31"/>
    </row>
    <row r="3514" spans="7:10" s="29" customFormat="1" x14ac:dyDescent="0.2">
      <c r="G3514" s="31"/>
      <c r="H3514" s="31"/>
      <c r="I3514" s="31"/>
      <c r="J3514" s="31"/>
    </row>
    <row r="3515" spans="7:10" s="29" customFormat="1" x14ac:dyDescent="0.2">
      <c r="G3515" s="31"/>
      <c r="H3515" s="31"/>
      <c r="I3515" s="31"/>
      <c r="J3515" s="31"/>
    </row>
    <row r="3516" spans="7:10" s="29" customFormat="1" x14ac:dyDescent="0.2">
      <c r="G3516" s="31"/>
      <c r="H3516" s="31"/>
      <c r="I3516" s="31"/>
      <c r="J3516" s="31"/>
    </row>
    <row r="3517" spans="7:10" s="29" customFormat="1" x14ac:dyDescent="0.2">
      <c r="G3517" s="31"/>
      <c r="H3517" s="31"/>
      <c r="I3517" s="31"/>
      <c r="J3517" s="31"/>
    </row>
    <row r="3518" spans="7:10" s="29" customFormat="1" x14ac:dyDescent="0.2">
      <c r="G3518" s="31"/>
      <c r="H3518" s="31"/>
      <c r="I3518" s="31"/>
      <c r="J3518" s="31"/>
    </row>
    <row r="3519" spans="7:10" s="29" customFormat="1" x14ac:dyDescent="0.2">
      <c r="G3519" s="31"/>
      <c r="H3519" s="31"/>
      <c r="I3519" s="31"/>
      <c r="J3519" s="31"/>
    </row>
    <row r="3520" spans="7:10" s="29" customFormat="1" x14ac:dyDescent="0.2">
      <c r="G3520" s="31"/>
      <c r="H3520" s="31"/>
      <c r="I3520" s="31"/>
      <c r="J3520" s="31"/>
    </row>
    <row r="3521" spans="7:10" s="29" customFormat="1" x14ac:dyDescent="0.2">
      <c r="G3521" s="31"/>
      <c r="H3521" s="31"/>
      <c r="I3521" s="31"/>
      <c r="J3521" s="31"/>
    </row>
    <row r="3522" spans="7:10" s="29" customFormat="1" x14ac:dyDescent="0.2">
      <c r="G3522" s="31"/>
      <c r="H3522" s="31"/>
      <c r="I3522" s="31"/>
      <c r="J3522" s="31"/>
    </row>
    <row r="3523" spans="7:10" s="29" customFormat="1" x14ac:dyDescent="0.2">
      <c r="G3523" s="31"/>
      <c r="H3523" s="31"/>
      <c r="I3523" s="31"/>
      <c r="J3523" s="31"/>
    </row>
    <row r="3524" spans="7:10" s="29" customFormat="1" x14ac:dyDescent="0.2">
      <c r="G3524" s="31"/>
      <c r="H3524" s="31"/>
      <c r="I3524" s="31"/>
      <c r="J3524" s="31"/>
    </row>
    <row r="3525" spans="7:10" s="29" customFormat="1" x14ac:dyDescent="0.2">
      <c r="G3525" s="31"/>
      <c r="H3525" s="31"/>
      <c r="I3525" s="31"/>
      <c r="J3525" s="31"/>
    </row>
    <row r="3526" spans="7:10" s="29" customFormat="1" x14ac:dyDescent="0.2">
      <c r="G3526" s="31"/>
      <c r="H3526" s="31"/>
      <c r="I3526" s="31"/>
      <c r="J3526" s="31"/>
    </row>
    <row r="3527" spans="7:10" s="29" customFormat="1" x14ac:dyDescent="0.2">
      <c r="G3527" s="31"/>
      <c r="H3527" s="31"/>
      <c r="I3527" s="31"/>
      <c r="J3527" s="31"/>
    </row>
    <row r="3528" spans="7:10" s="29" customFormat="1" x14ac:dyDescent="0.2">
      <c r="G3528" s="31"/>
      <c r="H3528" s="31"/>
      <c r="I3528" s="31"/>
      <c r="J3528" s="31"/>
    </row>
    <row r="3529" spans="7:10" s="29" customFormat="1" x14ac:dyDescent="0.2">
      <c r="G3529" s="31"/>
      <c r="H3529" s="31"/>
      <c r="I3529" s="31"/>
      <c r="J3529" s="31"/>
    </row>
    <row r="3530" spans="7:10" s="29" customFormat="1" x14ac:dyDescent="0.2">
      <c r="G3530" s="31"/>
      <c r="H3530" s="31"/>
      <c r="I3530" s="31"/>
      <c r="J3530" s="31"/>
    </row>
    <row r="3531" spans="7:10" s="29" customFormat="1" x14ac:dyDescent="0.2">
      <c r="G3531" s="31"/>
      <c r="H3531" s="31"/>
      <c r="I3531" s="31"/>
      <c r="J3531" s="31"/>
    </row>
    <row r="3532" spans="7:10" s="29" customFormat="1" x14ac:dyDescent="0.2">
      <c r="G3532" s="31"/>
      <c r="H3532" s="31"/>
      <c r="I3532" s="31"/>
      <c r="J3532" s="31"/>
    </row>
    <row r="3533" spans="7:10" s="29" customFormat="1" x14ac:dyDescent="0.2">
      <c r="G3533" s="31"/>
      <c r="H3533" s="31"/>
      <c r="I3533" s="31"/>
      <c r="J3533" s="31"/>
    </row>
    <row r="3534" spans="7:10" s="29" customFormat="1" x14ac:dyDescent="0.2">
      <c r="G3534" s="31"/>
      <c r="H3534" s="31"/>
      <c r="I3534" s="31"/>
      <c r="J3534" s="31"/>
    </row>
    <row r="3535" spans="7:10" s="29" customFormat="1" x14ac:dyDescent="0.2">
      <c r="G3535" s="31"/>
      <c r="H3535" s="31"/>
      <c r="I3535" s="31"/>
      <c r="J3535" s="31"/>
    </row>
    <row r="3536" spans="7:10" s="29" customFormat="1" x14ac:dyDescent="0.2">
      <c r="G3536" s="31"/>
      <c r="H3536" s="31"/>
      <c r="I3536" s="31"/>
      <c r="J3536" s="31"/>
    </row>
    <row r="3537" spans="7:10" s="29" customFormat="1" x14ac:dyDescent="0.2">
      <c r="G3537" s="31"/>
      <c r="H3537" s="31"/>
      <c r="I3537" s="31"/>
      <c r="J3537" s="31"/>
    </row>
    <row r="3538" spans="7:10" s="29" customFormat="1" x14ac:dyDescent="0.2">
      <c r="G3538" s="31"/>
      <c r="H3538" s="31"/>
      <c r="I3538" s="31"/>
      <c r="J3538" s="31"/>
    </row>
    <row r="3539" spans="7:10" s="29" customFormat="1" x14ac:dyDescent="0.2">
      <c r="G3539" s="31"/>
      <c r="H3539" s="31"/>
      <c r="I3539" s="31"/>
      <c r="J3539" s="31"/>
    </row>
    <row r="3540" spans="7:10" s="29" customFormat="1" x14ac:dyDescent="0.2">
      <c r="G3540" s="31"/>
      <c r="H3540" s="31"/>
      <c r="I3540" s="31"/>
      <c r="J3540" s="31"/>
    </row>
    <row r="3541" spans="7:10" s="29" customFormat="1" x14ac:dyDescent="0.2">
      <c r="G3541" s="31"/>
      <c r="H3541" s="31"/>
      <c r="I3541" s="31"/>
      <c r="J3541" s="31"/>
    </row>
    <row r="3542" spans="7:10" s="29" customFormat="1" x14ac:dyDescent="0.2">
      <c r="G3542" s="31"/>
      <c r="H3542" s="31"/>
      <c r="I3542" s="31"/>
      <c r="J3542" s="31"/>
    </row>
    <row r="3543" spans="7:10" s="29" customFormat="1" x14ac:dyDescent="0.2">
      <c r="G3543" s="31"/>
      <c r="H3543" s="31"/>
      <c r="I3543" s="31"/>
      <c r="J3543" s="31"/>
    </row>
    <row r="3544" spans="7:10" s="29" customFormat="1" x14ac:dyDescent="0.2">
      <c r="G3544" s="31"/>
      <c r="H3544" s="31"/>
      <c r="I3544" s="31"/>
      <c r="J3544" s="31"/>
    </row>
    <row r="3545" spans="7:10" s="29" customFormat="1" x14ac:dyDescent="0.2">
      <c r="G3545" s="31"/>
      <c r="H3545" s="31"/>
      <c r="I3545" s="31"/>
      <c r="J3545" s="31"/>
    </row>
    <row r="3546" spans="7:10" s="29" customFormat="1" x14ac:dyDescent="0.2">
      <c r="G3546" s="31"/>
      <c r="H3546" s="31"/>
      <c r="I3546" s="31"/>
      <c r="J3546" s="31"/>
    </row>
    <row r="3547" spans="7:10" s="29" customFormat="1" x14ac:dyDescent="0.2">
      <c r="G3547" s="31"/>
      <c r="H3547" s="31"/>
      <c r="I3547" s="31"/>
      <c r="J3547" s="31"/>
    </row>
    <row r="3548" spans="7:10" s="29" customFormat="1" x14ac:dyDescent="0.2">
      <c r="G3548" s="31"/>
      <c r="H3548" s="31"/>
      <c r="I3548" s="31"/>
      <c r="J3548" s="31"/>
    </row>
    <row r="3549" spans="7:10" s="29" customFormat="1" x14ac:dyDescent="0.2">
      <c r="G3549" s="31"/>
      <c r="H3549" s="31"/>
      <c r="I3549" s="31"/>
      <c r="J3549" s="31"/>
    </row>
    <row r="3550" spans="7:10" s="29" customFormat="1" x14ac:dyDescent="0.2">
      <c r="G3550" s="31"/>
      <c r="H3550" s="31"/>
      <c r="I3550" s="31"/>
      <c r="J3550" s="31"/>
    </row>
    <row r="3551" spans="7:10" s="29" customFormat="1" x14ac:dyDescent="0.2">
      <c r="G3551" s="31"/>
      <c r="H3551" s="31"/>
      <c r="I3551" s="31"/>
      <c r="J3551" s="31"/>
    </row>
    <row r="3552" spans="7:10" s="29" customFormat="1" x14ac:dyDescent="0.2">
      <c r="G3552" s="31"/>
      <c r="H3552" s="31"/>
      <c r="I3552" s="31"/>
      <c r="J3552" s="31"/>
    </row>
    <row r="3553" spans="7:10" s="29" customFormat="1" x14ac:dyDescent="0.2">
      <c r="G3553" s="31"/>
      <c r="H3553" s="31"/>
      <c r="I3553" s="31"/>
      <c r="J3553" s="31"/>
    </row>
    <row r="3554" spans="7:10" s="29" customFormat="1" x14ac:dyDescent="0.2">
      <c r="G3554" s="31"/>
      <c r="H3554" s="31"/>
      <c r="I3554" s="31"/>
      <c r="J3554" s="31"/>
    </row>
    <row r="3555" spans="7:10" s="29" customFormat="1" x14ac:dyDescent="0.2">
      <c r="G3555" s="31"/>
      <c r="H3555" s="31"/>
      <c r="I3555" s="31"/>
      <c r="J3555" s="31"/>
    </row>
    <row r="3556" spans="7:10" s="29" customFormat="1" x14ac:dyDescent="0.2">
      <c r="G3556" s="31"/>
      <c r="H3556" s="31"/>
      <c r="I3556" s="31"/>
      <c r="J3556" s="31"/>
    </row>
    <row r="3557" spans="7:10" s="29" customFormat="1" x14ac:dyDescent="0.2">
      <c r="G3557" s="31"/>
      <c r="H3557" s="31"/>
      <c r="I3557" s="31"/>
      <c r="J3557" s="31"/>
    </row>
    <row r="3558" spans="7:10" s="29" customFormat="1" x14ac:dyDescent="0.2">
      <c r="G3558" s="31"/>
      <c r="H3558" s="31"/>
      <c r="I3558" s="31"/>
      <c r="J3558" s="31"/>
    </row>
    <row r="3559" spans="7:10" s="29" customFormat="1" x14ac:dyDescent="0.2">
      <c r="G3559" s="31"/>
      <c r="H3559" s="31"/>
      <c r="I3559" s="31"/>
      <c r="J3559" s="31"/>
    </row>
    <row r="3560" spans="7:10" s="29" customFormat="1" x14ac:dyDescent="0.2">
      <c r="G3560" s="31"/>
      <c r="H3560" s="31"/>
      <c r="I3560" s="31"/>
      <c r="J3560" s="31"/>
    </row>
    <row r="3561" spans="7:10" s="29" customFormat="1" x14ac:dyDescent="0.2">
      <c r="G3561" s="31"/>
      <c r="H3561" s="31"/>
      <c r="I3561" s="31"/>
      <c r="J3561" s="31"/>
    </row>
    <row r="3562" spans="7:10" s="29" customFormat="1" x14ac:dyDescent="0.2">
      <c r="G3562" s="31"/>
      <c r="H3562" s="31"/>
      <c r="I3562" s="31"/>
      <c r="J3562" s="31"/>
    </row>
    <row r="3563" spans="7:10" s="29" customFormat="1" x14ac:dyDescent="0.2">
      <c r="G3563" s="31"/>
      <c r="H3563" s="31"/>
      <c r="I3563" s="31"/>
      <c r="J3563" s="31"/>
    </row>
    <row r="3564" spans="7:10" s="29" customFormat="1" x14ac:dyDescent="0.2">
      <c r="G3564" s="31"/>
      <c r="H3564" s="31"/>
      <c r="I3564" s="31"/>
      <c r="J3564" s="31"/>
    </row>
    <row r="3565" spans="7:10" s="29" customFormat="1" x14ac:dyDescent="0.2">
      <c r="G3565" s="31"/>
      <c r="H3565" s="31"/>
      <c r="I3565" s="31"/>
      <c r="J3565" s="31"/>
    </row>
    <row r="3566" spans="7:10" s="29" customFormat="1" x14ac:dyDescent="0.2">
      <c r="G3566" s="31"/>
      <c r="H3566" s="31"/>
      <c r="I3566" s="31"/>
      <c r="J3566" s="31"/>
    </row>
    <row r="3567" spans="7:10" s="29" customFormat="1" x14ac:dyDescent="0.2">
      <c r="G3567" s="31"/>
      <c r="H3567" s="31"/>
      <c r="I3567" s="31"/>
      <c r="J3567" s="31"/>
    </row>
    <row r="3568" spans="7:10" s="29" customFormat="1" x14ac:dyDescent="0.2">
      <c r="G3568" s="31"/>
      <c r="H3568" s="31"/>
      <c r="I3568" s="31"/>
      <c r="J3568" s="31"/>
    </row>
    <row r="3569" spans="7:10" s="29" customFormat="1" x14ac:dyDescent="0.2">
      <c r="G3569" s="31"/>
      <c r="H3569" s="31"/>
      <c r="I3569" s="31"/>
      <c r="J3569" s="31"/>
    </row>
    <row r="3570" spans="7:10" s="29" customFormat="1" x14ac:dyDescent="0.2">
      <c r="G3570" s="31"/>
      <c r="H3570" s="31"/>
      <c r="I3570" s="31"/>
      <c r="J3570" s="31"/>
    </row>
    <row r="3571" spans="7:10" s="29" customFormat="1" x14ac:dyDescent="0.2">
      <c r="G3571" s="31"/>
      <c r="H3571" s="31"/>
      <c r="I3571" s="31"/>
      <c r="J3571" s="31"/>
    </row>
    <row r="3572" spans="7:10" s="29" customFormat="1" x14ac:dyDescent="0.2">
      <c r="G3572" s="31"/>
      <c r="H3572" s="31"/>
      <c r="I3572" s="31"/>
      <c r="J3572" s="31"/>
    </row>
    <row r="3573" spans="7:10" s="29" customFormat="1" x14ac:dyDescent="0.2">
      <c r="G3573" s="31"/>
      <c r="H3573" s="31"/>
      <c r="I3573" s="31"/>
      <c r="J3573" s="31"/>
    </row>
    <row r="3574" spans="7:10" s="29" customFormat="1" x14ac:dyDescent="0.2">
      <c r="G3574" s="31"/>
      <c r="H3574" s="31"/>
      <c r="I3574" s="31"/>
      <c r="J3574" s="31"/>
    </row>
    <row r="3575" spans="7:10" s="29" customFormat="1" x14ac:dyDescent="0.2">
      <c r="G3575" s="31"/>
      <c r="H3575" s="31"/>
      <c r="I3575" s="31"/>
      <c r="J3575" s="31"/>
    </row>
    <row r="3576" spans="7:10" s="29" customFormat="1" x14ac:dyDescent="0.2">
      <c r="G3576" s="31"/>
      <c r="H3576" s="31"/>
      <c r="I3576" s="31"/>
      <c r="J3576" s="31"/>
    </row>
    <row r="3577" spans="7:10" s="29" customFormat="1" x14ac:dyDescent="0.2">
      <c r="G3577" s="31"/>
      <c r="H3577" s="31"/>
      <c r="I3577" s="31"/>
      <c r="J3577" s="31"/>
    </row>
    <row r="3578" spans="7:10" s="29" customFormat="1" x14ac:dyDescent="0.2">
      <c r="G3578" s="31"/>
      <c r="H3578" s="31"/>
      <c r="I3578" s="31"/>
      <c r="J3578" s="31"/>
    </row>
    <row r="3579" spans="7:10" s="29" customFormat="1" x14ac:dyDescent="0.2">
      <c r="G3579" s="31"/>
      <c r="H3579" s="31"/>
      <c r="I3579" s="31"/>
      <c r="J3579" s="31"/>
    </row>
    <row r="3580" spans="7:10" s="29" customFormat="1" x14ac:dyDescent="0.2">
      <c r="G3580" s="31"/>
      <c r="H3580" s="31"/>
      <c r="I3580" s="31"/>
      <c r="J3580" s="31"/>
    </row>
    <row r="3581" spans="7:10" s="29" customFormat="1" x14ac:dyDescent="0.2">
      <c r="G3581" s="31"/>
      <c r="H3581" s="31"/>
      <c r="I3581" s="31"/>
      <c r="J3581" s="31"/>
    </row>
    <row r="3582" spans="7:10" s="29" customFormat="1" x14ac:dyDescent="0.2">
      <c r="G3582" s="31"/>
      <c r="H3582" s="31"/>
      <c r="I3582" s="31"/>
      <c r="J3582" s="31"/>
    </row>
    <row r="3583" spans="7:10" s="29" customFormat="1" x14ac:dyDescent="0.2">
      <c r="G3583" s="31"/>
      <c r="H3583" s="31"/>
      <c r="I3583" s="31"/>
      <c r="J3583" s="31"/>
    </row>
    <row r="3584" spans="7:10" s="29" customFormat="1" x14ac:dyDescent="0.2">
      <c r="G3584" s="31"/>
      <c r="H3584" s="31"/>
      <c r="I3584" s="31"/>
      <c r="J3584" s="31"/>
    </row>
    <row r="3585" spans="7:10" s="29" customFormat="1" x14ac:dyDescent="0.2">
      <c r="G3585" s="31"/>
      <c r="H3585" s="31"/>
      <c r="I3585" s="31"/>
      <c r="J3585" s="31"/>
    </row>
    <row r="3586" spans="7:10" s="29" customFormat="1" x14ac:dyDescent="0.2">
      <c r="G3586" s="31"/>
      <c r="H3586" s="31"/>
      <c r="I3586" s="31"/>
      <c r="J3586" s="31"/>
    </row>
    <row r="3587" spans="7:10" s="29" customFormat="1" x14ac:dyDescent="0.2">
      <c r="G3587" s="31"/>
      <c r="H3587" s="31"/>
      <c r="I3587" s="31"/>
      <c r="J3587" s="31"/>
    </row>
    <row r="3588" spans="7:10" s="29" customFormat="1" x14ac:dyDescent="0.2">
      <c r="G3588" s="31"/>
      <c r="H3588" s="31"/>
      <c r="I3588" s="31"/>
      <c r="J3588" s="31"/>
    </row>
    <row r="3589" spans="7:10" s="29" customFormat="1" x14ac:dyDescent="0.2">
      <c r="G3589" s="31"/>
      <c r="H3589" s="31"/>
      <c r="I3589" s="31"/>
      <c r="J3589" s="31"/>
    </row>
    <row r="3590" spans="7:10" s="29" customFormat="1" x14ac:dyDescent="0.2">
      <c r="G3590" s="31"/>
      <c r="H3590" s="31"/>
      <c r="I3590" s="31"/>
      <c r="J3590" s="31"/>
    </row>
    <row r="3591" spans="7:10" s="29" customFormat="1" x14ac:dyDescent="0.2">
      <c r="G3591" s="31"/>
      <c r="H3591" s="31"/>
      <c r="I3591" s="31"/>
      <c r="J3591" s="31"/>
    </row>
    <row r="3592" spans="7:10" s="29" customFormat="1" x14ac:dyDescent="0.2">
      <c r="G3592" s="31"/>
      <c r="H3592" s="31"/>
      <c r="I3592" s="31"/>
      <c r="J3592" s="31"/>
    </row>
    <row r="3593" spans="7:10" s="29" customFormat="1" x14ac:dyDescent="0.2">
      <c r="G3593" s="31"/>
      <c r="H3593" s="31"/>
      <c r="I3593" s="31"/>
      <c r="J3593" s="31"/>
    </row>
    <row r="3594" spans="7:10" s="29" customFormat="1" x14ac:dyDescent="0.2">
      <c r="G3594" s="31"/>
      <c r="H3594" s="31"/>
      <c r="I3594" s="31"/>
      <c r="J3594" s="31"/>
    </row>
    <row r="3595" spans="7:10" s="29" customFormat="1" x14ac:dyDescent="0.2">
      <c r="G3595" s="31"/>
      <c r="H3595" s="31"/>
      <c r="I3595" s="31"/>
      <c r="J3595" s="31"/>
    </row>
    <row r="3596" spans="7:10" s="29" customFormat="1" x14ac:dyDescent="0.2">
      <c r="G3596" s="31"/>
      <c r="H3596" s="31"/>
      <c r="I3596" s="31"/>
      <c r="J3596" s="31"/>
    </row>
    <row r="3597" spans="7:10" s="29" customFormat="1" x14ac:dyDescent="0.2">
      <c r="G3597" s="31"/>
      <c r="H3597" s="31"/>
      <c r="I3597" s="31"/>
      <c r="J3597" s="31"/>
    </row>
    <row r="3598" spans="7:10" s="29" customFormat="1" x14ac:dyDescent="0.2">
      <c r="G3598" s="31"/>
      <c r="H3598" s="31"/>
      <c r="I3598" s="31"/>
      <c r="J3598" s="31"/>
    </row>
    <row r="3599" spans="7:10" s="29" customFormat="1" x14ac:dyDescent="0.2">
      <c r="G3599" s="31"/>
      <c r="H3599" s="31"/>
      <c r="I3599" s="31"/>
      <c r="J3599" s="31"/>
    </row>
    <row r="3600" spans="7:10" s="29" customFormat="1" x14ac:dyDescent="0.2">
      <c r="G3600" s="31"/>
      <c r="H3600" s="31"/>
      <c r="I3600" s="31"/>
      <c r="J3600" s="31"/>
    </row>
    <row r="3601" spans="7:10" s="29" customFormat="1" x14ac:dyDescent="0.2">
      <c r="G3601" s="31"/>
      <c r="H3601" s="31"/>
      <c r="I3601" s="31"/>
      <c r="J3601" s="31"/>
    </row>
    <row r="3602" spans="7:10" s="29" customFormat="1" x14ac:dyDescent="0.2">
      <c r="G3602" s="31"/>
      <c r="H3602" s="31"/>
      <c r="I3602" s="31"/>
      <c r="J3602" s="31"/>
    </row>
    <row r="3603" spans="7:10" s="29" customFormat="1" x14ac:dyDescent="0.2">
      <c r="G3603" s="31"/>
      <c r="H3603" s="31"/>
      <c r="I3603" s="31"/>
      <c r="J3603" s="31"/>
    </row>
    <row r="3604" spans="7:10" s="29" customFormat="1" x14ac:dyDescent="0.2">
      <c r="G3604" s="31"/>
      <c r="H3604" s="31"/>
      <c r="I3604" s="31"/>
      <c r="J3604" s="31"/>
    </row>
    <row r="3605" spans="7:10" s="29" customFormat="1" x14ac:dyDescent="0.2">
      <c r="G3605" s="31"/>
      <c r="H3605" s="31"/>
      <c r="I3605" s="31"/>
      <c r="J3605" s="31"/>
    </row>
    <row r="3606" spans="7:10" s="29" customFormat="1" x14ac:dyDescent="0.2">
      <c r="G3606" s="31"/>
      <c r="H3606" s="31"/>
      <c r="I3606" s="31"/>
      <c r="J3606" s="31"/>
    </row>
    <row r="3607" spans="7:10" s="29" customFormat="1" x14ac:dyDescent="0.2">
      <c r="G3607" s="31"/>
      <c r="H3607" s="31"/>
      <c r="I3607" s="31"/>
      <c r="J3607" s="31"/>
    </row>
    <row r="3608" spans="7:10" s="29" customFormat="1" x14ac:dyDescent="0.2">
      <c r="G3608" s="31"/>
      <c r="H3608" s="31"/>
      <c r="I3608" s="31"/>
      <c r="J3608" s="31"/>
    </row>
    <row r="3609" spans="7:10" s="29" customFormat="1" x14ac:dyDescent="0.2">
      <c r="G3609" s="31"/>
      <c r="H3609" s="31"/>
      <c r="I3609" s="31"/>
      <c r="J3609" s="31"/>
    </row>
    <row r="3610" spans="7:10" s="29" customFormat="1" x14ac:dyDescent="0.2">
      <c r="G3610" s="31"/>
      <c r="H3610" s="31"/>
      <c r="I3610" s="31"/>
      <c r="J3610" s="31"/>
    </row>
    <row r="3611" spans="7:10" s="29" customFormat="1" x14ac:dyDescent="0.2">
      <c r="G3611" s="31"/>
      <c r="H3611" s="31"/>
      <c r="I3611" s="31"/>
      <c r="J3611" s="31"/>
    </row>
    <row r="3612" spans="7:10" s="29" customFormat="1" x14ac:dyDescent="0.2">
      <c r="G3612" s="31"/>
      <c r="H3612" s="31"/>
      <c r="I3612" s="31"/>
      <c r="J3612" s="31"/>
    </row>
    <row r="3613" spans="7:10" s="29" customFormat="1" x14ac:dyDescent="0.2">
      <c r="G3613" s="31"/>
      <c r="H3613" s="31"/>
      <c r="I3613" s="31"/>
      <c r="J3613" s="31"/>
    </row>
    <row r="3614" spans="7:10" s="29" customFormat="1" x14ac:dyDescent="0.2">
      <c r="G3614" s="31"/>
      <c r="H3614" s="31"/>
      <c r="I3614" s="31"/>
      <c r="J3614" s="31"/>
    </row>
    <row r="3615" spans="7:10" s="29" customFormat="1" x14ac:dyDescent="0.2">
      <c r="G3615" s="31"/>
      <c r="H3615" s="31"/>
      <c r="I3615" s="31"/>
      <c r="J3615" s="31"/>
    </row>
    <row r="3616" spans="7:10" s="29" customFormat="1" x14ac:dyDescent="0.2">
      <c r="G3616" s="31"/>
      <c r="H3616" s="31"/>
      <c r="I3616" s="31"/>
      <c r="J3616" s="31"/>
    </row>
    <row r="3617" spans="7:10" s="29" customFormat="1" x14ac:dyDescent="0.2">
      <c r="G3617" s="31"/>
      <c r="H3617" s="31"/>
      <c r="I3617" s="31"/>
      <c r="J3617" s="31"/>
    </row>
    <row r="3618" spans="7:10" s="29" customFormat="1" x14ac:dyDescent="0.2">
      <c r="G3618" s="31"/>
      <c r="H3618" s="31"/>
      <c r="I3618" s="31"/>
      <c r="J3618" s="31"/>
    </row>
    <row r="3619" spans="7:10" s="29" customFormat="1" x14ac:dyDescent="0.2">
      <c r="G3619" s="31"/>
      <c r="H3619" s="31"/>
      <c r="I3619" s="31"/>
      <c r="J3619" s="31"/>
    </row>
    <row r="3620" spans="7:10" s="29" customFormat="1" x14ac:dyDescent="0.2">
      <c r="G3620" s="31"/>
      <c r="H3620" s="31"/>
      <c r="I3620" s="31"/>
      <c r="J3620" s="31"/>
    </row>
    <row r="3621" spans="7:10" s="29" customFormat="1" x14ac:dyDescent="0.2">
      <c r="G3621" s="31"/>
      <c r="H3621" s="31"/>
      <c r="I3621" s="31"/>
      <c r="J3621" s="31"/>
    </row>
    <row r="3622" spans="7:10" s="29" customFormat="1" x14ac:dyDescent="0.2">
      <c r="G3622" s="31"/>
      <c r="H3622" s="31"/>
      <c r="I3622" s="31"/>
      <c r="J3622" s="31"/>
    </row>
    <row r="3623" spans="7:10" s="29" customFormat="1" x14ac:dyDescent="0.2">
      <c r="G3623" s="31"/>
      <c r="H3623" s="31"/>
      <c r="I3623" s="31"/>
      <c r="J3623" s="31"/>
    </row>
    <row r="3624" spans="7:10" s="29" customFormat="1" x14ac:dyDescent="0.2">
      <c r="G3624" s="31"/>
      <c r="H3624" s="31"/>
      <c r="I3624" s="31"/>
      <c r="J3624" s="31"/>
    </row>
    <row r="3625" spans="7:10" s="29" customFormat="1" x14ac:dyDescent="0.2">
      <c r="G3625" s="31"/>
      <c r="H3625" s="31"/>
      <c r="I3625" s="31"/>
      <c r="J3625" s="31"/>
    </row>
    <row r="3626" spans="7:10" s="29" customFormat="1" x14ac:dyDescent="0.2">
      <c r="G3626" s="31"/>
      <c r="H3626" s="31"/>
      <c r="I3626" s="31"/>
      <c r="J3626" s="31"/>
    </row>
    <row r="3627" spans="7:10" s="29" customFormat="1" x14ac:dyDescent="0.2">
      <c r="G3627" s="31"/>
      <c r="H3627" s="31"/>
      <c r="I3627" s="31"/>
      <c r="J3627" s="31"/>
    </row>
    <row r="3628" spans="7:10" s="29" customFormat="1" x14ac:dyDescent="0.2">
      <c r="G3628" s="31"/>
      <c r="H3628" s="31"/>
      <c r="I3628" s="31"/>
      <c r="J3628" s="31"/>
    </row>
    <row r="3629" spans="7:10" s="29" customFormat="1" x14ac:dyDescent="0.2">
      <c r="G3629" s="31"/>
      <c r="H3629" s="31"/>
      <c r="I3629" s="31"/>
      <c r="J3629" s="31"/>
    </row>
    <row r="3630" spans="7:10" s="29" customFormat="1" x14ac:dyDescent="0.2">
      <c r="G3630" s="31"/>
      <c r="H3630" s="31"/>
      <c r="I3630" s="31"/>
      <c r="J3630" s="31"/>
    </row>
    <row r="3631" spans="7:10" s="29" customFormat="1" x14ac:dyDescent="0.2">
      <c r="G3631" s="31"/>
      <c r="H3631" s="31"/>
      <c r="I3631" s="31"/>
      <c r="J3631" s="31"/>
    </row>
    <row r="3632" spans="7:10" s="29" customFormat="1" x14ac:dyDescent="0.2">
      <c r="G3632" s="31"/>
      <c r="H3632" s="31"/>
      <c r="I3632" s="31"/>
      <c r="J3632" s="31"/>
    </row>
    <row r="3633" spans="7:10" s="29" customFormat="1" x14ac:dyDescent="0.2">
      <c r="G3633" s="31"/>
      <c r="H3633" s="31"/>
      <c r="I3633" s="31"/>
      <c r="J3633" s="31"/>
    </row>
    <row r="3634" spans="7:10" s="29" customFormat="1" x14ac:dyDescent="0.2">
      <c r="G3634" s="31"/>
      <c r="H3634" s="31"/>
      <c r="I3634" s="31"/>
      <c r="J3634" s="31"/>
    </row>
    <row r="3635" spans="7:10" s="29" customFormat="1" x14ac:dyDescent="0.2">
      <c r="G3635" s="31"/>
      <c r="H3635" s="31"/>
      <c r="I3635" s="31"/>
      <c r="J3635" s="31"/>
    </row>
    <row r="3636" spans="7:10" s="29" customFormat="1" x14ac:dyDescent="0.2">
      <c r="G3636" s="31"/>
      <c r="H3636" s="31"/>
      <c r="I3636" s="31"/>
      <c r="J3636" s="31"/>
    </row>
    <row r="3637" spans="7:10" s="29" customFormat="1" x14ac:dyDescent="0.2">
      <c r="G3637" s="31"/>
      <c r="H3637" s="31"/>
      <c r="I3637" s="31"/>
      <c r="J3637" s="31"/>
    </row>
    <row r="3638" spans="7:10" s="29" customFormat="1" x14ac:dyDescent="0.2">
      <c r="G3638" s="31"/>
      <c r="H3638" s="31"/>
      <c r="I3638" s="31"/>
      <c r="J3638" s="31"/>
    </row>
    <row r="3639" spans="7:10" s="29" customFormat="1" x14ac:dyDescent="0.2">
      <c r="G3639" s="31"/>
      <c r="H3639" s="31"/>
      <c r="I3639" s="31"/>
      <c r="J3639" s="31"/>
    </row>
    <row r="3640" spans="7:10" s="29" customFormat="1" x14ac:dyDescent="0.2">
      <c r="G3640" s="31"/>
      <c r="H3640" s="31"/>
      <c r="I3640" s="31"/>
      <c r="J3640" s="31"/>
    </row>
    <row r="3641" spans="7:10" s="29" customFormat="1" x14ac:dyDescent="0.2">
      <c r="G3641" s="31"/>
      <c r="H3641" s="31"/>
      <c r="I3641" s="31"/>
      <c r="J3641" s="31"/>
    </row>
    <row r="3642" spans="7:10" s="29" customFormat="1" x14ac:dyDescent="0.2">
      <c r="G3642" s="31"/>
      <c r="H3642" s="31"/>
      <c r="I3642" s="31"/>
      <c r="J3642" s="31"/>
    </row>
    <row r="3643" spans="7:10" s="29" customFormat="1" x14ac:dyDescent="0.2">
      <c r="G3643" s="31"/>
      <c r="H3643" s="31"/>
      <c r="I3643" s="31"/>
      <c r="J3643" s="31"/>
    </row>
    <row r="3644" spans="7:10" s="29" customFormat="1" x14ac:dyDescent="0.2">
      <c r="G3644" s="31"/>
      <c r="H3644" s="31"/>
      <c r="I3644" s="31"/>
      <c r="J3644" s="31"/>
    </row>
    <row r="3645" spans="7:10" s="29" customFormat="1" x14ac:dyDescent="0.2">
      <c r="G3645" s="31"/>
      <c r="H3645" s="31"/>
      <c r="I3645" s="31"/>
      <c r="J3645" s="31"/>
    </row>
    <row r="3646" spans="7:10" s="29" customFormat="1" x14ac:dyDescent="0.2">
      <c r="G3646" s="31"/>
      <c r="H3646" s="31"/>
      <c r="I3646" s="31"/>
      <c r="J3646" s="31"/>
    </row>
    <row r="3647" spans="7:10" s="29" customFormat="1" x14ac:dyDescent="0.2">
      <c r="G3647" s="31"/>
      <c r="H3647" s="31"/>
      <c r="I3647" s="31"/>
      <c r="J3647" s="31"/>
    </row>
    <row r="3648" spans="7:10" s="29" customFormat="1" x14ac:dyDescent="0.2">
      <c r="G3648" s="31"/>
      <c r="H3648" s="31"/>
      <c r="I3648" s="31"/>
      <c r="J3648" s="31"/>
    </row>
    <row r="3649" spans="7:10" s="29" customFormat="1" x14ac:dyDescent="0.2">
      <c r="G3649" s="31"/>
      <c r="H3649" s="31"/>
      <c r="I3649" s="31"/>
      <c r="J3649" s="31"/>
    </row>
    <row r="3650" spans="7:10" s="29" customFormat="1" x14ac:dyDescent="0.2">
      <c r="G3650" s="31"/>
      <c r="H3650" s="31"/>
      <c r="I3650" s="31"/>
      <c r="J3650" s="31"/>
    </row>
    <row r="3651" spans="7:10" s="29" customFormat="1" x14ac:dyDescent="0.2">
      <c r="G3651" s="31"/>
      <c r="H3651" s="31"/>
      <c r="I3651" s="31"/>
      <c r="J3651" s="31"/>
    </row>
    <row r="3652" spans="7:10" s="29" customFormat="1" x14ac:dyDescent="0.2">
      <c r="G3652" s="31"/>
      <c r="H3652" s="31"/>
      <c r="I3652" s="31"/>
      <c r="J3652" s="31"/>
    </row>
    <row r="3653" spans="7:10" s="29" customFormat="1" x14ac:dyDescent="0.2">
      <c r="G3653" s="31"/>
      <c r="H3653" s="31"/>
      <c r="I3653" s="31"/>
      <c r="J3653" s="31"/>
    </row>
    <row r="3654" spans="7:10" s="29" customFormat="1" x14ac:dyDescent="0.2">
      <c r="G3654" s="31"/>
      <c r="H3654" s="31"/>
      <c r="I3654" s="31"/>
      <c r="J3654" s="31"/>
    </row>
    <row r="3655" spans="7:10" s="29" customFormat="1" x14ac:dyDescent="0.2">
      <c r="G3655" s="31"/>
      <c r="H3655" s="31"/>
      <c r="I3655" s="31"/>
      <c r="J3655" s="31"/>
    </row>
    <row r="3656" spans="7:10" s="29" customFormat="1" x14ac:dyDescent="0.2">
      <c r="G3656" s="31"/>
      <c r="H3656" s="31"/>
      <c r="I3656" s="31"/>
      <c r="J3656" s="31"/>
    </row>
    <row r="3657" spans="7:10" s="29" customFormat="1" x14ac:dyDescent="0.2">
      <c r="G3657" s="31"/>
      <c r="H3657" s="31"/>
      <c r="I3657" s="31"/>
      <c r="J3657" s="31"/>
    </row>
    <row r="3658" spans="7:10" s="29" customFormat="1" x14ac:dyDescent="0.2">
      <c r="G3658" s="31"/>
      <c r="H3658" s="31"/>
      <c r="I3658" s="31"/>
      <c r="J3658" s="31"/>
    </row>
    <row r="3659" spans="7:10" s="29" customFormat="1" x14ac:dyDescent="0.2">
      <c r="G3659" s="31"/>
      <c r="H3659" s="31"/>
      <c r="I3659" s="31"/>
      <c r="J3659" s="31"/>
    </row>
    <row r="3660" spans="7:10" s="29" customFormat="1" x14ac:dyDescent="0.2">
      <c r="G3660" s="31"/>
      <c r="H3660" s="31"/>
      <c r="I3660" s="31"/>
      <c r="J3660" s="31"/>
    </row>
    <row r="3661" spans="7:10" s="29" customFormat="1" x14ac:dyDescent="0.2">
      <c r="G3661" s="31"/>
      <c r="H3661" s="31"/>
      <c r="I3661" s="31"/>
      <c r="J3661" s="31"/>
    </row>
    <row r="3662" spans="7:10" s="29" customFormat="1" x14ac:dyDescent="0.2">
      <c r="G3662" s="31"/>
      <c r="H3662" s="31"/>
      <c r="I3662" s="31"/>
      <c r="J3662" s="31"/>
    </row>
    <row r="3663" spans="7:10" s="29" customFormat="1" x14ac:dyDescent="0.2">
      <c r="G3663" s="31"/>
      <c r="H3663" s="31"/>
      <c r="I3663" s="31"/>
      <c r="J3663" s="31"/>
    </row>
    <row r="3664" spans="7:10" s="29" customFormat="1" x14ac:dyDescent="0.2">
      <c r="G3664" s="31"/>
      <c r="H3664" s="31"/>
      <c r="I3664" s="31"/>
      <c r="J3664" s="31"/>
    </row>
    <row r="3665" spans="7:10" s="29" customFormat="1" x14ac:dyDescent="0.2">
      <c r="G3665" s="31"/>
      <c r="H3665" s="31"/>
      <c r="I3665" s="31"/>
      <c r="J3665" s="31"/>
    </row>
    <row r="3666" spans="7:10" s="29" customFormat="1" x14ac:dyDescent="0.2">
      <c r="G3666" s="31"/>
      <c r="H3666" s="31"/>
      <c r="I3666" s="31"/>
      <c r="J3666" s="31"/>
    </row>
    <row r="3667" spans="7:10" s="29" customFormat="1" x14ac:dyDescent="0.2">
      <c r="G3667" s="31"/>
      <c r="H3667" s="31"/>
      <c r="I3667" s="31"/>
      <c r="J3667" s="31"/>
    </row>
    <row r="3668" spans="7:10" s="29" customFormat="1" x14ac:dyDescent="0.2">
      <c r="G3668" s="31"/>
      <c r="H3668" s="31"/>
      <c r="I3668" s="31"/>
      <c r="J3668" s="31"/>
    </row>
    <row r="3669" spans="7:10" s="29" customFormat="1" x14ac:dyDescent="0.2">
      <c r="G3669" s="31"/>
      <c r="H3669" s="31"/>
      <c r="I3669" s="31"/>
      <c r="J3669" s="31"/>
    </row>
    <row r="3670" spans="7:10" s="29" customFormat="1" x14ac:dyDescent="0.2">
      <c r="G3670" s="31"/>
      <c r="H3670" s="31"/>
      <c r="I3670" s="31"/>
      <c r="J3670" s="31"/>
    </row>
    <row r="3671" spans="7:10" s="29" customFormat="1" x14ac:dyDescent="0.2">
      <c r="G3671" s="31"/>
      <c r="H3671" s="31"/>
      <c r="I3671" s="31"/>
      <c r="J3671" s="31"/>
    </row>
    <row r="3672" spans="7:10" s="29" customFormat="1" x14ac:dyDescent="0.2">
      <c r="G3672" s="31"/>
      <c r="H3672" s="31"/>
      <c r="I3672" s="31"/>
      <c r="J3672" s="31"/>
    </row>
    <row r="3673" spans="7:10" s="29" customFormat="1" x14ac:dyDescent="0.2">
      <c r="G3673" s="31"/>
      <c r="H3673" s="31"/>
      <c r="I3673" s="31"/>
      <c r="J3673" s="31"/>
    </row>
    <row r="3674" spans="7:10" s="29" customFormat="1" x14ac:dyDescent="0.2">
      <c r="G3674" s="31"/>
      <c r="H3674" s="31"/>
      <c r="I3674" s="31"/>
      <c r="J3674" s="31"/>
    </row>
    <row r="3675" spans="7:10" s="29" customFormat="1" x14ac:dyDescent="0.2">
      <c r="G3675" s="31"/>
      <c r="H3675" s="31"/>
      <c r="I3675" s="31"/>
      <c r="J3675" s="31"/>
    </row>
    <row r="3676" spans="7:10" s="29" customFormat="1" x14ac:dyDescent="0.2">
      <c r="G3676" s="31"/>
      <c r="H3676" s="31"/>
      <c r="I3676" s="31"/>
      <c r="J3676" s="31"/>
    </row>
    <row r="3677" spans="7:10" s="29" customFormat="1" x14ac:dyDescent="0.2">
      <c r="G3677" s="31"/>
      <c r="H3677" s="31"/>
      <c r="I3677" s="31"/>
      <c r="J3677" s="31"/>
    </row>
    <row r="3678" spans="7:10" s="29" customFormat="1" x14ac:dyDescent="0.2">
      <c r="G3678" s="31"/>
      <c r="H3678" s="31"/>
      <c r="I3678" s="31"/>
      <c r="J3678" s="31"/>
    </row>
    <row r="3679" spans="7:10" s="29" customFormat="1" x14ac:dyDescent="0.2">
      <c r="G3679" s="31"/>
      <c r="H3679" s="31"/>
      <c r="I3679" s="31"/>
      <c r="J3679" s="31"/>
    </row>
    <row r="3680" spans="7:10" s="29" customFormat="1" x14ac:dyDescent="0.2">
      <c r="G3680" s="31"/>
      <c r="H3680" s="31"/>
      <c r="I3680" s="31"/>
      <c r="J3680" s="31"/>
    </row>
    <row r="3681" spans="7:10" s="29" customFormat="1" x14ac:dyDescent="0.2">
      <c r="G3681" s="31"/>
      <c r="H3681" s="31"/>
      <c r="I3681" s="31"/>
      <c r="J3681" s="31"/>
    </row>
    <row r="3682" spans="7:10" s="29" customFormat="1" x14ac:dyDescent="0.2">
      <c r="G3682" s="31"/>
      <c r="H3682" s="31"/>
      <c r="I3682" s="31"/>
      <c r="J3682" s="31"/>
    </row>
    <row r="3683" spans="7:10" s="29" customFormat="1" x14ac:dyDescent="0.2">
      <c r="G3683" s="31"/>
      <c r="H3683" s="31"/>
      <c r="I3683" s="31"/>
      <c r="J3683" s="31"/>
    </row>
    <row r="3684" spans="7:10" s="29" customFormat="1" x14ac:dyDescent="0.2">
      <c r="G3684" s="31"/>
      <c r="H3684" s="31"/>
      <c r="I3684" s="31"/>
      <c r="J3684" s="31"/>
    </row>
    <row r="3685" spans="7:10" s="29" customFormat="1" x14ac:dyDescent="0.2">
      <c r="G3685" s="31"/>
      <c r="H3685" s="31"/>
      <c r="I3685" s="31"/>
      <c r="J3685" s="31"/>
    </row>
    <row r="3686" spans="7:10" s="29" customFormat="1" x14ac:dyDescent="0.2">
      <c r="G3686" s="31"/>
      <c r="H3686" s="31"/>
      <c r="I3686" s="31"/>
      <c r="J3686" s="31"/>
    </row>
    <row r="3687" spans="7:10" s="29" customFormat="1" x14ac:dyDescent="0.2">
      <c r="G3687" s="31"/>
      <c r="H3687" s="31"/>
      <c r="I3687" s="31"/>
      <c r="J3687" s="31"/>
    </row>
    <row r="3688" spans="7:10" s="29" customFormat="1" x14ac:dyDescent="0.2">
      <c r="G3688" s="31"/>
      <c r="H3688" s="31"/>
      <c r="I3688" s="31"/>
      <c r="J3688" s="31"/>
    </row>
    <row r="3689" spans="7:10" s="29" customFormat="1" x14ac:dyDescent="0.2">
      <c r="G3689" s="31"/>
      <c r="H3689" s="31"/>
      <c r="I3689" s="31"/>
      <c r="J3689" s="31"/>
    </row>
    <row r="3690" spans="7:10" s="29" customFormat="1" x14ac:dyDescent="0.2">
      <c r="G3690" s="31"/>
      <c r="H3690" s="31"/>
      <c r="I3690" s="31"/>
      <c r="J3690" s="31"/>
    </row>
    <row r="3691" spans="7:10" s="29" customFormat="1" x14ac:dyDescent="0.2">
      <c r="G3691" s="31"/>
      <c r="H3691" s="31"/>
      <c r="I3691" s="31"/>
      <c r="J3691" s="31"/>
    </row>
    <row r="3692" spans="7:10" s="29" customFormat="1" x14ac:dyDescent="0.2">
      <c r="G3692" s="31"/>
      <c r="H3692" s="31"/>
      <c r="I3692" s="31"/>
      <c r="J3692" s="31"/>
    </row>
    <row r="3693" spans="7:10" s="29" customFormat="1" x14ac:dyDescent="0.2">
      <c r="G3693" s="31"/>
      <c r="H3693" s="31"/>
      <c r="I3693" s="31"/>
      <c r="J3693" s="31"/>
    </row>
    <row r="3694" spans="7:10" s="29" customFormat="1" x14ac:dyDescent="0.2">
      <c r="G3694" s="31"/>
      <c r="H3694" s="31"/>
      <c r="I3694" s="31"/>
      <c r="J3694" s="31"/>
    </row>
    <row r="3695" spans="7:10" s="29" customFormat="1" x14ac:dyDescent="0.2">
      <c r="G3695" s="31"/>
      <c r="H3695" s="31"/>
      <c r="I3695" s="31"/>
      <c r="J3695" s="31"/>
    </row>
    <row r="3696" spans="7:10" s="29" customFormat="1" x14ac:dyDescent="0.2">
      <c r="G3696" s="31"/>
      <c r="H3696" s="31"/>
      <c r="I3696" s="31"/>
      <c r="J3696" s="31"/>
    </row>
    <row r="3697" spans="7:10" s="29" customFormat="1" x14ac:dyDescent="0.2">
      <c r="G3697" s="31"/>
      <c r="H3697" s="31"/>
      <c r="I3697" s="31"/>
      <c r="J3697" s="31"/>
    </row>
    <row r="3698" spans="7:10" s="29" customFormat="1" x14ac:dyDescent="0.2">
      <c r="G3698" s="31"/>
      <c r="H3698" s="31"/>
      <c r="I3698" s="31"/>
      <c r="J3698" s="31"/>
    </row>
    <row r="3699" spans="7:10" s="29" customFormat="1" x14ac:dyDescent="0.2">
      <c r="G3699" s="31"/>
      <c r="H3699" s="31"/>
      <c r="I3699" s="31"/>
      <c r="J3699" s="31"/>
    </row>
    <row r="3700" spans="7:10" s="29" customFormat="1" x14ac:dyDescent="0.2">
      <c r="G3700" s="31"/>
      <c r="H3700" s="31"/>
      <c r="I3700" s="31"/>
      <c r="J3700" s="31"/>
    </row>
    <row r="3701" spans="7:10" s="29" customFormat="1" x14ac:dyDescent="0.2">
      <c r="G3701" s="31"/>
      <c r="H3701" s="31"/>
      <c r="I3701" s="31"/>
      <c r="J3701" s="31"/>
    </row>
    <row r="3702" spans="7:10" s="29" customFormat="1" x14ac:dyDescent="0.2">
      <c r="G3702" s="31"/>
      <c r="H3702" s="31"/>
      <c r="I3702" s="31"/>
      <c r="J3702" s="31"/>
    </row>
    <row r="3703" spans="7:10" s="29" customFormat="1" x14ac:dyDescent="0.2">
      <c r="G3703" s="31"/>
      <c r="H3703" s="31"/>
      <c r="I3703" s="31"/>
      <c r="J3703" s="31"/>
    </row>
    <row r="3704" spans="7:10" s="29" customFormat="1" x14ac:dyDescent="0.2">
      <c r="G3704" s="31"/>
      <c r="H3704" s="31"/>
      <c r="I3704" s="31"/>
      <c r="J3704" s="31"/>
    </row>
    <row r="3705" spans="7:10" s="29" customFormat="1" x14ac:dyDescent="0.2">
      <c r="G3705" s="31"/>
      <c r="H3705" s="31"/>
      <c r="I3705" s="31"/>
      <c r="J3705" s="31"/>
    </row>
    <row r="3706" spans="7:10" s="29" customFormat="1" x14ac:dyDescent="0.2">
      <c r="G3706" s="31"/>
      <c r="H3706" s="31"/>
      <c r="I3706" s="31"/>
      <c r="J3706" s="31"/>
    </row>
    <row r="3707" spans="7:10" s="29" customFormat="1" x14ac:dyDescent="0.2">
      <c r="G3707" s="31"/>
      <c r="H3707" s="31"/>
      <c r="I3707" s="31"/>
      <c r="J3707" s="31"/>
    </row>
    <row r="3708" spans="7:10" s="29" customFormat="1" x14ac:dyDescent="0.2">
      <c r="G3708" s="31"/>
      <c r="H3708" s="31"/>
      <c r="I3708" s="31"/>
      <c r="J3708" s="31"/>
    </row>
    <row r="3709" spans="7:10" s="29" customFormat="1" x14ac:dyDescent="0.2">
      <c r="G3709" s="31"/>
      <c r="H3709" s="31"/>
      <c r="I3709" s="31"/>
      <c r="J3709" s="31"/>
    </row>
    <row r="3710" spans="7:10" s="29" customFormat="1" x14ac:dyDescent="0.2">
      <c r="G3710" s="31"/>
      <c r="H3710" s="31"/>
      <c r="I3710" s="31"/>
      <c r="J3710" s="31"/>
    </row>
    <row r="3711" spans="7:10" s="29" customFormat="1" x14ac:dyDescent="0.2">
      <c r="G3711" s="31"/>
      <c r="H3711" s="31"/>
      <c r="I3711" s="31"/>
      <c r="J3711" s="31"/>
    </row>
    <row r="3712" spans="7:10" s="29" customFormat="1" x14ac:dyDescent="0.2">
      <c r="G3712" s="31"/>
      <c r="H3712" s="31"/>
      <c r="I3712" s="31"/>
      <c r="J3712" s="31"/>
    </row>
    <row r="3713" spans="7:10" s="29" customFormat="1" x14ac:dyDescent="0.2">
      <c r="G3713" s="31"/>
      <c r="H3713" s="31"/>
      <c r="I3713" s="31"/>
      <c r="J3713" s="31"/>
    </row>
    <row r="3714" spans="7:10" s="29" customFormat="1" x14ac:dyDescent="0.2">
      <c r="G3714" s="31"/>
      <c r="H3714" s="31"/>
      <c r="I3714" s="31"/>
      <c r="J3714" s="31"/>
    </row>
    <row r="3715" spans="7:10" s="29" customFormat="1" x14ac:dyDescent="0.2">
      <c r="G3715" s="31"/>
      <c r="H3715" s="31"/>
      <c r="I3715" s="31"/>
      <c r="J3715" s="31"/>
    </row>
    <row r="3716" spans="7:10" s="29" customFormat="1" x14ac:dyDescent="0.2">
      <c r="G3716" s="31"/>
      <c r="H3716" s="31"/>
      <c r="I3716" s="31"/>
      <c r="J3716" s="31"/>
    </row>
    <row r="3717" spans="7:10" s="29" customFormat="1" x14ac:dyDescent="0.2">
      <c r="G3717" s="31"/>
      <c r="H3717" s="31"/>
      <c r="I3717" s="31"/>
      <c r="J3717" s="31"/>
    </row>
    <row r="3718" spans="7:10" s="29" customFormat="1" x14ac:dyDescent="0.2">
      <c r="G3718" s="31"/>
      <c r="H3718" s="31"/>
      <c r="I3718" s="31"/>
      <c r="J3718" s="31"/>
    </row>
    <row r="3719" spans="7:10" s="29" customFormat="1" x14ac:dyDescent="0.2">
      <c r="G3719" s="31"/>
      <c r="H3719" s="31"/>
      <c r="I3719" s="31"/>
      <c r="J3719" s="31"/>
    </row>
    <row r="3720" spans="7:10" s="29" customFormat="1" x14ac:dyDescent="0.2">
      <c r="G3720" s="31"/>
      <c r="H3720" s="31"/>
      <c r="I3720" s="31"/>
      <c r="J3720" s="31"/>
    </row>
    <row r="3721" spans="7:10" s="29" customFormat="1" x14ac:dyDescent="0.2">
      <c r="G3721" s="31"/>
      <c r="H3721" s="31"/>
      <c r="I3721" s="31"/>
      <c r="J3721" s="31"/>
    </row>
    <row r="3722" spans="7:10" s="29" customFormat="1" x14ac:dyDescent="0.2">
      <c r="G3722" s="31"/>
      <c r="H3722" s="31"/>
      <c r="I3722" s="31"/>
      <c r="J3722" s="31"/>
    </row>
    <row r="3723" spans="7:10" s="29" customFormat="1" x14ac:dyDescent="0.2">
      <c r="G3723" s="31"/>
      <c r="H3723" s="31"/>
      <c r="I3723" s="31"/>
      <c r="J3723" s="31"/>
    </row>
    <row r="3724" spans="7:10" s="29" customFormat="1" x14ac:dyDescent="0.2">
      <c r="G3724" s="31"/>
      <c r="H3724" s="31"/>
      <c r="I3724" s="31"/>
      <c r="J3724" s="31"/>
    </row>
    <row r="3725" spans="7:10" s="29" customFormat="1" x14ac:dyDescent="0.2">
      <c r="G3725" s="31"/>
      <c r="H3725" s="31"/>
      <c r="I3725" s="31"/>
      <c r="J3725" s="31"/>
    </row>
    <row r="3726" spans="7:10" s="29" customFormat="1" x14ac:dyDescent="0.2">
      <c r="G3726" s="31"/>
      <c r="H3726" s="31"/>
      <c r="I3726" s="31"/>
      <c r="J3726" s="31"/>
    </row>
    <row r="3727" spans="7:10" s="29" customFormat="1" x14ac:dyDescent="0.2">
      <c r="G3727" s="31"/>
      <c r="H3727" s="31"/>
      <c r="I3727" s="31"/>
      <c r="J3727" s="31"/>
    </row>
    <row r="3728" spans="7:10" s="29" customFormat="1" x14ac:dyDescent="0.2">
      <c r="G3728" s="31"/>
      <c r="H3728" s="31"/>
      <c r="I3728" s="31"/>
      <c r="J3728" s="31"/>
    </row>
    <row r="3729" spans="7:10" s="29" customFormat="1" x14ac:dyDescent="0.2">
      <c r="G3729" s="31"/>
      <c r="H3729" s="31"/>
      <c r="I3729" s="31"/>
      <c r="J3729" s="31"/>
    </row>
    <row r="3730" spans="7:10" s="29" customFormat="1" x14ac:dyDescent="0.2">
      <c r="G3730" s="31"/>
      <c r="H3730" s="31"/>
      <c r="I3730" s="31"/>
      <c r="J3730" s="31"/>
    </row>
    <row r="3731" spans="7:10" s="29" customFormat="1" x14ac:dyDescent="0.2">
      <c r="G3731" s="31"/>
      <c r="H3731" s="31"/>
      <c r="I3731" s="31"/>
      <c r="J3731" s="31"/>
    </row>
    <row r="3732" spans="7:10" s="29" customFormat="1" x14ac:dyDescent="0.2">
      <c r="G3732" s="31"/>
      <c r="H3732" s="31"/>
      <c r="I3732" s="31"/>
      <c r="J3732" s="31"/>
    </row>
    <row r="3733" spans="7:10" s="29" customFormat="1" x14ac:dyDescent="0.2">
      <c r="G3733" s="31"/>
      <c r="H3733" s="31"/>
      <c r="I3733" s="31"/>
      <c r="J3733" s="31"/>
    </row>
    <row r="3734" spans="7:10" s="29" customFormat="1" x14ac:dyDescent="0.2">
      <c r="G3734" s="31"/>
      <c r="H3734" s="31"/>
      <c r="I3734" s="31"/>
      <c r="J3734" s="31"/>
    </row>
    <row r="3735" spans="7:10" s="29" customFormat="1" x14ac:dyDescent="0.2">
      <c r="G3735" s="31"/>
      <c r="H3735" s="31"/>
      <c r="I3735" s="31"/>
      <c r="J3735" s="31"/>
    </row>
    <row r="3736" spans="7:10" s="29" customFormat="1" x14ac:dyDescent="0.2">
      <c r="G3736" s="31"/>
      <c r="H3736" s="31"/>
      <c r="I3736" s="31"/>
      <c r="J3736" s="31"/>
    </row>
    <row r="3737" spans="7:10" s="29" customFormat="1" x14ac:dyDescent="0.2">
      <c r="G3737" s="31"/>
      <c r="H3737" s="31"/>
      <c r="I3737" s="31"/>
      <c r="J3737" s="31"/>
    </row>
    <row r="3738" spans="7:10" s="29" customFormat="1" x14ac:dyDescent="0.2">
      <c r="G3738" s="31"/>
      <c r="H3738" s="31"/>
      <c r="I3738" s="31"/>
      <c r="J3738" s="31"/>
    </row>
    <row r="3739" spans="7:10" s="29" customFormat="1" x14ac:dyDescent="0.2">
      <c r="G3739" s="31"/>
      <c r="H3739" s="31"/>
      <c r="I3739" s="31"/>
      <c r="J3739" s="31"/>
    </row>
    <row r="3740" spans="7:10" s="29" customFormat="1" x14ac:dyDescent="0.2">
      <c r="G3740" s="31"/>
      <c r="H3740" s="31"/>
      <c r="I3740" s="31"/>
      <c r="J3740" s="31"/>
    </row>
    <row r="3741" spans="7:10" s="29" customFormat="1" x14ac:dyDescent="0.2">
      <c r="G3741" s="31"/>
      <c r="H3741" s="31"/>
      <c r="I3741" s="31"/>
      <c r="J3741" s="31"/>
    </row>
    <row r="3742" spans="7:10" s="29" customFormat="1" x14ac:dyDescent="0.2">
      <c r="G3742" s="31"/>
      <c r="H3742" s="31"/>
      <c r="I3742" s="31"/>
      <c r="J3742" s="31"/>
    </row>
    <row r="3743" spans="7:10" s="29" customFormat="1" x14ac:dyDescent="0.2">
      <c r="G3743" s="31"/>
      <c r="H3743" s="31"/>
      <c r="I3743" s="31"/>
      <c r="J3743" s="31"/>
    </row>
    <row r="3744" spans="7:10" s="29" customFormat="1" x14ac:dyDescent="0.2">
      <c r="G3744" s="31"/>
      <c r="H3744" s="31"/>
      <c r="I3744" s="31"/>
      <c r="J3744" s="31"/>
    </row>
    <row r="3745" spans="7:10" s="29" customFormat="1" x14ac:dyDescent="0.2">
      <c r="G3745" s="31"/>
      <c r="H3745" s="31"/>
      <c r="I3745" s="31"/>
      <c r="J3745" s="31"/>
    </row>
    <row r="3746" spans="7:10" s="29" customFormat="1" x14ac:dyDescent="0.2">
      <c r="G3746" s="31"/>
      <c r="H3746" s="31"/>
      <c r="I3746" s="31"/>
      <c r="J3746" s="31"/>
    </row>
    <row r="3747" spans="7:10" s="29" customFormat="1" x14ac:dyDescent="0.2">
      <c r="G3747" s="31"/>
      <c r="H3747" s="31"/>
      <c r="I3747" s="31"/>
      <c r="J3747" s="31"/>
    </row>
    <row r="3748" spans="7:10" s="29" customFormat="1" x14ac:dyDescent="0.2">
      <c r="G3748" s="31"/>
      <c r="H3748" s="31"/>
      <c r="I3748" s="31"/>
      <c r="J3748" s="31"/>
    </row>
    <row r="3749" spans="7:10" s="29" customFormat="1" x14ac:dyDescent="0.2">
      <c r="G3749" s="31"/>
      <c r="H3749" s="31"/>
      <c r="I3749" s="31"/>
      <c r="J3749" s="31"/>
    </row>
    <row r="3750" spans="7:10" s="29" customFormat="1" x14ac:dyDescent="0.2">
      <c r="G3750" s="31"/>
      <c r="H3750" s="31"/>
      <c r="I3750" s="31"/>
      <c r="J3750" s="31"/>
    </row>
    <row r="3751" spans="7:10" s="29" customFormat="1" x14ac:dyDescent="0.2">
      <c r="G3751" s="31"/>
      <c r="H3751" s="31"/>
      <c r="I3751" s="31"/>
      <c r="J3751" s="31"/>
    </row>
    <row r="3752" spans="7:10" s="29" customFormat="1" x14ac:dyDescent="0.2">
      <c r="G3752" s="31"/>
      <c r="H3752" s="31"/>
      <c r="I3752" s="31"/>
      <c r="J3752" s="31"/>
    </row>
    <row r="3753" spans="7:10" s="29" customFormat="1" x14ac:dyDescent="0.2">
      <c r="G3753" s="31"/>
      <c r="H3753" s="31"/>
      <c r="I3753" s="31"/>
      <c r="J3753" s="31"/>
    </row>
    <row r="3754" spans="7:10" s="29" customFormat="1" x14ac:dyDescent="0.2">
      <c r="G3754" s="31"/>
      <c r="H3754" s="31"/>
      <c r="I3754" s="31"/>
      <c r="J3754" s="31"/>
    </row>
    <row r="3755" spans="7:10" s="29" customFormat="1" x14ac:dyDescent="0.2">
      <c r="G3755" s="31"/>
      <c r="H3755" s="31"/>
      <c r="I3755" s="31"/>
      <c r="J3755" s="31"/>
    </row>
    <row r="3756" spans="7:10" s="29" customFormat="1" x14ac:dyDescent="0.2">
      <c r="G3756" s="31"/>
      <c r="H3756" s="31"/>
      <c r="I3756" s="31"/>
      <c r="J3756" s="31"/>
    </row>
    <row r="3757" spans="7:10" s="29" customFormat="1" x14ac:dyDescent="0.2">
      <c r="G3757" s="31"/>
      <c r="H3757" s="31"/>
      <c r="I3757" s="31"/>
      <c r="J3757" s="31"/>
    </row>
    <row r="3758" spans="7:10" s="29" customFormat="1" x14ac:dyDescent="0.2">
      <c r="G3758" s="31"/>
      <c r="H3758" s="31"/>
      <c r="I3758" s="31"/>
      <c r="J3758" s="31"/>
    </row>
    <row r="3759" spans="7:10" s="29" customFormat="1" x14ac:dyDescent="0.2">
      <c r="G3759" s="31"/>
      <c r="H3759" s="31"/>
      <c r="I3759" s="31"/>
      <c r="J3759" s="31"/>
    </row>
    <row r="3760" spans="7:10" s="29" customFormat="1" x14ac:dyDescent="0.2">
      <c r="G3760" s="31"/>
      <c r="H3760" s="31"/>
      <c r="I3760" s="31"/>
      <c r="J3760" s="31"/>
    </row>
    <row r="3761" spans="7:10" s="29" customFormat="1" x14ac:dyDescent="0.2">
      <c r="G3761" s="31"/>
      <c r="H3761" s="31"/>
      <c r="I3761" s="31"/>
      <c r="J3761" s="31"/>
    </row>
    <row r="3762" spans="7:10" s="29" customFormat="1" x14ac:dyDescent="0.2">
      <c r="G3762" s="31"/>
      <c r="H3762" s="31"/>
      <c r="I3762" s="31"/>
      <c r="J3762" s="31"/>
    </row>
    <row r="3763" spans="7:10" s="29" customFormat="1" x14ac:dyDescent="0.2">
      <c r="G3763" s="31"/>
      <c r="H3763" s="31"/>
      <c r="I3763" s="31"/>
      <c r="J3763" s="31"/>
    </row>
    <row r="3764" spans="7:10" s="29" customFormat="1" x14ac:dyDescent="0.2">
      <c r="G3764" s="31"/>
      <c r="H3764" s="31"/>
      <c r="I3764" s="31"/>
      <c r="J3764" s="31"/>
    </row>
    <row r="3765" spans="7:10" s="29" customFormat="1" x14ac:dyDescent="0.2">
      <c r="G3765" s="31"/>
      <c r="H3765" s="31"/>
      <c r="I3765" s="31"/>
      <c r="J3765" s="31"/>
    </row>
    <row r="3766" spans="7:10" s="29" customFormat="1" x14ac:dyDescent="0.2">
      <c r="G3766" s="31"/>
      <c r="H3766" s="31"/>
      <c r="I3766" s="31"/>
      <c r="J3766" s="31"/>
    </row>
    <row r="3767" spans="7:10" s="29" customFormat="1" x14ac:dyDescent="0.2">
      <c r="G3767" s="31"/>
      <c r="H3767" s="31"/>
      <c r="I3767" s="31"/>
      <c r="J3767" s="31"/>
    </row>
    <row r="3768" spans="7:10" s="29" customFormat="1" x14ac:dyDescent="0.2">
      <c r="G3768" s="31"/>
      <c r="H3768" s="31"/>
      <c r="I3768" s="31"/>
      <c r="J3768" s="31"/>
    </row>
    <row r="3769" spans="7:10" s="29" customFormat="1" x14ac:dyDescent="0.2">
      <c r="G3769" s="31"/>
      <c r="H3769" s="31"/>
      <c r="I3769" s="31"/>
      <c r="J3769" s="31"/>
    </row>
    <row r="3770" spans="7:10" s="29" customFormat="1" x14ac:dyDescent="0.2">
      <c r="G3770" s="31"/>
      <c r="H3770" s="31"/>
      <c r="I3770" s="31"/>
      <c r="J3770" s="31"/>
    </row>
    <row r="3771" spans="7:10" s="29" customFormat="1" x14ac:dyDescent="0.2">
      <c r="G3771" s="31"/>
      <c r="H3771" s="31"/>
      <c r="I3771" s="31"/>
      <c r="J3771" s="31"/>
    </row>
    <row r="3772" spans="7:10" s="29" customFormat="1" x14ac:dyDescent="0.2">
      <c r="G3772" s="31"/>
      <c r="H3772" s="31"/>
      <c r="I3772" s="31"/>
      <c r="J3772" s="31"/>
    </row>
    <row r="3773" spans="7:10" s="29" customFormat="1" x14ac:dyDescent="0.2">
      <c r="G3773" s="31"/>
      <c r="H3773" s="31"/>
      <c r="I3773" s="31"/>
      <c r="J3773" s="31"/>
    </row>
    <row r="3774" spans="7:10" s="29" customFormat="1" x14ac:dyDescent="0.2">
      <c r="G3774" s="31"/>
      <c r="H3774" s="31"/>
      <c r="I3774" s="31"/>
      <c r="J3774" s="31"/>
    </row>
    <row r="3775" spans="7:10" s="29" customFormat="1" x14ac:dyDescent="0.2">
      <c r="G3775" s="31"/>
      <c r="H3775" s="31"/>
      <c r="I3775" s="31"/>
      <c r="J3775" s="31"/>
    </row>
    <row r="3776" spans="7:10" s="29" customFormat="1" x14ac:dyDescent="0.2">
      <c r="G3776" s="31"/>
      <c r="H3776" s="31"/>
      <c r="I3776" s="31"/>
      <c r="J3776" s="31"/>
    </row>
    <row r="3777" spans="7:10" s="29" customFormat="1" x14ac:dyDescent="0.2">
      <c r="G3777" s="31"/>
      <c r="H3777" s="31"/>
      <c r="I3777" s="31"/>
      <c r="J3777" s="31"/>
    </row>
    <row r="3778" spans="7:10" s="29" customFormat="1" x14ac:dyDescent="0.2">
      <c r="G3778" s="31"/>
      <c r="H3778" s="31"/>
      <c r="I3778" s="31"/>
      <c r="J3778" s="31"/>
    </row>
    <row r="3779" spans="7:10" s="29" customFormat="1" x14ac:dyDescent="0.2">
      <c r="G3779" s="31"/>
      <c r="H3779" s="31"/>
      <c r="I3779" s="31"/>
      <c r="J3779" s="31"/>
    </row>
    <row r="3780" spans="7:10" s="29" customFormat="1" x14ac:dyDescent="0.2">
      <c r="G3780" s="31"/>
      <c r="H3780" s="31"/>
      <c r="I3780" s="31"/>
      <c r="J3780" s="31"/>
    </row>
    <row r="3781" spans="7:10" s="29" customFormat="1" x14ac:dyDescent="0.2">
      <c r="G3781" s="31"/>
      <c r="H3781" s="31"/>
      <c r="I3781" s="31"/>
      <c r="J3781" s="31"/>
    </row>
    <row r="3782" spans="7:10" s="29" customFormat="1" x14ac:dyDescent="0.2">
      <c r="G3782" s="31"/>
      <c r="H3782" s="31"/>
      <c r="I3782" s="31"/>
      <c r="J3782" s="31"/>
    </row>
    <row r="3783" spans="7:10" s="29" customFormat="1" x14ac:dyDescent="0.2">
      <c r="G3783" s="31"/>
      <c r="H3783" s="31"/>
      <c r="I3783" s="31"/>
      <c r="J3783" s="31"/>
    </row>
    <row r="3784" spans="7:10" s="29" customFormat="1" x14ac:dyDescent="0.2">
      <c r="G3784" s="31"/>
      <c r="H3784" s="31"/>
      <c r="I3784" s="31"/>
      <c r="J3784" s="31"/>
    </row>
    <row r="3785" spans="7:10" s="29" customFormat="1" x14ac:dyDescent="0.2">
      <c r="G3785" s="31"/>
      <c r="H3785" s="31"/>
      <c r="I3785" s="31"/>
      <c r="J3785" s="31"/>
    </row>
    <row r="3786" spans="7:10" s="29" customFormat="1" x14ac:dyDescent="0.2">
      <c r="G3786" s="31"/>
      <c r="H3786" s="31"/>
      <c r="I3786" s="31"/>
      <c r="J3786" s="31"/>
    </row>
    <row r="3787" spans="7:10" s="29" customFormat="1" x14ac:dyDescent="0.2">
      <c r="G3787" s="31"/>
      <c r="H3787" s="31"/>
      <c r="I3787" s="31"/>
      <c r="J3787" s="31"/>
    </row>
    <row r="3788" spans="7:10" s="29" customFormat="1" x14ac:dyDescent="0.2">
      <c r="G3788" s="31"/>
      <c r="H3788" s="31"/>
      <c r="I3788" s="31"/>
      <c r="J3788" s="31"/>
    </row>
    <row r="3789" spans="7:10" s="29" customFormat="1" x14ac:dyDescent="0.2">
      <c r="G3789" s="31"/>
      <c r="H3789" s="31"/>
      <c r="I3789" s="31"/>
      <c r="J3789" s="31"/>
    </row>
    <row r="3790" spans="7:10" s="29" customFormat="1" x14ac:dyDescent="0.2">
      <c r="G3790" s="31"/>
      <c r="H3790" s="31"/>
      <c r="I3790" s="31"/>
      <c r="J3790" s="31"/>
    </row>
    <row r="3791" spans="7:10" s="29" customFormat="1" x14ac:dyDescent="0.2">
      <c r="G3791" s="31"/>
      <c r="H3791" s="31"/>
      <c r="I3791" s="31"/>
      <c r="J3791" s="31"/>
    </row>
    <row r="3792" spans="7:10" s="29" customFormat="1" x14ac:dyDescent="0.2">
      <c r="G3792" s="31"/>
      <c r="H3792" s="31"/>
      <c r="I3792" s="31"/>
      <c r="J3792" s="31"/>
    </row>
    <row r="3793" spans="7:10" s="29" customFormat="1" x14ac:dyDescent="0.2">
      <c r="G3793" s="31"/>
      <c r="H3793" s="31"/>
      <c r="I3793" s="31"/>
      <c r="J3793" s="31"/>
    </row>
    <row r="3794" spans="7:10" s="29" customFormat="1" x14ac:dyDescent="0.2">
      <c r="G3794" s="31"/>
      <c r="H3794" s="31"/>
      <c r="I3794" s="31"/>
      <c r="J3794" s="31"/>
    </row>
    <row r="3795" spans="7:10" s="29" customFormat="1" x14ac:dyDescent="0.2">
      <c r="G3795" s="31"/>
      <c r="H3795" s="31"/>
      <c r="I3795" s="31"/>
      <c r="J3795" s="31"/>
    </row>
    <row r="3796" spans="7:10" s="29" customFormat="1" x14ac:dyDescent="0.2">
      <c r="G3796" s="31"/>
      <c r="H3796" s="31"/>
      <c r="I3796" s="31"/>
      <c r="J3796" s="31"/>
    </row>
    <row r="3797" spans="7:10" s="29" customFormat="1" x14ac:dyDescent="0.2">
      <c r="G3797" s="31"/>
      <c r="H3797" s="31"/>
      <c r="I3797" s="31"/>
      <c r="J3797" s="31"/>
    </row>
    <row r="3798" spans="7:10" s="29" customFormat="1" x14ac:dyDescent="0.2">
      <c r="G3798" s="31"/>
      <c r="H3798" s="31"/>
      <c r="I3798" s="31"/>
      <c r="J3798" s="31"/>
    </row>
    <row r="3799" spans="7:10" s="29" customFormat="1" x14ac:dyDescent="0.2">
      <c r="G3799" s="31"/>
      <c r="H3799" s="31"/>
      <c r="I3799" s="31"/>
      <c r="J3799" s="31"/>
    </row>
    <row r="3800" spans="7:10" s="29" customFormat="1" x14ac:dyDescent="0.2">
      <c r="G3800" s="31"/>
      <c r="H3800" s="31"/>
      <c r="I3800" s="31"/>
      <c r="J3800" s="31"/>
    </row>
    <row r="3801" spans="7:10" s="29" customFormat="1" x14ac:dyDescent="0.2">
      <c r="G3801" s="31"/>
      <c r="H3801" s="31"/>
      <c r="I3801" s="31"/>
      <c r="J3801" s="31"/>
    </row>
    <row r="3802" spans="7:10" s="29" customFormat="1" x14ac:dyDescent="0.2">
      <c r="G3802" s="31"/>
      <c r="H3802" s="31"/>
      <c r="I3802" s="31"/>
      <c r="J3802" s="31"/>
    </row>
    <row r="3803" spans="7:10" s="29" customFormat="1" x14ac:dyDescent="0.2">
      <c r="G3803" s="31"/>
      <c r="H3803" s="31"/>
      <c r="I3803" s="31"/>
      <c r="J3803" s="31"/>
    </row>
    <row r="3804" spans="7:10" s="29" customFormat="1" x14ac:dyDescent="0.2">
      <c r="G3804" s="31"/>
      <c r="H3804" s="31"/>
      <c r="I3804" s="31"/>
      <c r="J3804" s="31"/>
    </row>
    <row r="3805" spans="7:10" s="29" customFormat="1" x14ac:dyDescent="0.2">
      <c r="G3805" s="31"/>
      <c r="H3805" s="31"/>
      <c r="I3805" s="31"/>
      <c r="J3805" s="31"/>
    </row>
    <row r="3806" spans="7:10" s="29" customFormat="1" x14ac:dyDescent="0.2">
      <c r="G3806" s="31"/>
      <c r="H3806" s="31"/>
      <c r="I3806" s="31"/>
      <c r="J3806" s="31"/>
    </row>
    <row r="3807" spans="7:10" s="29" customFormat="1" x14ac:dyDescent="0.2">
      <c r="G3807" s="31"/>
      <c r="H3807" s="31"/>
      <c r="I3807" s="31"/>
      <c r="J3807" s="31"/>
    </row>
    <row r="3808" spans="7:10" s="29" customFormat="1" x14ac:dyDescent="0.2">
      <c r="G3808" s="31"/>
      <c r="H3808" s="31"/>
      <c r="I3808" s="31"/>
      <c r="J3808" s="31"/>
    </row>
    <row r="3809" spans="7:10" s="29" customFormat="1" x14ac:dyDescent="0.2">
      <c r="G3809" s="31"/>
      <c r="H3809" s="31"/>
      <c r="I3809" s="31"/>
      <c r="J3809" s="31"/>
    </row>
    <row r="3810" spans="7:10" s="29" customFormat="1" x14ac:dyDescent="0.2">
      <c r="G3810" s="31"/>
      <c r="H3810" s="31"/>
      <c r="I3810" s="31"/>
      <c r="J3810" s="31"/>
    </row>
    <row r="3811" spans="7:10" s="29" customFormat="1" x14ac:dyDescent="0.2">
      <c r="G3811" s="31"/>
      <c r="H3811" s="31"/>
      <c r="I3811" s="31"/>
      <c r="J3811" s="31"/>
    </row>
    <row r="3812" spans="7:10" s="29" customFormat="1" x14ac:dyDescent="0.2">
      <c r="G3812" s="31"/>
      <c r="H3812" s="31"/>
      <c r="I3812" s="31"/>
      <c r="J3812" s="31"/>
    </row>
    <row r="3813" spans="7:10" s="29" customFormat="1" x14ac:dyDescent="0.2">
      <c r="G3813" s="31"/>
      <c r="H3813" s="31"/>
      <c r="I3813" s="31"/>
      <c r="J3813" s="31"/>
    </row>
    <row r="3814" spans="7:10" s="29" customFormat="1" x14ac:dyDescent="0.2">
      <c r="G3814" s="31"/>
      <c r="H3814" s="31"/>
      <c r="I3814" s="31"/>
      <c r="J3814" s="31"/>
    </row>
    <row r="3815" spans="7:10" s="29" customFormat="1" x14ac:dyDescent="0.2">
      <c r="G3815" s="31"/>
      <c r="H3815" s="31"/>
      <c r="I3815" s="31"/>
      <c r="J3815" s="31"/>
    </row>
    <row r="3816" spans="7:10" s="29" customFormat="1" x14ac:dyDescent="0.2">
      <c r="G3816" s="31"/>
      <c r="H3816" s="31"/>
      <c r="I3816" s="31"/>
      <c r="J3816" s="31"/>
    </row>
    <row r="3817" spans="7:10" s="29" customFormat="1" x14ac:dyDescent="0.2">
      <c r="G3817" s="31"/>
      <c r="H3817" s="31"/>
      <c r="I3817" s="31"/>
      <c r="J3817" s="31"/>
    </row>
    <row r="3818" spans="7:10" s="29" customFormat="1" x14ac:dyDescent="0.2">
      <c r="G3818" s="31"/>
      <c r="H3818" s="31"/>
      <c r="I3818" s="31"/>
      <c r="J3818" s="31"/>
    </row>
    <row r="3819" spans="7:10" s="29" customFormat="1" x14ac:dyDescent="0.2">
      <c r="G3819" s="31"/>
      <c r="H3819" s="31"/>
      <c r="I3819" s="31"/>
      <c r="J3819" s="31"/>
    </row>
    <row r="3820" spans="7:10" s="29" customFormat="1" x14ac:dyDescent="0.2">
      <c r="G3820" s="31"/>
      <c r="H3820" s="31"/>
      <c r="I3820" s="31"/>
      <c r="J3820" s="31"/>
    </row>
    <row r="3821" spans="7:10" s="29" customFormat="1" x14ac:dyDescent="0.2">
      <c r="G3821" s="31"/>
      <c r="H3821" s="31"/>
      <c r="I3821" s="31"/>
      <c r="J3821" s="31"/>
    </row>
    <row r="3822" spans="7:10" s="29" customFormat="1" x14ac:dyDescent="0.2">
      <c r="G3822" s="31"/>
      <c r="H3822" s="31"/>
      <c r="I3822" s="31"/>
      <c r="J3822" s="31"/>
    </row>
    <row r="3823" spans="7:10" s="29" customFormat="1" x14ac:dyDescent="0.2">
      <c r="G3823" s="31"/>
      <c r="H3823" s="31"/>
      <c r="I3823" s="31"/>
      <c r="J3823" s="31"/>
    </row>
    <row r="3824" spans="7:10" s="29" customFormat="1" x14ac:dyDescent="0.2">
      <c r="G3824" s="31"/>
      <c r="H3824" s="31"/>
      <c r="I3824" s="31"/>
      <c r="J3824" s="31"/>
    </row>
    <row r="3825" spans="7:10" s="29" customFormat="1" x14ac:dyDescent="0.2">
      <c r="G3825" s="31"/>
      <c r="H3825" s="31"/>
      <c r="I3825" s="31"/>
      <c r="J3825" s="31"/>
    </row>
    <row r="3826" spans="7:10" s="29" customFormat="1" x14ac:dyDescent="0.2">
      <c r="G3826" s="31"/>
      <c r="H3826" s="31"/>
      <c r="I3826" s="31"/>
      <c r="J3826" s="31"/>
    </row>
    <row r="3827" spans="7:10" s="29" customFormat="1" x14ac:dyDescent="0.2">
      <c r="G3827" s="31"/>
      <c r="H3827" s="31"/>
      <c r="I3827" s="31"/>
      <c r="J3827" s="31"/>
    </row>
    <row r="3828" spans="7:10" s="29" customFormat="1" x14ac:dyDescent="0.2">
      <c r="G3828" s="31"/>
      <c r="H3828" s="31"/>
      <c r="I3828" s="31"/>
      <c r="J3828" s="31"/>
    </row>
    <row r="3829" spans="7:10" s="29" customFormat="1" x14ac:dyDescent="0.2">
      <c r="G3829" s="31"/>
      <c r="H3829" s="31"/>
      <c r="I3829" s="31"/>
      <c r="J3829" s="31"/>
    </row>
    <row r="3830" spans="7:10" s="29" customFormat="1" x14ac:dyDescent="0.2">
      <c r="G3830" s="31"/>
      <c r="H3830" s="31"/>
      <c r="I3830" s="31"/>
      <c r="J3830" s="31"/>
    </row>
    <row r="3831" spans="7:10" s="29" customFormat="1" x14ac:dyDescent="0.2">
      <c r="G3831" s="31"/>
      <c r="H3831" s="31"/>
      <c r="I3831" s="31"/>
      <c r="J3831" s="31"/>
    </row>
    <row r="3832" spans="7:10" s="29" customFormat="1" x14ac:dyDescent="0.2">
      <c r="G3832" s="31"/>
      <c r="H3832" s="31"/>
      <c r="I3832" s="31"/>
      <c r="J3832" s="31"/>
    </row>
    <row r="3833" spans="7:10" s="29" customFormat="1" x14ac:dyDescent="0.2">
      <c r="G3833" s="31"/>
      <c r="H3833" s="31"/>
      <c r="I3833" s="31"/>
      <c r="J3833" s="31"/>
    </row>
    <row r="3834" spans="7:10" s="29" customFormat="1" x14ac:dyDescent="0.2">
      <c r="G3834" s="31"/>
      <c r="H3834" s="31"/>
      <c r="I3834" s="31"/>
      <c r="J3834" s="31"/>
    </row>
    <row r="3835" spans="7:10" s="29" customFormat="1" x14ac:dyDescent="0.2">
      <c r="G3835" s="31"/>
      <c r="H3835" s="31"/>
      <c r="I3835" s="31"/>
      <c r="J3835" s="31"/>
    </row>
    <row r="3836" spans="7:10" s="29" customFormat="1" x14ac:dyDescent="0.2">
      <c r="G3836" s="31"/>
      <c r="H3836" s="31"/>
      <c r="I3836" s="31"/>
      <c r="J3836" s="31"/>
    </row>
    <row r="3837" spans="7:10" s="29" customFormat="1" x14ac:dyDescent="0.2">
      <c r="G3837" s="31"/>
      <c r="H3837" s="31"/>
      <c r="I3837" s="31"/>
      <c r="J3837" s="31"/>
    </row>
    <row r="3838" spans="7:10" s="29" customFormat="1" x14ac:dyDescent="0.2">
      <c r="G3838" s="31"/>
      <c r="H3838" s="31"/>
      <c r="I3838" s="31"/>
      <c r="J3838" s="31"/>
    </row>
    <row r="3839" spans="7:10" s="29" customFormat="1" x14ac:dyDescent="0.2">
      <c r="G3839" s="31"/>
      <c r="H3839" s="31"/>
      <c r="I3839" s="31"/>
      <c r="J3839" s="31"/>
    </row>
    <row r="3840" spans="7:10" s="29" customFormat="1" x14ac:dyDescent="0.2">
      <c r="G3840" s="31"/>
      <c r="H3840" s="31"/>
      <c r="I3840" s="31"/>
      <c r="J3840" s="31"/>
    </row>
    <row r="3841" spans="7:10" s="29" customFormat="1" x14ac:dyDescent="0.2">
      <c r="G3841" s="31"/>
      <c r="H3841" s="31"/>
      <c r="I3841" s="31"/>
      <c r="J3841" s="31"/>
    </row>
    <row r="3842" spans="7:10" s="29" customFormat="1" x14ac:dyDescent="0.2">
      <c r="G3842" s="31"/>
      <c r="H3842" s="31"/>
      <c r="I3842" s="31"/>
      <c r="J3842" s="31"/>
    </row>
    <row r="3843" spans="7:10" s="29" customFormat="1" x14ac:dyDescent="0.2">
      <c r="G3843" s="31"/>
      <c r="H3843" s="31"/>
      <c r="I3843" s="31"/>
      <c r="J3843" s="31"/>
    </row>
    <row r="3844" spans="7:10" s="29" customFormat="1" x14ac:dyDescent="0.2">
      <c r="G3844" s="31"/>
      <c r="H3844" s="31"/>
      <c r="I3844" s="31"/>
      <c r="J3844" s="31"/>
    </row>
    <row r="3845" spans="7:10" s="29" customFormat="1" x14ac:dyDescent="0.2">
      <c r="G3845" s="31"/>
      <c r="H3845" s="31"/>
      <c r="I3845" s="31"/>
      <c r="J3845" s="31"/>
    </row>
    <row r="3846" spans="7:10" s="29" customFormat="1" x14ac:dyDescent="0.2">
      <c r="G3846" s="31"/>
      <c r="H3846" s="31"/>
      <c r="I3846" s="31"/>
      <c r="J3846" s="31"/>
    </row>
    <row r="3847" spans="7:10" s="29" customFormat="1" x14ac:dyDescent="0.2">
      <c r="G3847" s="31"/>
      <c r="H3847" s="31"/>
      <c r="I3847" s="31"/>
      <c r="J3847" s="31"/>
    </row>
    <row r="3848" spans="7:10" s="29" customFormat="1" x14ac:dyDescent="0.2">
      <c r="G3848" s="31"/>
      <c r="H3848" s="31"/>
      <c r="I3848" s="31"/>
      <c r="J3848" s="31"/>
    </row>
    <row r="3849" spans="7:10" s="29" customFormat="1" x14ac:dyDescent="0.2">
      <c r="G3849" s="31"/>
      <c r="H3849" s="31"/>
      <c r="I3849" s="31"/>
      <c r="J3849" s="31"/>
    </row>
    <row r="3850" spans="7:10" s="29" customFormat="1" x14ac:dyDescent="0.2">
      <c r="G3850" s="31"/>
      <c r="H3850" s="31"/>
      <c r="I3850" s="31"/>
      <c r="J3850" s="31"/>
    </row>
    <row r="3851" spans="7:10" s="29" customFormat="1" x14ac:dyDescent="0.2">
      <c r="G3851" s="31"/>
      <c r="H3851" s="31"/>
      <c r="I3851" s="31"/>
      <c r="J3851" s="31"/>
    </row>
    <row r="3852" spans="7:10" s="29" customFormat="1" x14ac:dyDescent="0.2">
      <c r="G3852" s="31"/>
      <c r="H3852" s="31"/>
      <c r="I3852" s="31"/>
      <c r="J3852" s="31"/>
    </row>
    <row r="3853" spans="7:10" s="29" customFormat="1" x14ac:dyDescent="0.2">
      <c r="G3853" s="31"/>
      <c r="H3853" s="31"/>
      <c r="I3853" s="31"/>
      <c r="J3853" s="31"/>
    </row>
    <row r="3854" spans="7:10" s="29" customFormat="1" x14ac:dyDescent="0.2">
      <c r="G3854" s="31"/>
      <c r="H3854" s="31"/>
      <c r="I3854" s="31"/>
      <c r="J3854" s="31"/>
    </row>
    <row r="3855" spans="7:10" s="29" customFormat="1" x14ac:dyDescent="0.2">
      <c r="G3855" s="31"/>
      <c r="H3855" s="31"/>
      <c r="I3855" s="31"/>
      <c r="J3855" s="31"/>
    </row>
    <row r="3856" spans="7:10" s="29" customFormat="1" x14ac:dyDescent="0.2">
      <c r="G3856" s="31"/>
      <c r="H3856" s="31"/>
      <c r="I3856" s="31"/>
      <c r="J3856" s="31"/>
    </row>
    <row r="3857" spans="7:10" s="29" customFormat="1" x14ac:dyDescent="0.2">
      <c r="G3857" s="31"/>
      <c r="H3857" s="31"/>
      <c r="I3857" s="31"/>
      <c r="J3857" s="31"/>
    </row>
    <row r="3858" spans="7:10" s="29" customFormat="1" x14ac:dyDescent="0.2">
      <c r="G3858" s="31"/>
      <c r="H3858" s="31"/>
      <c r="I3858" s="31"/>
      <c r="J3858" s="31"/>
    </row>
    <row r="3859" spans="7:10" s="29" customFormat="1" x14ac:dyDescent="0.2">
      <c r="G3859" s="31"/>
      <c r="H3859" s="31"/>
      <c r="I3859" s="31"/>
      <c r="J3859" s="31"/>
    </row>
    <row r="3860" spans="7:10" s="29" customFormat="1" x14ac:dyDescent="0.2">
      <c r="G3860" s="31"/>
      <c r="H3860" s="31"/>
      <c r="I3860" s="31"/>
      <c r="J3860" s="31"/>
    </row>
    <row r="3861" spans="7:10" s="29" customFormat="1" x14ac:dyDescent="0.2">
      <c r="G3861" s="31"/>
      <c r="H3861" s="31"/>
      <c r="I3861" s="31"/>
      <c r="J3861" s="31"/>
    </row>
    <row r="3862" spans="7:10" s="29" customFormat="1" x14ac:dyDescent="0.2">
      <c r="G3862" s="31"/>
      <c r="H3862" s="31"/>
      <c r="I3862" s="31"/>
      <c r="J3862" s="31"/>
    </row>
    <row r="3863" spans="7:10" s="29" customFormat="1" x14ac:dyDescent="0.2">
      <c r="G3863" s="31"/>
      <c r="H3863" s="31"/>
      <c r="I3863" s="31"/>
      <c r="J3863" s="31"/>
    </row>
    <row r="3864" spans="7:10" s="29" customFormat="1" x14ac:dyDescent="0.2">
      <c r="G3864" s="31"/>
      <c r="H3864" s="31"/>
      <c r="I3864" s="31"/>
      <c r="J3864" s="31"/>
    </row>
    <row r="3865" spans="7:10" s="29" customFormat="1" x14ac:dyDescent="0.2">
      <c r="G3865" s="31"/>
      <c r="H3865" s="31"/>
      <c r="I3865" s="31"/>
      <c r="J3865" s="31"/>
    </row>
    <row r="3866" spans="7:10" s="29" customFormat="1" x14ac:dyDescent="0.2">
      <c r="G3866" s="31"/>
      <c r="H3866" s="31"/>
      <c r="I3866" s="31"/>
      <c r="J3866" s="31"/>
    </row>
    <row r="3867" spans="7:10" s="29" customFormat="1" x14ac:dyDescent="0.2">
      <c r="G3867" s="31"/>
      <c r="H3867" s="31"/>
      <c r="I3867" s="31"/>
      <c r="J3867" s="31"/>
    </row>
    <row r="3868" spans="7:10" s="29" customFormat="1" x14ac:dyDescent="0.2">
      <c r="G3868" s="31"/>
      <c r="H3868" s="31"/>
      <c r="I3868" s="31"/>
      <c r="J3868" s="31"/>
    </row>
    <row r="3869" spans="7:10" s="29" customFormat="1" x14ac:dyDescent="0.2">
      <c r="G3869" s="31"/>
      <c r="H3869" s="31"/>
      <c r="I3869" s="31"/>
      <c r="J3869" s="31"/>
    </row>
    <row r="3870" spans="7:10" s="29" customFormat="1" x14ac:dyDescent="0.2">
      <c r="G3870" s="31"/>
      <c r="H3870" s="31"/>
      <c r="I3870" s="31"/>
      <c r="J3870" s="31"/>
    </row>
    <row r="3871" spans="7:10" s="29" customFormat="1" x14ac:dyDescent="0.2">
      <c r="G3871" s="31"/>
      <c r="H3871" s="31"/>
      <c r="I3871" s="31"/>
      <c r="J3871" s="31"/>
    </row>
    <row r="3872" spans="7:10" s="29" customFormat="1" x14ac:dyDescent="0.2">
      <c r="G3872" s="31"/>
      <c r="H3872" s="31"/>
      <c r="I3872" s="31"/>
      <c r="J3872" s="31"/>
    </row>
    <row r="3873" spans="7:10" s="29" customFormat="1" x14ac:dyDescent="0.2">
      <c r="G3873" s="31"/>
      <c r="H3873" s="31"/>
      <c r="I3873" s="31"/>
      <c r="J3873" s="31"/>
    </row>
    <row r="3874" spans="7:10" s="29" customFormat="1" x14ac:dyDescent="0.2">
      <c r="G3874" s="31"/>
      <c r="H3874" s="31"/>
      <c r="I3874" s="31"/>
      <c r="J3874" s="31"/>
    </row>
    <row r="3875" spans="7:10" s="29" customFormat="1" x14ac:dyDescent="0.2">
      <c r="G3875" s="31"/>
      <c r="H3875" s="31"/>
      <c r="I3875" s="31"/>
      <c r="J3875" s="31"/>
    </row>
    <row r="3876" spans="7:10" s="29" customFormat="1" x14ac:dyDescent="0.2">
      <c r="G3876" s="31"/>
      <c r="H3876" s="31"/>
      <c r="I3876" s="31"/>
      <c r="J3876" s="31"/>
    </row>
    <row r="3877" spans="7:10" s="29" customFormat="1" x14ac:dyDescent="0.2">
      <c r="G3877" s="31"/>
      <c r="H3877" s="31"/>
      <c r="I3877" s="31"/>
      <c r="J3877" s="31"/>
    </row>
    <row r="3878" spans="7:10" s="29" customFormat="1" x14ac:dyDescent="0.2">
      <c r="G3878" s="31"/>
      <c r="H3878" s="31"/>
      <c r="I3878" s="31"/>
      <c r="J3878" s="31"/>
    </row>
    <row r="3879" spans="7:10" s="29" customFormat="1" x14ac:dyDescent="0.2">
      <c r="G3879" s="31"/>
      <c r="H3879" s="31"/>
      <c r="I3879" s="31"/>
      <c r="J3879" s="31"/>
    </row>
    <row r="3880" spans="7:10" s="29" customFormat="1" x14ac:dyDescent="0.2">
      <c r="G3880" s="31"/>
      <c r="H3880" s="31"/>
      <c r="I3880" s="31"/>
      <c r="J3880" s="31"/>
    </row>
    <row r="3881" spans="7:10" s="29" customFormat="1" x14ac:dyDescent="0.2">
      <c r="G3881" s="31"/>
      <c r="H3881" s="31"/>
      <c r="I3881" s="31"/>
      <c r="J3881" s="31"/>
    </row>
    <row r="3882" spans="7:10" s="29" customFormat="1" x14ac:dyDescent="0.2">
      <c r="G3882" s="31"/>
      <c r="H3882" s="31"/>
      <c r="I3882" s="31"/>
      <c r="J3882" s="31"/>
    </row>
    <row r="3883" spans="7:10" s="29" customFormat="1" x14ac:dyDescent="0.2">
      <c r="G3883" s="31"/>
      <c r="H3883" s="31"/>
      <c r="I3883" s="31"/>
      <c r="J3883" s="31"/>
    </row>
    <row r="3884" spans="7:10" s="29" customFormat="1" x14ac:dyDescent="0.2">
      <c r="G3884" s="31"/>
      <c r="H3884" s="31"/>
      <c r="I3884" s="31"/>
      <c r="J3884" s="31"/>
    </row>
    <row r="3885" spans="7:10" s="29" customFormat="1" x14ac:dyDescent="0.2">
      <c r="G3885" s="31"/>
      <c r="H3885" s="31"/>
      <c r="I3885" s="31"/>
      <c r="J3885" s="31"/>
    </row>
    <row r="3886" spans="7:10" s="29" customFormat="1" x14ac:dyDescent="0.2">
      <c r="G3886" s="31"/>
      <c r="H3886" s="31"/>
      <c r="I3886" s="31"/>
      <c r="J3886" s="31"/>
    </row>
    <row r="3887" spans="7:10" s="29" customFormat="1" x14ac:dyDescent="0.2">
      <c r="G3887" s="31"/>
      <c r="H3887" s="31"/>
      <c r="I3887" s="31"/>
      <c r="J3887" s="31"/>
    </row>
    <row r="3888" spans="7:10" s="29" customFormat="1" x14ac:dyDescent="0.2">
      <c r="G3888" s="31"/>
      <c r="H3888" s="31"/>
      <c r="I3888" s="31"/>
      <c r="J3888" s="31"/>
    </row>
    <row r="3889" spans="7:10" s="29" customFormat="1" x14ac:dyDescent="0.2">
      <c r="G3889" s="31"/>
      <c r="H3889" s="31"/>
      <c r="I3889" s="31"/>
      <c r="J3889" s="31"/>
    </row>
    <row r="3890" spans="7:10" s="29" customFormat="1" x14ac:dyDescent="0.2">
      <c r="G3890" s="31"/>
      <c r="H3890" s="31"/>
      <c r="I3890" s="31"/>
      <c r="J3890" s="31"/>
    </row>
    <row r="3891" spans="7:10" s="29" customFormat="1" x14ac:dyDescent="0.2">
      <c r="G3891" s="31"/>
      <c r="H3891" s="31"/>
      <c r="I3891" s="31"/>
      <c r="J3891" s="31"/>
    </row>
    <row r="3892" spans="7:10" s="29" customFormat="1" x14ac:dyDescent="0.2">
      <c r="G3892" s="31"/>
      <c r="H3892" s="31"/>
      <c r="I3892" s="31"/>
      <c r="J3892" s="31"/>
    </row>
    <row r="3893" spans="7:10" s="29" customFormat="1" x14ac:dyDescent="0.2">
      <c r="G3893" s="31"/>
      <c r="H3893" s="31"/>
      <c r="I3893" s="31"/>
      <c r="J3893" s="31"/>
    </row>
    <row r="3894" spans="7:10" s="29" customFormat="1" x14ac:dyDescent="0.2">
      <c r="G3894" s="31"/>
      <c r="H3894" s="31"/>
      <c r="I3894" s="31"/>
      <c r="J3894" s="31"/>
    </row>
    <row r="3895" spans="7:10" s="29" customFormat="1" x14ac:dyDescent="0.2">
      <c r="G3895" s="31"/>
      <c r="H3895" s="31"/>
      <c r="I3895" s="31"/>
      <c r="J3895" s="31"/>
    </row>
    <row r="3896" spans="7:10" s="29" customFormat="1" x14ac:dyDescent="0.2">
      <c r="G3896" s="31"/>
      <c r="H3896" s="31"/>
      <c r="I3896" s="31"/>
      <c r="J3896" s="31"/>
    </row>
    <row r="3897" spans="7:10" s="29" customFormat="1" x14ac:dyDescent="0.2">
      <c r="G3897" s="31"/>
      <c r="H3897" s="31"/>
      <c r="I3897" s="31"/>
      <c r="J3897" s="31"/>
    </row>
    <row r="3898" spans="7:10" s="29" customFormat="1" x14ac:dyDescent="0.2">
      <c r="G3898" s="31"/>
      <c r="H3898" s="31"/>
      <c r="I3898" s="31"/>
      <c r="J3898" s="31"/>
    </row>
    <row r="3899" spans="7:10" s="29" customFormat="1" x14ac:dyDescent="0.2">
      <c r="G3899" s="31"/>
      <c r="H3899" s="31"/>
      <c r="I3899" s="31"/>
      <c r="J3899" s="31"/>
    </row>
    <row r="3900" spans="7:10" s="29" customFormat="1" x14ac:dyDescent="0.2">
      <c r="G3900" s="31"/>
      <c r="H3900" s="31"/>
      <c r="I3900" s="31"/>
      <c r="J3900" s="31"/>
    </row>
    <row r="3901" spans="7:10" s="29" customFormat="1" x14ac:dyDescent="0.2">
      <c r="G3901" s="31"/>
      <c r="H3901" s="31"/>
      <c r="I3901" s="31"/>
      <c r="J3901" s="31"/>
    </row>
    <row r="3902" spans="7:10" s="29" customFormat="1" x14ac:dyDescent="0.2">
      <c r="G3902" s="31"/>
      <c r="H3902" s="31"/>
      <c r="I3902" s="31"/>
      <c r="J3902" s="31"/>
    </row>
    <row r="3903" spans="7:10" s="29" customFormat="1" x14ac:dyDescent="0.2">
      <c r="G3903" s="31"/>
      <c r="H3903" s="31"/>
      <c r="I3903" s="31"/>
      <c r="J3903" s="31"/>
    </row>
    <row r="3904" spans="7:10" s="29" customFormat="1" x14ac:dyDescent="0.2">
      <c r="G3904" s="31"/>
      <c r="H3904" s="31"/>
      <c r="I3904" s="31"/>
      <c r="J3904" s="31"/>
    </row>
    <row r="3905" spans="7:10" s="29" customFormat="1" x14ac:dyDescent="0.2">
      <c r="G3905" s="31"/>
      <c r="H3905" s="31"/>
      <c r="I3905" s="31"/>
      <c r="J3905" s="31"/>
    </row>
    <row r="3906" spans="7:10" s="29" customFormat="1" x14ac:dyDescent="0.2">
      <c r="G3906" s="31"/>
      <c r="H3906" s="31"/>
      <c r="I3906" s="31"/>
      <c r="J3906" s="31"/>
    </row>
    <row r="3907" spans="7:10" s="29" customFormat="1" x14ac:dyDescent="0.2">
      <c r="G3907" s="31"/>
      <c r="H3907" s="31"/>
      <c r="I3907" s="31"/>
      <c r="J3907" s="31"/>
    </row>
    <row r="3908" spans="7:10" s="29" customFormat="1" x14ac:dyDescent="0.2">
      <c r="G3908" s="31"/>
      <c r="H3908" s="31"/>
      <c r="I3908" s="31"/>
      <c r="J3908" s="31"/>
    </row>
    <row r="3909" spans="7:10" s="29" customFormat="1" x14ac:dyDescent="0.2">
      <c r="G3909" s="31"/>
      <c r="H3909" s="31"/>
      <c r="I3909" s="31"/>
      <c r="J3909" s="31"/>
    </row>
    <row r="3910" spans="7:10" s="29" customFormat="1" x14ac:dyDescent="0.2">
      <c r="G3910" s="31"/>
      <c r="H3910" s="31"/>
      <c r="I3910" s="31"/>
      <c r="J3910" s="31"/>
    </row>
    <row r="3911" spans="7:10" s="29" customFormat="1" x14ac:dyDescent="0.2">
      <c r="G3911" s="31"/>
      <c r="H3911" s="31"/>
      <c r="I3911" s="31"/>
      <c r="J3911" s="31"/>
    </row>
    <row r="3912" spans="7:10" s="29" customFormat="1" x14ac:dyDescent="0.2">
      <c r="G3912" s="31"/>
      <c r="H3912" s="31"/>
      <c r="I3912" s="31"/>
      <c r="J3912" s="31"/>
    </row>
    <row r="3913" spans="7:10" s="29" customFormat="1" x14ac:dyDescent="0.2">
      <c r="G3913" s="31"/>
      <c r="H3913" s="31"/>
      <c r="I3913" s="31"/>
      <c r="J3913" s="31"/>
    </row>
    <row r="3914" spans="7:10" s="29" customFormat="1" x14ac:dyDescent="0.2">
      <c r="G3914" s="31"/>
      <c r="H3914" s="31"/>
      <c r="I3914" s="31"/>
      <c r="J3914" s="31"/>
    </row>
    <row r="3915" spans="7:10" s="29" customFormat="1" x14ac:dyDescent="0.2">
      <c r="G3915" s="31"/>
      <c r="H3915" s="31"/>
      <c r="I3915" s="31"/>
      <c r="J3915" s="31"/>
    </row>
    <row r="3916" spans="7:10" s="29" customFormat="1" x14ac:dyDescent="0.2">
      <c r="G3916" s="31"/>
      <c r="H3916" s="31"/>
      <c r="I3916" s="31"/>
      <c r="J3916" s="31"/>
    </row>
    <row r="3917" spans="7:10" s="29" customFormat="1" x14ac:dyDescent="0.2">
      <c r="G3917" s="31"/>
      <c r="H3917" s="31"/>
      <c r="I3917" s="31"/>
      <c r="J3917" s="31"/>
    </row>
    <row r="3918" spans="7:10" s="29" customFormat="1" x14ac:dyDescent="0.2">
      <c r="G3918" s="31"/>
      <c r="H3918" s="31"/>
      <c r="I3918" s="31"/>
      <c r="J3918" s="31"/>
    </row>
    <row r="3919" spans="7:10" s="29" customFormat="1" x14ac:dyDescent="0.2">
      <c r="G3919" s="31"/>
      <c r="H3919" s="31"/>
      <c r="I3919" s="31"/>
      <c r="J3919" s="31"/>
    </row>
    <row r="3920" spans="7:10" s="29" customFormat="1" x14ac:dyDescent="0.2">
      <c r="G3920" s="31"/>
      <c r="H3920" s="31"/>
      <c r="I3920" s="31"/>
      <c r="J3920" s="31"/>
    </row>
    <row r="3921" spans="7:10" s="29" customFormat="1" x14ac:dyDescent="0.2">
      <c r="G3921" s="31"/>
      <c r="H3921" s="31"/>
      <c r="I3921" s="31"/>
      <c r="J3921" s="31"/>
    </row>
    <row r="3922" spans="7:10" s="29" customFormat="1" x14ac:dyDescent="0.2">
      <c r="G3922" s="31"/>
      <c r="H3922" s="31"/>
      <c r="I3922" s="31"/>
      <c r="J3922" s="31"/>
    </row>
    <row r="3923" spans="7:10" s="29" customFormat="1" x14ac:dyDescent="0.2">
      <c r="G3923" s="31"/>
      <c r="H3923" s="31"/>
      <c r="I3923" s="31"/>
      <c r="J3923" s="31"/>
    </row>
    <row r="3924" spans="7:10" s="29" customFormat="1" x14ac:dyDescent="0.2">
      <c r="G3924" s="31"/>
      <c r="H3924" s="31"/>
      <c r="I3924" s="31"/>
      <c r="J3924" s="31"/>
    </row>
    <row r="3925" spans="7:10" s="29" customFormat="1" x14ac:dyDescent="0.2">
      <c r="G3925" s="31"/>
      <c r="H3925" s="31"/>
      <c r="I3925" s="31"/>
      <c r="J3925" s="31"/>
    </row>
    <row r="3926" spans="7:10" s="29" customFormat="1" x14ac:dyDescent="0.2">
      <c r="G3926" s="31"/>
      <c r="H3926" s="31"/>
      <c r="I3926" s="31"/>
      <c r="J3926" s="31"/>
    </row>
    <row r="3927" spans="7:10" s="29" customFormat="1" x14ac:dyDescent="0.2">
      <c r="G3927" s="31"/>
      <c r="H3927" s="31"/>
      <c r="I3927" s="31"/>
      <c r="J3927" s="31"/>
    </row>
    <row r="3928" spans="7:10" s="29" customFormat="1" x14ac:dyDescent="0.2">
      <c r="G3928" s="31"/>
      <c r="H3928" s="31"/>
      <c r="I3928" s="31"/>
      <c r="J3928" s="31"/>
    </row>
    <row r="3929" spans="7:10" s="29" customFormat="1" x14ac:dyDescent="0.2">
      <c r="G3929" s="31"/>
      <c r="H3929" s="31"/>
      <c r="I3929" s="31"/>
      <c r="J3929" s="31"/>
    </row>
    <row r="3930" spans="7:10" s="29" customFormat="1" x14ac:dyDescent="0.2">
      <c r="G3930" s="31"/>
      <c r="H3930" s="31"/>
      <c r="I3930" s="31"/>
      <c r="J3930" s="31"/>
    </row>
    <row r="3931" spans="7:10" s="29" customFormat="1" x14ac:dyDescent="0.2">
      <c r="G3931" s="31"/>
      <c r="H3931" s="31"/>
      <c r="I3931" s="31"/>
      <c r="J3931" s="31"/>
    </row>
    <row r="3932" spans="7:10" s="29" customFormat="1" x14ac:dyDescent="0.2">
      <c r="G3932" s="31"/>
      <c r="H3932" s="31"/>
      <c r="I3932" s="31"/>
      <c r="J3932" s="31"/>
    </row>
    <row r="3933" spans="7:10" s="29" customFormat="1" x14ac:dyDescent="0.2">
      <c r="G3933" s="31"/>
      <c r="H3933" s="31"/>
      <c r="I3933" s="31"/>
      <c r="J3933" s="31"/>
    </row>
    <row r="3934" spans="7:10" s="29" customFormat="1" x14ac:dyDescent="0.2">
      <c r="G3934" s="31"/>
      <c r="H3934" s="31"/>
      <c r="I3934" s="31"/>
      <c r="J3934" s="31"/>
    </row>
    <row r="3935" spans="7:10" s="29" customFormat="1" x14ac:dyDescent="0.2">
      <c r="G3935" s="31"/>
      <c r="H3935" s="31"/>
      <c r="I3935" s="31"/>
      <c r="J3935" s="31"/>
    </row>
    <row r="3936" spans="7:10" s="29" customFormat="1" x14ac:dyDescent="0.2">
      <c r="G3936" s="31"/>
      <c r="H3936" s="31"/>
      <c r="I3936" s="31"/>
      <c r="J3936" s="31"/>
    </row>
    <row r="3937" spans="7:10" s="29" customFormat="1" x14ac:dyDescent="0.2">
      <c r="G3937" s="31"/>
      <c r="H3937" s="31"/>
      <c r="I3937" s="31"/>
      <c r="J3937" s="31"/>
    </row>
    <row r="3938" spans="7:10" s="29" customFormat="1" x14ac:dyDescent="0.2">
      <c r="G3938" s="31"/>
      <c r="H3938" s="31"/>
      <c r="I3938" s="31"/>
      <c r="J3938" s="31"/>
    </row>
    <row r="3939" spans="7:10" s="29" customFormat="1" x14ac:dyDescent="0.2">
      <c r="G3939" s="31"/>
      <c r="H3939" s="31"/>
      <c r="I3939" s="31"/>
      <c r="J3939" s="31"/>
    </row>
    <row r="3940" spans="7:10" s="29" customFormat="1" x14ac:dyDescent="0.2">
      <c r="G3940" s="31"/>
      <c r="H3940" s="31"/>
      <c r="I3940" s="31"/>
      <c r="J3940" s="31"/>
    </row>
    <row r="3941" spans="7:10" s="29" customFormat="1" x14ac:dyDescent="0.2">
      <c r="G3941" s="31"/>
      <c r="H3941" s="31"/>
      <c r="I3941" s="31"/>
      <c r="J3941" s="31"/>
    </row>
    <row r="3942" spans="7:10" s="29" customFormat="1" x14ac:dyDescent="0.2">
      <c r="G3942" s="31"/>
      <c r="H3942" s="31"/>
      <c r="I3942" s="31"/>
      <c r="J3942" s="31"/>
    </row>
    <row r="3943" spans="7:10" s="29" customFormat="1" x14ac:dyDescent="0.2">
      <c r="G3943" s="31"/>
      <c r="H3943" s="31"/>
      <c r="I3943" s="31"/>
      <c r="J3943" s="31"/>
    </row>
    <row r="3944" spans="7:10" s="29" customFormat="1" x14ac:dyDescent="0.2">
      <c r="G3944" s="31"/>
      <c r="H3944" s="31"/>
      <c r="I3944" s="31"/>
      <c r="J3944" s="31"/>
    </row>
    <row r="3945" spans="7:10" s="29" customFormat="1" x14ac:dyDescent="0.2">
      <c r="G3945" s="31"/>
      <c r="H3945" s="31"/>
      <c r="I3945" s="31"/>
      <c r="J3945" s="31"/>
    </row>
    <row r="3946" spans="7:10" s="29" customFormat="1" x14ac:dyDescent="0.2">
      <c r="G3946" s="31"/>
      <c r="H3946" s="31"/>
      <c r="I3946" s="31"/>
      <c r="J3946" s="31"/>
    </row>
    <row r="3947" spans="7:10" s="29" customFormat="1" x14ac:dyDescent="0.2">
      <c r="G3947" s="31"/>
      <c r="H3947" s="31"/>
      <c r="I3947" s="31"/>
      <c r="J3947" s="31"/>
    </row>
    <row r="3948" spans="7:10" s="29" customFormat="1" x14ac:dyDescent="0.2">
      <c r="G3948" s="31"/>
      <c r="H3948" s="31"/>
      <c r="I3948" s="31"/>
      <c r="J3948" s="31"/>
    </row>
    <row r="3949" spans="7:10" s="29" customFormat="1" x14ac:dyDescent="0.2">
      <c r="G3949" s="31"/>
      <c r="H3949" s="31"/>
      <c r="I3949" s="31"/>
      <c r="J3949" s="31"/>
    </row>
    <row r="3950" spans="7:10" s="29" customFormat="1" x14ac:dyDescent="0.2">
      <c r="G3950" s="31"/>
      <c r="H3950" s="31"/>
      <c r="I3950" s="31"/>
      <c r="J3950" s="31"/>
    </row>
    <row r="3951" spans="7:10" s="29" customFormat="1" x14ac:dyDescent="0.2">
      <c r="G3951" s="31"/>
      <c r="H3951" s="31"/>
      <c r="I3951" s="31"/>
      <c r="J3951" s="31"/>
    </row>
    <row r="3952" spans="7:10" s="29" customFormat="1" x14ac:dyDescent="0.2">
      <c r="G3952" s="31"/>
      <c r="H3952" s="31"/>
      <c r="I3952" s="31"/>
      <c r="J3952" s="31"/>
    </row>
    <row r="3953" spans="7:10" s="29" customFormat="1" x14ac:dyDescent="0.2">
      <c r="G3953" s="31"/>
      <c r="H3953" s="31"/>
      <c r="I3953" s="31"/>
      <c r="J3953" s="31"/>
    </row>
    <row r="3954" spans="7:10" s="29" customFormat="1" x14ac:dyDescent="0.2">
      <c r="G3954" s="31"/>
      <c r="H3954" s="31"/>
      <c r="I3954" s="31"/>
      <c r="J3954" s="31"/>
    </row>
    <row r="3955" spans="7:10" s="29" customFormat="1" x14ac:dyDescent="0.2">
      <c r="G3955" s="31"/>
      <c r="H3955" s="31"/>
      <c r="I3955" s="31"/>
      <c r="J3955" s="31"/>
    </row>
    <row r="3956" spans="7:10" s="29" customFormat="1" x14ac:dyDescent="0.2">
      <c r="G3956" s="31"/>
      <c r="H3956" s="31"/>
      <c r="I3956" s="31"/>
      <c r="J3956" s="31"/>
    </row>
    <row r="3957" spans="7:10" s="29" customFormat="1" x14ac:dyDescent="0.2">
      <c r="G3957" s="31"/>
      <c r="H3957" s="31"/>
      <c r="I3957" s="31"/>
      <c r="J3957" s="31"/>
    </row>
    <row r="3958" spans="7:10" s="29" customFormat="1" x14ac:dyDescent="0.2">
      <c r="G3958" s="31"/>
      <c r="H3958" s="31"/>
      <c r="I3958" s="31"/>
      <c r="J3958" s="31"/>
    </row>
    <row r="3959" spans="7:10" s="29" customFormat="1" x14ac:dyDescent="0.2">
      <c r="G3959" s="31"/>
      <c r="H3959" s="31"/>
      <c r="I3959" s="31"/>
      <c r="J3959" s="31"/>
    </row>
    <row r="3960" spans="7:10" s="29" customFormat="1" x14ac:dyDescent="0.2">
      <c r="G3960" s="31"/>
      <c r="H3960" s="31"/>
      <c r="I3960" s="31"/>
      <c r="J3960" s="31"/>
    </row>
    <row r="3961" spans="7:10" s="29" customFormat="1" x14ac:dyDescent="0.2">
      <c r="G3961" s="31"/>
      <c r="H3961" s="31"/>
      <c r="I3961" s="31"/>
      <c r="J3961" s="31"/>
    </row>
    <row r="3962" spans="7:10" s="29" customFormat="1" x14ac:dyDescent="0.2">
      <c r="G3962" s="31"/>
      <c r="H3962" s="31"/>
      <c r="I3962" s="31"/>
      <c r="J3962" s="31"/>
    </row>
    <row r="3963" spans="7:10" s="29" customFormat="1" x14ac:dyDescent="0.2">
      <c r="G3963" s="31"/>
      <c r="H3963" s="31"/>
      <c r="I3963" s="31"/>
      <c r="J3963" s="31"/>
    </row>
    <row r="3964" spans="7:10" s="29" customFormat="1" x14ac:dyDescent="0.2">
      <c r="G3964" s="31"/>
      <c r="H3964" s="31"/>
      <c r="I3964" s="31"/>
      <c r="J3964" s="31"/>
    </row>
    <row r="3965" spans="7:10" s="29" customFormat="1" x14ac:dyDescent="0.2">
      <c r="G3965" s="31"/>
      <c r="H3965" s="31"/>
      <c r="I3965" s="31"/>
      <c r="J3965" s="31"/>
    </row>
    <row r="3966" spans="7:10" s="29" customFormat="1" x14ac:dyDescent="0.2">
      <c r="G3966" s="31"/>
      <c r="H3966" s="31"/>
      <c r="I3966" s="31"/>
      <c r="J3966" s="31"/>
    </row>
    <row r="3967" spans="7:10" s="29" customFormat="1" x14ac:dyDescent="0.2">
      <c r="G3967" s="31"/>
      <c r="H3967" s="31"/>
      <c r="I3967" s="31"/>
      <c r="J3967" s="31"/>
    </row>
    <row r="3968" spans="7:10" s="29" customFormat="1" x14ac:dyDescent="0.2">
      <c r="G3968" s="31"/>
      <c r="H3968" s="31"/>
      <c r="I3968" s="31"/>
      <c r="J3968" s="31"/>
    </row>
    <row r="3969" spans="7:10" s="29" customFormat="1" x14ac:dyDescent="0.2">
      <c r="G3969" s="31"/>
      <c r="H3969" s="31"/>
      <c r="I3969" s="31"/>
      <c r="J3969" s="31"/>
    </row>
    <row r="3970" spans="7:10" s="29" customFormat="1" x14ac:dyDescent="0.2">
      <c r="G3970" s="31"/>
      <c r="H3970" s="31"/>
      <c r="I3970" s="31"/>
      <c r="J3970" s="31"/>
    </row>
    <row r="3971" spans="7:10" s="29" customFormat="1" x14ac:dyDescent="0.2">
      <c r="G3971" s="31"/>
      <c r="H3971" s="31"/>
      <c r="I3971" s="31"/>
      <c r="J3971" s="31"/>
    </row>
    <row r="3972" spans="7:10" s="29" customFormat="1" x14ac:dyDescent="0.2">
      <c r="G3972" s="31"/>
      <c r="H3972" s="31"/>
      <c r="I3972" s="31"/>
      <c r="J3972" s="31"/>
    </row>
    <row r="3973" spans="7:10" s="29" customFormat="1" x14ac:dyDescent="0.2">
      <c r="G3973" s="31"/>
      <c r="H3973" s="31"/>
      <c r="I3973" s="31"/>
      <c r="J3973" s="31"/>
    </row>
    <row r="3974" spans="7:10" s="29" customFormat="1" x14ac:dyDescent="0.2">
      <c r="G3974" s="31"/>
      <c r="H3974" s="31"/>
      <c r="I3974" s="31"/>
      <c r="J3974" s="31"/>
    </row>
    <row r="3975" spans="7:10" s="29" customFormat="1" x14ac:dyDescent="0.2">
      <c r="G3975" s="31"/>
      <c r="H3975" s="31"/>
      <c r="I3975" s="31"/>
      <c r="J3975" s="31"/>
    </row>
    <row r="3976" spans="7:10" s="29" customFormat="1" x14ac:dyDescent="0.2">
      <c r="G3976" s="31"/>
      <c r="H3976" s="31"/>
      <c r="I3976" s="31"/>
      <c r="J3976" s="31"/>
    </row>
    <row r="3977" spans="7:10" s="29" customFormat="1" x14ac:dyDescent="0.2">
      <c r="G3977" s="31"/>
      <c r="H3977" s="31"/>
      <c r="I3977" s="31"/>
      <c r="J3977" s="31"/>
    </row>
    <row r="3978" spans="7:10" s="29" customFormat="1" x14ac:dyDescent="0.2">
      <c r="G3978" s="31"/>
      <c r="H3978" s="31"/>
      <c r="I3978" s="31"/>
      <c r="J3978" s="31"/>
    </row>
    <row r="3979" spans="7:10" s="29" customFormat="1" x14ac:dyDescent="0.2">
      <c r="G3979" s="31"/>
      <c r="H3979" s="31"/>
      <c r="I3979" s="31"/>
      <c r="J3979" s="31"/>
    </row>
    <row r="3980" spans="7:10" s="29" customFormat="1" x14ac:dyDescent="0.2">
      <c r="G3980" s="31"/>
      <c r="H3980" s="31"/>
      <c r="I3980" s="31"/>
      <c r="J3980" s="31"/>
    </row>
    <row r="3981" spans="7:10" s="29" customFormat="1" x14ac:dyDescent="0.2">
      <c r="G3981" s="31"/>
      <c r="H3981" s="31"/>
      <c r="I3981" s="31"/>
      <c r="J3981" s="31"/>
    </row>
    <row r="3982" spans="7:10" s="29" customFormat="1" x14ac:dyDescent="0.2">
      <c r="G3982" s="31"/>
      <c r="H3982" s="31"/>
      <c r="I3982" s="31"/>
      <c r="J3982" s="31"/>
    </row>
    <row r="3983" spans="7:10" s="29" customFormat="1" x14ac:dyDescent="0.2">
      <c r="G3983" s="31"/>
      <c r="H3983" s="31"/>
      <c r="I3983" s="31"/>
      <c r="J3983" s="31"/>
    </row>
    <row r="3984" spans="7:10" s="29" customFormat="1" x14ac:dyDescent="0.2">
      <c r="G3984" s="31"/>
      <c r="H3984" s="31"/>
      <c r="I3984" s="31"/>
      <c r="J3984" s="31"/>
    </row>
    <row r="3985" spans="7:10" s="29" customFormat="1" x14ac:dyDescent="0.2">
      <c r="G3985" s="31"/>
      <c r="H3985" s="31"/>
      <c r="I3985" s="31"/>
      <c r="J3985" s="31"/>
    </row>
    <row r="3986" spans="7:10" s="29" customFormat="1" x14ac:dyDescent="0.2">
      <c r="G3986" s="31"/>
      <c r="H3986" s="31"/>
      <c r="I3986" s="31"/>
      <c r="J3986" s="31"/>
    </row>
    <row r="3987" spans="7:10" s="29" customFormat="1" x14ac:dyDescent="0.2">
      <c r="G3987" s="31"/>
      <c r="H3987" s="31"/>
      <c r="I3987" s="31"/>
      <c r="J3987" s="31"/>
    </row>
    <row r="3988" spans="7:10" s="29" customFormat="1" x14ac:dyDescent="0.2">
      <c r="G3988" s="31"/>
      <c r="H3988" s="31"/>
      <c r="I3988" s="31"/>
      <c r="J3988" s="31"/>
    </row>
    <row r="3989" spans="7:10" s="29" customFormat="1" x14ac:dyDescent="0.2">
      <c r="G3989" s="31"/>
      <c r="H3989" s="31"/>
      <c r="I3989" s="31"/>
      <c r="J3989" s="31"/>
    </row>
    <row r="3990" spans="7:10" s="29" customFormat="1" x14ac:dyDescent="0.2">
      <c r="G3990" s="31"/>
      <c r="H3990" s="31"/>
      <c r="I3990" s="31"/>
      <c r="J3990" s="31"/>
    </row>
    <row r="3991" spans="7:10" s="29" customFormat="1" x14ac:dyDescent="0.2">
      <c r="G3991" s="31"/>
      <c r="H3991" s="31"/>
      <c r="I3991" s="31"/>
      <c r="J3991" s="31"/>
    </row>
    <row r="3992" spans="7:10" s="29" customFormat="1" x14ac:dyDescent="0.2">
      <c r="G3992" s="31"/>
      <c r="H3992" s="31"/>
      <c r="I3992" s="31"/>
      <c r="J3992" s="31"/>
    </row>
    <row r="3993" spans="7:10" s="29" customFormat="1" x14ac:dyDescent="0.2">
      <c r="G3993" s="31"/>
      <c r="H3993" s="31"/>
      <c r="I3993" s="31"/>
      <c r="J3993" s="31"/>
    </row>
    <row r="3994" spans="7:10" s="29" customFormat="1" x14ac:dyDescent="0.2">
      <c r="G3994" s="31"/>
      <c r="H3994" s="31"/>
      <c r="I3994" s="31"/>
      <c r="J3994" s="31"/>
    </row>
    <row r="3995" spans="7:10" s="29" customFormat="1" x14ac:dyDescent="0.2">
      <c r="G3995" s="31"/>
      <c r="H3995" s="31"/>
      <c r="I3995" s="31"/>
      <c r="J3995" s="31"/>
    </row>
    <row r="3996" spans="7:10" s="29" customFormat="1" x14ac:dyDescent="0.2">
      <c r="G3996" s="31"/>
      <c r="H3996" s="31"/>
      <c r="I3996" s="31"/>
      <c r="J3996" s="31"/>
    </row>
    <row r="3997" spans="7:10" s="29" customFormat="1" x14ac:dyDescent="0.2">
      <c r="G3997" s="31"/>
      <c r="H3997" s="31"/>
      <c r="I3997" s="31"/>
      <c r="J3997" s="31"/>
    </row>
    <row r="3998" spans="7:10" s="29" customFormat="1" x14ac:dyDescent="0.2">
      <c r="G3998" s="31"/>
      <c r="H3998" s="31"/>
      <c r="I3998" s="31"/>
      <c r="J3998" s="31"/>
    </row>
    <row r="3999" spans="7:10" s="29" customFormat="1" x14ac:dyDescent="0.2">
      <c r="G3999" s="31"/>
      <c r="H3999" s="31"/>
      <c r="I3999" s="31"/>
      <c r="J3999" s="31"/>
    </row>
    <row r="4000" spans="7:10" s="29" customFormat="1" x14ac:dyDescent="0.2">
      <c r="G4000" s="31"/>
      <c r="H4000" s="31"/>
      <c r="I4000" s="31"/>
      <c r="J4000" s="31"/>
    </row>
    <row r="4001" spans="7:10" s="29" customFormat="1" x14ac:dyDescent="0.2">
      <c r="G4001" s="31"/>
      <c r="H4001" s="31"/>
      <c r="I4001" s="31"/>
      <c r="J4001" s="31"/>
    </row>
    <row r="4002" spans="7:10" s="29" customFormat="1" x14ac:dyDescent="0.2">
      <c r="G4002" s="31"/>
      <c r="H4002" s="31"/>
      <c r="I4002" s="31"/>
      <c r="J4002" s="31"/>
    </row>
    <row r="4003" spans="7:10" s="29" customFormat="1" x14ac:dyDescent="0.2">
      <c r="G4003" s="31"/>
      <c r="H4003" s="31"/>
      <c r="I4003" s="31"/>
      <c r="J4003" s="31"/>
    </row>
    <row r="4004" spans="7:10" s="29" customFormat="1" x14ac:dyDescent="0.2">
      <c r="G4004" s="31"/>
      <c r="H4004" s="31"/>
      <c r="I4004" s="31"/>
      <c r="J4004" s="31"/>
    </row>
    <row r="4005" spans="7:10" s="29" customFormat="1" x14ac:dyDescent="0.2">
      <c r="G4005" s="31"/>
      <c r="H4005" s="31"/>
      <c r="I4005" s="31"/>
      <c r="J4005" s="31"/>
    </row>
    <row r="4006" spans="7:10" s="29" customFormat="1" x14ac:dyDescent="0.2">
      <c r="G4006" s="31"/>
      <c r="H4006" s="31"/>
      <c r="I4006" s="31"/>
      <c r="J4006" s="31"/>
    </row>
    <row r="4007" spans="7:10" s="29" customFormat="1" x14ac:dyDescent="0.2">
      <c r="G4007" s="31"/>
      <c r="H4007" s="31"/>
      <c r="I4007" s="31"/>
      <c r="J4007" s="31"/>
    </row>
    <row r="4008" spans="7:10" s="29" customFormat="1" x14ac:dyDescent="0.2">
      <c r="G4008" s="31"/>
      <c r="H4008" s="31"/>
      <c r="I4008" s="31"/>
      <c r="J4008" s="31"/>
    </row>
    <row r="4009" spans="7:10" s="29" customFormat="1" x14ac:dyDescent="0.2">
      <c r="G4009" s="31"/>
      <c r="H4009" s="31"/>
      <c r="I4009" s="31"/>
      <c r="J4009" s="31"/>
    </row>
    <row r="4010" spans="7:10" s="29" customFormat="1" x14ac:dyDescent="0.2">
      <c r="G4010" s="31"/>
      <c r="H4010" s="31"/>
      <c r="I4010" s="31"/>
      <c r="J4010" s="31"/>
    </row>
    <row r="4011" spans="7:10" s="29" customFormat="1" x14ac:dyDescent="0.2">
      <c r="G4011" s="31"/>
      <c r="H4011" s="31"/>
      <c r="I4011" s="31"/>
      <c r="J4011" s="31"/>
    </row>
    <row r="4012" spans="7:10" s="29" customFormat="1" x14ac:dyDescent="0.2">
      <c r="G4012" s="31"/>
      <c r="H4012" s="31"/>
      <c r="I4012" s="31"/>
      <c r="J4012" s="31"/>
    </row>
    <row r="4013" spans="7:10" s="29" customFormat="1" x14ac:dyDescent="0.2">
      <c r="G4013" s="31"/>
      <c r="H4013" s="31"/>
      <c r="I4013" s="31"/>
      <c r="J4013" s="31"/>
    </row>
    <row r="4014" spans="7:10" s="29" customFormat="1" x14ac:dyDescent="0.2">
      <c r="G4014" s="31"/>
      <c r="H4014" s="31"/>
      <c r="I4014" s="31"/>
      <c r="J4014" s="31"/>
    </row>
    <row r="4015" spans="7:10" s="29" customFormat="1" x14ac:dyDescent="0.2">
      <c r="G4015" s="31"/>
      <c r="H4015" s="31"/>
      <c r="I4015" s="31"/>
      <c r="J4015" s="31"/>
    </row>
    <row r="4016" spans="7:10" s="29" customFormat="1" x14ac:dyDescent="0.2">
      <c r="G4016" s="31"/>
      <c r="H4016" s="31"/>
      <c r="I4016" s="31"/>
      <c r="J4016" s="31"/>
    </row>
    <row r="4017" spans="7:10" s="29" customFormat="1" x14ac:dyDescent="0.2">
      <c r="G4017" s="31"/>
      <c r="H4017" s="31"/>
      <c r="I4017" s="31"/>
      <c r="J4017" s="31"/>
    </row>
    <row r="4018" spans="7:10" s="29" customFormat="1" x14ac:dyDescent="0.2">
      <c r="G4018" s="31"/>
      <c r="H4018" s="31"/>
      <c r="I4018" s="31"/>
      <c r="J4018" s="31"/>
    </row>
    <row r="4019" spans="7:10" s="29" customFormat="1" x14ac:dyDescent="0.2">
      <c r="G4019" s="31"/>
      <c r="H4019" s="31"/>
      <c r="I4019" s="31"/>
      <c r="J4019" s="31"/>
    </row>
    <row r="4020" spans="7:10" s="29" customFormat="1" x14ac:dyDescent="0.2">
      <c r="G4020" s="31"/>
      <c r="H4020" s="31"/>
      <c r="I4020" s="31"/>
      <c r="J4020" s="31"/>
    </row>
    <row r="4021" spans="7:10" s="29" customFormat="1" x14ac:dyDescent="0.2">
      <c r="G4021" s="31"/>
      <c r="H4021" s="31"/>
      <c r="I4021" s="31"/>
      <c r="J4021" s="31"/>
    </row>
    <row r="4022" spans="7:10" s="29" customFormat="1" x14ac:dyDescent="0.2">
      <c r="G4022" s="31"/>
      <c r="H4022" s="31"/>
      <c r="I4022" s="31"/>
      <c r="J4022" s="31"/>
    </row>
    <row r="4023" spans="7:10" s="29" customFormat="1" x14ac:dyDescent="0.2">
      <c r="G4023" s="31"/>
      <c r="H4023" s="31"/>
      <c r="I4023" s="31"/>
      <c r="J4023" s="31"/>
    </row>
    <row r="4024" spans="7:10" s="29" customFormat="1" x14ac:dyDescent="0.2">
      <c r="G4024" s="31"/>
      <c r="H4024" s="31"/>
      <c r="I4024" s="31"/>
      <c r="J4024" s="31"/>
    </row>
    <row r="4025" spans="7:10" s="29" customFormat="1" x14ac:dyDescent="0.2">
      <c r="G4025" s="31"/>
      <c r="H4025" s="31"/>
      <c r="I4025" s="31"/>
      <c r="J4025" s="31"/>
    </row>
    <row r="4026" spans="7:10" s="29" customFormat="1" x14ac:dyDescent="0.2">
      <c r="G4026" s="31"/>
      <c r="H4026" s="31"/>
      <c r="I4026" s="31"/>
      <c r="J4026" s="31"/>
    </row>
    <row r="4027" spans="7:10" s="29" customFormat="1" x14ac:dyDescent="0.2">
      <c r="G4027" s="31"/>
      <c r="H4027" s="31"/>
      <c r="I4027" s="31"/>
      <c r="J4027" s="31"/>
    </row>
    <row r="4028" spans="7:10" s="29" customFormat="1" x14ac:dyDescent="0.2">
      <c r="G4028" s="31"/>
      <c r="H4028" s="31"/>
      <c r="I4028" s="31"/>
      <c r="J4028" s="31"/>
    </row>
    <row r="4029" spans="7:10" s="29" customFormat="1" x14ac:dyDescent="0.2">
      <c r="G4029" s="31"/>
      <c r="H4029" s="31"/>
      <c r="I4029" s="31"/>
      <c r="J4029" s="31"/>
    </row>
    <row r="4030" spans="7:10" s="29" customFormat="1" x14ac:dyDescent="0.2">
      <c r="G4030" s="31"/>
      <c r="H4030" s="31"/>
      <c r="I4030" s="31"/>
      <c r="J4030" s="31"/>
    </row>
    <row r="4031" spans="7:10" s="29" customFormat="1" x14ac:dyDescent="0.2">
      <c r="G4031" s="31"/>
      <c r="H4031" s="31"/>
      <c r="I4031" s="31"/>
      <c r="J4031" s="31"/>
    </row>
    <row r="4032" spans="7:10" s="29" customFormat="1" x14ac:dyDescent="0.2">
      <c r="G4032" s="31"/>
      <c r="H4032" s="31"/>
      <c r="I4032" s="31"/>
      <c r="J4032" s="31"/>
    </row>
    <row r="4033" spans="7:10" s="29" customFormat="1" x14ac:dyDescent="0.2">
      <c r="G4033" s="31"/>
      <c r="H4033" s="31"/>
      <c r="I4033" s="31"/>
      <c r="J4033" s="31"/>
    </row>
    <row r="4034" spans="7:10" s="29" customFormat="1" x14ac:dyDescent="0.2">
      <c r="G4034" s="31"/>
      <c r="H4034" s="31"/>
      <c r="I4034" s="31"/>
      <c r="J4034" s="31"/>
    </row>
    <row r="4035" spans="7:10" s="29" customFormat="1" x14ac:dyDescent="0.2">
      <c r="G4035" s="31"/>
      <c r="H4035" s="31"/>
      <c r="I4035" s="31"/>
      <c r="J4035" s="31"/>
    </row>
    <row r="4036" spans="7:10" s="29" customFormat="1" x14ac:dyDescent="0.2">
      <c r="G4036" s="31"/>
      <c r="H4036" s="31"/>
      <c r="I4036" s="31"/>
      <c r="J4036" s="31"/>
    </row>
    <row r="4037" spans="7:10" s="29" customFormat="1" x14ac:dyDescent="0.2">
      <c r="G4037" s="31"/>
      <c r="H4037" s="31"/>
      <c r="I4037" s="31"/>
      <c r="J4037" s="31"/>
    </row>
    <row r="4038" spans="7:10" s="29" customFormat="1" x14ac:dyDescent="0.2">
      <c r="G4038" s="31"/>
      <c r="H4038" s="31"/>
      <c r="I4038" s="31"/>
      <c r="J4038" s="31"/>
    </row>
    <row r="4039" spans="7:10" s="29" customFormat="1" x14ac:dyDescent="0.2">
      <c r="G4039" s="31"/>
      <c r="H4039" s="31"/>
      <c r="I4039" s="31"/>
      <c r="J4039" s="31"/>
    </row>
    <row r="4040" spans="7:10" s="29" customFormat="1" x14ac:dyDescent="0.2">
      <c r="G4040" s="31"/>
      <c r="H4040" s="31"/>
      <c r="I4040" s="31"/>
      <c r="J4040" s="31"/>
    </row>
    <row r="4041" spans="7:10" s="29" customFormat="1" x14ac:dyDescent="0.2">
      <c r="G4041" s="31"/>
      <c r="H4041" s="31"/>
      <c r="I4041" s="31"/>
      <c r="J4041" s="31"/>
    </row>
    <row r="4042" spans="7:10" s="29" customFormat="1" x14ac:dyDescent="0.2">
      <c r="G4042" s="31"/>
      <c r="H4042" s="31"/>
      <c r="I4042" s="31"/>
      <c r="J4042" s="31"/>
    </row>
    <row r="4043" spans="7:10" s="29" customFormat="1" x14ac:dyDescent="0.2">
      <c r="G4043" s="31"/>
      <c r="H4043" s="31"/>
      <c r="I4043" s="31"/>
      <c r="J4043" s="31"/>
    </row>
    <row r="4044" spans="7:10" s="29" customFormat="1" x14ac:dyDescent="0.2">
      <c r="G4044" s="31"/>
      <c r="H4044" s="31"/>
      <c r="I4044" s="31"/>
      <c r="J4044" s="31"/>
    </row>
    <row r="4045" spans="7:10" s="29" customFormat="1" x14ac:dyDescent="0.2">
      <c r="G4045" s="31"/>
      <c r="H4045" s="31"/>
      <c r="I4045" s="31"/>
      <c r="J4045" s="31"/>
    </row>
    <row r="4046" spans="7:10" s="29" customFormat="1" x14ac:dyDescent="0.2">
      <c r="G4046" s="31"/>
      <c r="H4046" s="31"/>
      <c r="I4046" s="31"/>
      <c r="J4046" s="31"/>
    </row>
    <row r="4047" spans="7:10" s="29" customFormat="1" x14ac:dyDescent="0.2">
      <c r="G4047" s="31"/>
      <c r="H4047" s="31"/>
      <c r="I4047" s="31"/>
      <c r="J4047" s="31"/>
    </row>
    <row r="4048" spans="7:10" s="29" customFormat="1" x14ac:dyDescent="0.2">
      <c r="G4048" s="31"/>
      <c r="H4048" s="31"/>
      <c r="I4048" s="31"/>
      <c r="J4048" s="31"/>
    </row>
    <row r="4049" spans="7:10" s="29" customFormat="1" x14ac:dyDescent="0.2">
      <c r="G4049" s="31"/>
      <c r="H4049" s="31"/>
      <c r="I4049" s="31"/>
      <c r="J4049" s="31"/>
    </row>
    <row r="4050" spans="7:10" s="29" customFormat="1" x14ac:dyDescent="0.2">
      <c r="G4050" s="31"/>
      <c r="H4050" s="31"/>
      <c r="I4050" s="31"/>
      <c r="J4050" s="31"/>
    </row>
    <row r="4051" spans="7:10" s="29" customFormat="1" x14ac:dyDescent="0.2">
      <c r="G4051" s="31"/>
      <c r="H4051" s="31"/>
      <c r="I4051" s="31"/>
      <c r="J4051" s="31"/>
    </row>
    <row r="4052" spans="7:10" s="29" customFormat="1" x14ac:dyDescent="0.2">
      <c r="G4052" s="31"/>
      <c r="H4052" s="31"/>
      <c r="I4052" s="31"/>
      <c r="J4052" s="31"/>
    </row>
    <row r="4053" spans="7:10" s="29" customFormat="1" x14ac:dyDescent="0.2">
      <c r="G4053" s="31"/>
      <c r="H4053" s="31"/>
      <c r="I4053" s="31"/>
      <c r="J4053" s="31"/>
    </row>
    <row r="4054" spans="7:10" s="29" customFormat="1" x14ac:dyDescent="0.2">
      <c r="G4054" s="31"/>
      <c r="H4054" s="31"/>
      <c r="I4054" s="31"/>
      <c r="J4054" s="31"/>
    </row>
    <row r="4055" spans="7:10" s="29" customFormat="1" x14ac:dyDescent="0.2">
      <c r="G4055" s="31"/>
      <c r="H4055" s="31"/>
      <c r="I4055" s="31"/>
      <c r="J4055" s="31"/>
    </row>
    <row r="4056" spans="7:10" s="29" customFormat="1" x14ac:dyDescent="0.2">
      <c r="G4056" s="31"/>
      <c r="H4056" s="31"/>
      <c r="I4056" s="31"/>
      <c r="J4056" s="31"/>
    </row>
    <row r="4057" spans="7:10" s="29" customFormat="1" x14ac:dyDescent="0.2">
      <c r="G4057" s="31"/>
      <c r="H4057" s="31"/>
      <c r="I4057" s="31"/>
      <c r="J4057" s="31"/>
    </row>
    <row r="4058" spans="7:10" s="29" customFormat="1" x14ac:dyDescent="0.2">
      <c r="G4058" s="31"/>
      <c r="H4058" s="31"/>
      <c r="I4058" s="31"/>
      <c r="J4058" s="31"/>
    </row>
    <row r="4059" spans="7:10" s="29" customFormat="1" x14ac:dyDescent="0.2">
      <c r="G4059" s="31"/>
      <c r="H4059" s="31"/>
      <c r="I4059" s="31"/>
      <c r="J4059" s="31"/>
    </row>
    <row r="4060" spans="7:10" s="29" customFormat="1" x14ac:dyDescent="0.2">
      <c r="G4060" s="31"/>
      <c r="H4060" s="31"/>
      <c r="I4060" s="31"/>
      <c r="J4060" s="31"/>
    </row>
    <row r="4061" spans="7:10" s="29" customFormat="1" x14ac:dyDescent="0.2">
      <c r="G4061" s="31"/>
      <c r="H4061" s="31"/>
      <c r="I4061" s="31"/>
      <c r="J4061" s="31"/>
    </row>
    <row r="4062" spans="7:10" s="29" customFormat="1" x14ac:dyDescent="0.2">
      <c r="G4062" s="31"/>
      <c r="H4062" s="31"/>
      <c r="I4062" s="31"/>
      <c r="J4062" s="31"/>
    </row>
    <row r="4063" spans="7:10" s="29" customFormat="1" x14ac:dyDescent="0.2">
      <c r="G4063" s="31"/>
      <c r="H4063" s="31"/>
      <c r="I4063" s="31"/>
      <c r="J4063" s="31"/>
    </row>
    <row r="4064" spans="7:10" s="29" customFormat="1" x14ac:dyDescent="0.2">
      <c r="G4064" s="31"/>
      <c r="H4064" s="31"/>
      <c r="I4064" s="31"/>
      <c r="J4064" s="31"/>
    </row>
    <row r="4065" spans="7:10" s="29" customFormat="1" x14ac:dyDescent="0.2">
      <c r="G4065" s="31"/>
      <c r="H4065" s="31"/>
      <c r="I4065" s="31"/>
      <c r="J4065" s="31"/>
    </row>
    <row r="4066" spans="7:10" s="29" customFormat="1" x14ac:dyDescent="0.2">
      <c r="G4066" s="31"/>
      <c r="H4066" s="31"/>
      <c r="I4066" s="31"/>
      <c r="J4066" s="31"/>
    </row>
    <row r="4067" spans="7:10" s="29" customFormat="1" x14ac:dyDescent="0.2">
      <c r="G4067" s="31"/>
      <c r="H4067" s="31"/>
      <c r="I4067" s="31"/>
      <c r="J4067" s="31"/>
    </row>
    <row r="4068" spans="7:10" s="29" customFormat="1" x14ac:dyDescent="0.2">
      <c r="G4068" s="31"/>
      <c r="H4068" s="31"/>
      <c r="I4068" s="31"/>
      <c r="J4068" s="31"/>
    </row>
    <row r="4069" spans="7:10" s="29" customFormat="1" x14ac:dyDescent="0.2">
      <c r="G4069" s="31"/>
      <c r="H4069" s="31"/>
      <c r="I4069" s="31"/>
      <c r="J4069" s="31"/>
    </row>
    <row r="4070" spans="7:10" s="29" customFormat="1" x14ac:dyDescent="0.2">
      <c r="G4070" s="31"/>
      <c r="H4070" s="31"/>
      <c r="I4070" s="31"/>
      <c r="J4070" s="31"/>
    </row>
    <row r="4071" spans="7:10" s="29" customFormat="1" x14ac:dyDescent="0.2">
      <c r="G4071" s="31"/>
      <c r="H4071" s="31"/>
      <c r="I4071" s="31"/>
      <c r="J4071" s="31"/>
    </row>
    <row r="4072" spans="7:10" s="29" customFormat="1" x14ac:dyDescent="0.2">
      <c r="G4072" s="31"/>
      <c r="H4072" s="31"/>
      <c r="I4072" s="31"/>
      <c r="J4072" s="31"/>
    </row>
    <row r="4073" spans="7:10" s="29" customFormat="1" x14ac:dyDescent="0.2">
      <c r="G4073" s="31"/>
      <c r="H4073" s="31"/>
      <c r="I4073" s="31"/>
      <c r="J4073" s="31"/>
    </row>
    <row r="4074" spans="7:10" s="29" customFormat="1" x14ac:dyDescent="0.2">
      <c r="G4074" s="31"/>
      <c r="H4074" s="31"/>
      <c r="I4074" s="31"/>
      <c r="J4074" s="31"/>
    </row>
    <row r="4075" spans="7:10" s="29" customFormat="1" x14ac:dyDescent="0.2">
      <c r="G4075" s="31"/>
      <c r="H4075" s="31"/>
      <c r="I4075" s="31"/>
      <c r="J4075" s="31"/>
    </row>
    <row r="4076" spans="7:10" s="29" customFormat="1" x14ac:dyDescent="0.2">
      <c r="G4076" s="31"/>
      <c r="H4076" s="31"/>
      <c r="I4076" s="31"/>
      <c r="J4076" s="31"/>
    </row>
    <row r="4077" spans="7:10" s="29" customFormat="1" x14ac:dyDescent="0.2">
      <c r="G4077" s="31"/>
      <c r="H4077" s="31"/>
      <c r="I4077" s="31"/>
      <c r="J4077" s="31"/>
    </row>
    <row r="4078" spans="7:10" s="29" customFormat="1" x14ac:dyDescent="0.2">
      <c r="G4078" s="31"/>
      <c r="H4078" s="31"/>
      <c r="I4078" s="31"/>
      <c r="J4078" s="31"/>
    </row>
    <row r="4079" spans="7:10" s="29" customFormat="1" x14ac:dyDescent="0.2">
      <c r="G4079" s="31"/>
      <c r="H4079" s="31"/>
      <c r="I4079" s="31"/>
      <c r="J4079" s="31"/>
    </row>
    <row r="4080" spans="7:10" s="29" customFormat="1" x14ac:dyDescent="0.2">
      <c r="G4080" s="31"/>
      <c r="H4080" s="31"/>
      <c r="I4080" s="31"/>
      <c r="J4080" s="31"/>
    </row>
    <row r="4081" spans="7:10" s="29" customFormat="1" x14ac:dyDescent="0.2">
      <c r="G4081" s="31"/>
      <c r="H4081" s="31"/>
      <c r="I4081" s="31"/>
      <c r="J4081" s="31"/>
    </row>
    <row r="4082" spans="7:10" s="29" customFormat="1" x14ac:dyDescent="0.2">
      <c r="G4082" s="31"/>
      <c r="H4082" s="31"/>
      <c r="I4082" s="31"/>
      <c r="J4082" s="31"/>
    </row>
    <row r="4083" spans="7:10" s="29" customFormat="1" x14ac:dyDescent="0.2">
      <c r="G4083" s="31"/>
      <c r="H4083" s="31"/>
      <c r="I4083" s="31"/>
      <c r="J4083" s="31"/>
    </row>
    <row r="4084" spans="7:10" s="29" customFormat="1" x14ac:dyDescent="0.2">
      <c r="G4084" s="31"/>
      <c r="H4084" s="31"/>
      <c r="I4084" s="31"/>
      <c r="J4084" s="31"/>
    </row>
    <row r="4085" spans="7:10" s="29" customFormat="1" x14ac:dyDescent="0.2">
      <c r="G4085" s="31"/>
      <c r="H4085" s="31"/>
      <c r="I4085" s="31"/>
      <c r="J4085" s="31"/>
    </row>
    <row r="4086" spans="7:10" s="29" customFormat="1" x14ac:dyDescent="0.2">
      <c r="G4086" s="31"/>
      <c r="H4086" s="31"/>
      <c r="I4086" s="31"/>
      <c r="J4086" s="31"/>
    </row>
    <row r="4087" spans="7:10" s="29" customFormat="1" x14ac:dyDescent="0.2">
      <c r="G4087" s="31"/>
      <c r="H4087" s="31"/>
      <c r="I4087" s="31"/>
      <c r="J4087" s="31"/>
    </row>
    <row r="4088" spans="7:10" s="29" customFormat="1" x14ac:dyDescent="0.2">
      <c r="G4088" s="31"/>
      <c r="H4088" s="31"/>
      <c r="I4088" s="31"/>
      <c r="J4088" s="31"/>
    </row>
    <row r="4089" spans="7:10" s="29" customFormat="1" x14ac:dyDescent="0.2">
      <c r="G4089" s="31"/>
      <c r="H4089" s="31"/>
      <c r="I4089" s="31"/>
      <c r="J4089" s="31"/>
    </row>
    <row r="4090" spans="7:10" s="29" customFormat="1" x14ac:dyDescent="0.2">
      <c r="G4090" s="31"/>
      <c r="H4090" s="31"/>
      <c r="I4090" s="31"/>
      <c r="J4090" s="31"/>
    </row>
    <row r="4091" spans="7:10" s="29" customFormat="1" x14ac:dyDescent="0.2">
      <c r="G4091" s="31"/>
      <c r="H4091" s="31"/>
      <c r="I4091" s="31"/>
      <c r="J4091" s="31"/>
    </row>
    <row r="4092" spans="7:10" s="29" customFormat="1" x14ac:dyDescent="0.2">
      <c r="G4092" s="31"/>
      <c r="H4092" s="31"/>
      <c r="I4092" s="31"/>
      <c r="J4092" s="31"/>
    </row>
    <row r="4093" spans="7:10" s="29" customFormat="1" x14ac:dyDescent="0.2">
      <c r="G4093" s="31"/>
      <c r="H4093" s="31"/>
      <c r="I4093" s="31"/>
      <c r="J4093" s="31"/>
    </row>
    <row r="4094" spans="7:10" s="29" customFormat="1" x14ac:dyDescent="0.2">
      <c r="G4094" s="31"/>
      <c r="H4094" s="31"/>
      <c r="I4094" s="31"/>
      <c r="J4094" s="31"/>
    </row>
    <row r="4095" spans="7:10" s="29" customFormat="1" x14ac:dyDescent="0.2">
      <c r="G4095" s="31"/>
      <c r="H4095" s="31"/>
      <c r="I4095" s="31"/>
      <c r="J4095" s="31"/>
    </row>
    <row r="4096" spans="7:10" s="29" customFormat="1" x14ac:dyDescent="0.2">
      <c r="G4096" s="31"/>
      <c r="H4096" s="31"/>
      <c r="I4096" s="31"/>
      <c r="J4096" s="31"/>
    </row>
    <row r="4097" spans="7:10" s="29" customFormat="1" x14ac:dyDescent="0.2">
      <c r="G4097" s="31"/>
      <c r="H4097" s="31"/>
      <c r="I4097" s="31"/>
      <c r="J4097" s="31"/>
    </row>
    <row r="4098" spans="7:10" s="29" customFormat="1" x14ac:dyDescent="0.2">
      <c r="G4098" s="31"/>
      <c r="H4098" s="31"/>
      <c r="I4098" s="31"/>
      <c r="J4098" s="31"/>
    </row>
    <row r="4099" spans="7:10" s="29" customFormat="1" x14ac:dyDescent="0.2">
      <c r="G4099" s="31"/>
      <c r="H4099" s="31"/>
      <c r="I4099" s="31"/>
      <c r="J4099" s="31"/>
    </row>
    <row r="4100" spans="7:10" s="29" customFormat="1" x14ac:dyDescent="0.2">
      <c r="G4100" s="31"/>
      <c r="H4100" s="31"/>
      <c r="I4100" s="31"/>
      <c r="J4100" s="31"/>
    </row>
    <row r="4101" spans="7:10" s="29" customFormat="1" x14ac:dyDescent="0.2">
      <c r="G4101" s="31"/>
      <c r="H4101" s="31"/>
      <c r="I4101" s="31"/>
      <c r="J4101" s="31"/>
    </row>
    <row r="4102" spans="7:10" s="29" customFormat="1" x14ac:dyDescent="0.2">
      <c r="G4102" s="31"/>
      <c r="H4102" s="31"/>
      <c r="I4102" s="31"/>
      <c r="J4102" s="31"/>
    </row>
    <row r="4103" spans="7:10" s="29" customFormat="1" x14ac:dyDescent="0.2">
      <c r="G4103" s="31"/>
      <c r="H4103" s="31"/>
      <c r="I4103" s="31"/>
      <c r="J4103" s="31"/>
    </row>
    <row r="4104" spans="7:10" s="29" customFormat="1" x14ac:dyDescent="0.2">
      <c r="G4104" s="31"/>
      <c r="H4104" s="31"/>
      <c r="I4104" s="31"/>
      <c r="J4104" s="31"/>
    </row>
    <row r="4105" spans="7:10" s="29" customFormat="1" x14ac:dyDescent="0.2">
      <c r="G4105" s="31"/>
      <c r="H4105" s="31"/>
      <c r="I4105" s="31"/>
      <c r="J4105" s="31"/>
    </row>
    <row r="4106" spans="7:10" s="29" customFormat="1" x14ac:dyDescent="0.2">
      <c r="G4106" s="31"/>
      <c r="H4106" s="31"/>
      <c r="I4106" s="31"/>
      <c r="J4106" s="31"/>
    </row>
    <row r="4107" spans="7:10" s="29" customFormat="1" x14ac:dyDescent="0.2">
      <c r="G4107" s="31"/>
      <c r="H4107" s="31"/>
      <c r="I4107" s="31"/>
      <c r="J4107" s="31"/>
    </row>
    <row r="4108" spans="7:10" s="29" customFormat="1" x14ac:dyDescent="0.2">
      <c r="G4108" s="31"/>
      <c r="H4108" s="31"/>
      <c r="I4108" s="31"/>
      <c r="J4108" s="31"/>
    </row>
    <row r="4109" spans="7:10" s="29" customFormat="1" x14ac:dyDescent="0.2">
      <c r="G4109" s="31"/>
      <c r="H4109" s="31"/>
      <c r="I4109" s="31"/>
      <c r="J4109" s="31"/>
    </row>
    <row r="4110" spans="7:10" s="29" customFormat="1" x14ac:dyDescent="0.2">
      <c r="G4110" s="31"/>
      <c r="H4110" s="31"/>
      <c r="I4110" s="31"/>
      <c r="J4110" s="31"/>
    </row>
    <row r="4111" spans="7:10" s="29" customFormat="1" x14ac:dyDescent="0.2">
      <c r="G4111" s="31"/>
      <c r="H4111" s="31"/>
      <c r="I4111" s="31"/>
      <c r="J4111" s="31"/>
    </row>
    <row r="4112" spans="7:10" s="29" customFormat="1" x14ac:dyDescent="0.2">
      <c r="G4112" s="31"/>
      <c r="H4112" s="31"/>
      <c r="I4112" s="31"/>
      <c r="J4112" s="31"/>
    </row>
    <row r="4113" spans="7:10" s="29" customFormat="1" x14ac:dyDescent="0.2">
      <c r="G4113" s="31"/>
      <c r="H4113" s="31"/>
      <c r="I4113" s="31"/>
      <c r="J4113" s="31"/>
    </row>
    <row r="4114" spans="7:10" s="29" customFormat="1" x14ac:dyDescent="0.2">
      <c r="G4114" s="31"/>
      <c r="H4114" s="31"/>
      <c r="I4114" s="31"/>
      <c r="J4114" s="31"/>
    </row>
    <row r="4115" spans="7:10" s="29" customFormat="1" x14ac:dyDescent="0.2">
      <c r="G4115" s="31"/>
      <c r="H4115" s="31"/>
      <c r="I4115" s="31"/>
      <c r="J4115" s="31"/>
    </row>
    <row r="4116" spans="7:10" s="29" customFormat="1" x14ac:dyDescent="0.2">
      <c r="G4116" s="31"/>
      <c r="H4116" s="31"/>
      <c r="I4116" s="31"/>
      <c r="J4116" s="31"/>
    </row>
    <row r="4117" spans="7:10" s="29" customFormat="1" x14ac:dyDescent="0.2">
      <c r="G4117" s="31"/>
      <c r="H4117" s="31"/>
      <c r="I4117" s="31"/>
      <c r="J4117" s="31"/>
    </row>
    <row r="4118" spans="7:10" s="29" customFormat="1" x14ac:dyDescent="0.2">
      <c r="G4118" s="31"/>
      <c r="H4118" s="31"/>
      <c r="I4118" s="31"/>
      <c r="J4118" s="31"/>
    </row>
    <row r="4119" spans="7:10" s="29" customFormat="1" x14ac:dyDescent="0.2">
      <c r="G4119" s="31"/>
      <c r="H4119" s="31"/>
      <c r="I4119" s="31"/>
      <c r="J4119" s="31"/>
    </row>
    <row r="4120" spans="7:10" s="29" customFormat="1" x14ac:dyDescent="0.2">
      <c r="G4120" s="31"/>
      <c r="H4120" s="31"/>
      <c r="I4120" s="31"/>
      <c r="J4120" s="31"/>
    </row>
    <row r="4121" spans="7:10" s="29" customFormat="1" x14ac:dyDescent="0.2">
      <c r="G4121" s="31"/>
      <c r="H4121" s="31"/>
      <c r="I4121" s="31"/>
      <c r="J4121" s="31"/>
    </row>
    <row r="4122" spans="7:10" s="29" customFormat="1" x14ac:dyDescent="0.2">
      <c r="G4122" s="31"/>
      <c r="H4122" s="31"/>
      <c r="I4122" s="31"/>
      <c r="J4122" s="31"/>
    </row>
    <row r="4123" spans="7:10" s="29" customFormat="1" x14ac:dyDescent="0.2">
      <c r="G4123" s="31"/>
      <c r="H4123" s="31"/>
      <c r="I4123" s="31"/>
      <c r="J4123" s="31"/>
    </row>
    <row r="4124" spans="7:10" s="29" customFormat="1" x14ac:dyDescent="0.2">
      <c r="G4124" s="31"/>
      <c r="H4124" s="31"/>
      <c r="I4124" s="31"/>
      <c r="J4124" s="31"/>
    </row>
    <row r="4125" spans="7:10" s="29" customFormat="1" x14ac:dyDescent="0.2">
      <c r="G4125" s="31"/>
      <c r="H4125" s="31"/>
      <c r="I4125" s="31"/>
      <c r="J4125" s="31"/>
    </row>
    <row r="4126" spans="7:10" s="29" customFormat="1" x14ac:dyDescent="0.2">
      <c r="G4126" s="31"/>
      <c r="H4126" s="31"/>
      <c r="I4126" s="31"/>
      <c r="J4126" s="31"/>
    </row>
    <row r="4127" spans="7:10" s="29" customFormat="1" x14ac:dyDescent="0.2">
      <c r="G4127" s="31"/>
      <c r="H4127" s="31"/>
      <c r="I4127" s="31"/>
      <c r="J4127" s="31"/>
    </row>
    <row r="4128" spans="7:10" s="29" customFormat="1" x14ac:dyDescent="0.2">
      <c r="G4128" s="31"/>
      <c r="H4128" s="31"/>
      <c r="I4128" s="31"/>
      <c r="J4128" s="31"/>
    </row>
    <row r="4129" spans="7:10" s="29" customFormat="1" x14ac:dyDescent="0.2">
      <c r="G4129" s="31"/>
      <c r="H4129" s="31"/>
      <c r="I4129" s="31"/>
      <c r="J4129" s="31"/>
    </row>
    <row r="4130" spans="7:10" s="29" customFormat="1" x14ac:dyDescent="0.2">
      <c r="G4130" s="31"/>
      <c r="H4130" s="31"/>
      <c r="I4130" s="31"/>
      <c r="J4130" s="31"/>
    </row>
    <row r="4131" spans="7:10" s="29" customFormat="1" x14ac:dyDescent="0.2">
      <c r="G4131" s="31"/>
      <c r="H4131" s="31"/>
      <c r="I4131" s="31"/>
      <c r="J4131" s="31"/>
    </row>
    <row r="4132" spans="7:10" s="29" customFormat="1" x14ac:dyDescent="0.2">
      <c r="G4132" s="31"/>
      <c r="H4132" s="31"/>
      <c r="I4132" s="31"/>
      <c r="J4132" s="31"/>
    </row>
    <row r="4133" spans="7:10" s="29" customFormat="1" x14ac:dyDescent="0.2">
      <c r="G4133" s="31"/>
      <c r="H4133" s="31"/>
      <c r="I4133" s="31"/>
      <c r="J4133" s="31"/>
    </row>
    <row r="4134" spans="7:10" s="29" customFormat="1" x14ac:dyDescent="0.2">
      <c r="G4134" s="31"/>
      <c r="H4134" s="31"/>
      <c r="I4134" s="31"/>
      <c r="J4134" s="31"/>
    </row>
    <row r="4135" spans="7:10" s="29" customFormat="1" x14ac:dyDescent="0.2">
      <c r="G4135" s="31"/>
      <c r="H4135" s="31"/>
      <c r="I4135" s="31"/>
      <c r="J4135" s="31"/>
    </row>
    <row r="4136" spans="7:10" s="29" customFormat="1" x14ac:dyDescent="0.2">
      <c r="G4136" s="31"/>
      <c r="H4136" s="31"/>
      <c r="I4136" s="31"/>
      <c r="J4136" s="31"/>
    </row>
    <row r="4137" spans="7:10" s="29" customFormat="1" x14ac:dyDescent="0.2">
      <c r="G4137" s="31"/>
      <c r="H4137" s="31"/>
      <c r="I4137" s="31"/>
      <c r="J4137" s="31"/>
    </row>
    <row r="4138" spans="7:10" s="29" customFormat="1" x14ac:dyDescent="0.2">
      <c r="G4138" s="31"/>
      <c r="H4138" s="31"/>
      <c r="I4138" s="31"/>
      <c r="J4138" s="31"/>
    </row>
    <row r="4139" spans="7:10" s="29" customFormat="1" x14ac:dyDescent="0.2">
      <c r="G4139" s="31"/>
      <c r="H4139" s="31"/>
      <c r="I4139" s="31"/>
      <c r="J4139" s="31"/>
    </row>
    <row r="4140" spans="7:10" s="29" customFormat="1" x14ac:dyDescent="0.2">
      <c r="G4140" s="31"/>
      <c r="H4140" s="31"/>
      <c r="I4140" s="31"/>
      <c r="J4140" s="31"/>
    </row>
    <row r="4141" spans="7:10" s="29" customFormat="1" x14ac:dyDescent="0.2">
      <c r="G4141" s="31"/>
      <c r="H4141" s="31"/>
      <c r="I4141" s="31"/>
      <c r="J4141" s="31"/>
    </row>
    <row r="4142" spans="7:10" s="29" customFormat="1" x14ac:dyDescent="0.2">
      <c r="G4142" s="31"/>
      <c r="H4142" s="31"/>
      <c r="I4142" s="31"/>
      <c r="J4142" s="31"/>
    </row>
    <row r="4143" spans="7:10" s="29" customFormat="1" x14ac:dyDescent="0.2">
      <c r="G4143" s="31"/>
      <c r="H4143" s="31"/>
      <c r="I4143" s="31"/>
      <c r="J4143" s="31"/>
    </row>
    <row r="4144" spans="7:10" s="29" customFormat="1" x14ac:dyDescent="0.2">
      <c r="G4144" s="31"/>
      <c r="H4144" s="31"/>
      <c r="I4144" s="31"/>
      <c r="J4144" s="31"/>
    </row>
    <row r="4145" spans="7:10" s="29" customFormat="1" x14ac:dyDescent="0.2">
      <c r="G4145" s="31"/>
      <c r="H4145" s="31"/>
      <c r="I4145" s="31"/>
      <c r="J4145" s="31"/>
    </row>
    <row r="4146" spans="7:10" s="29" customFormat="1" x14ac:dyDescent="0.2">
      <c r="G4146" s="31"/>
      <c r="H4146" s="31"/>
      <c r="I4146" s="31"/>
      <c r="J4146" s="31"/>
    </row>
    <row r="4147" spans="7:10" s="29" customFormat="1" x14ac:dyDescent="0.2">
      <c r="G4147" s="31"/>
      <c r="H4147" s="31"/>
      <c r="I4147" s="31"/>
      <c r="J4147" s="31"/>
    </row>
    <row r="4148" spans="7:10" s="29" customFormat="1" x14ac:dyDescent="0.2">
      <c r="G4148" s="31"/>
      <c r="H4148" s="31"/>
      <c r="I4148" s="31"/>
      <c r="J4148" s="31"/>
    </row>
    <row r="4149" spans="7:10" s="29" customFormat="1" x14ac:dyDescent="0.2">
      <c r="G4149" s="31"/>
      <c r="H4149" s="31"/>
      <c r="I4149" s="31"/>
      <c r="J4149" s="31"/>
    </row>
    <row r="4150" spans="7:10" s="29" customFormat="1" x14ac:dyDescent="0.2">
      <c r="G4150" s="31"/>
      <c r="H4150" s="31"/>
      <c r="I4150" s="31"/>
      <c r="J4150" s="31"/>
    </row>
    <row r="4151" spans="7:10" s="29" customFormat="1" x14ac:dyDescent="0.2">
      <c r="G4151" s="31"/>
      <c r="H4151" s="31"/>
      <c r="I4151" s="31"/>
      <c r="J4151" s="31"/>
    </row>
    <row r="4152" spans="7:10" s="29" customFormat="1" x14ac:dyDescent="0.2">
      <c r="G4152" s="31"/>
      <c r="H4152" s="31"/>
      <c r="I4152" s="31"/>
      <c r="J4152" s="31"/>
    </row>
    <row r="4153" spans="7:10" s="29" customFormat="1" x14ac:dyDescent="0.2">
      <c r="G4153" s="31"/>
      <c r="H4153" s="31"/>
      <c r="I4153" s="31"/>
      <c r="J4153" s="31"/>
    </row>
    <row r="4154" spans="7:10" s="29" customFormat="1" x14ac:dyDescent="0.2">
      <c r="G4154" s="31"/>
      <c r="H4154" s="31"/>
      <c r="I4154" s="31"/>
      <c r="J4154" s="31"/>
    </row>
    <row r="4155" spans="7:10" s="29" customFormat="1" x14ac:dyDescent="0.2">
      <c r="G4155" s="31"/>
      <c r="H4155" s="31"/>
      <c r="I4155" s="31"/>
      <c r="J4155" s="31"/>
    </row>
    <row r="4156" spans="7:10" s="29" customFormat="1" x14ac:dyDescent="0.2">
      <c r="G4156" s="31"/>
      <c r="H4156" s="31"/>
      <c r="I4156" s="31"/>
      <c r="J4156" s="31"/>
    </row>
    <row r="4157" spans="7:10" s="29" customFormat="1" x14ac:dyDescent="0.2">
      <c r="G4157" s="31"/>
      <c r="H4157" s="31"/>
      <c r="I4157" s="31"/>
      <c r="J4157" s="31"/>
    </row>
    <row r="4158" spans="7:10" s="29" customFormat="1" x14ac:dyDescent="0.2">
      <c r="G4158" s="31"/>
      <c r="H4158" s="31"/>
      <c r="I4158" s="31"/>
      <c r="J4158" s="31"/>
    </row>
    <row r="4159" spans="7:10" s="29" customFormat="1" x14ac:dyDescent="0.2">
      <c r="G4159" s="31"/>
      <c r="H4159" s="31"/>
      <c r="I4159" s="31"/>
      <c r="J4159" s="31"/>
    </row>
    <row r="4160" spans="7:10" s="29" customFormat="1" x14ac:dyDescent="0.2">
      <c r="G4160" s="31"/>
      <c r="H4160" s="31"/>
      <c r="I4160" s="31"/>
      <c r="J4160" s="31"/>
    </row>
    <row r="4161" spans="7:10" s="29" customFormat="1" x14ac:dyDescent="0.2">
      <c r="G4161" s="31"/>
      <c r="H4161" s="31"/>
      <c r="I4161" s="31"/>
      <c r="J4161" s="31"/>
    </row>
    <row r="4162" spans="7:10" s="29" customFormat="1" x14ac:dyDescent="0.2">
      <c r="G4162" s="31"/>
      <c r="H4162" s="31"/>
      <c r="I4162" s="31"/>
      <c r="J4162" s="31"/>
    </row>
    <row r="4163" spans="7:10" s="29" customFormat="1" x14ac:dyDescent="0.2">
      <c r="G4163" s="31"/>
      <c r="H4163" s="31"/>
      <c r="I4163" s="31"/>
      <c r="J4163" s="31"/>
    </row>
    <row r="4164" spans="7:10" s="29" customFormat="1" x14ac:dyDescent="0.2">
      <c r="G4164" s="31"/>
      <c r="H4164" s="31"/>
      <c r="I4164" s="31"/>
      <c r="J4164" s="31"/>
    </row>
    <row r="4165" spans="7:10" s="29" customFormat="1" x14ac:dyDescent="0.2">
      <c r="G4165" s="31"/>
      <c r="H4165" s="31"/>
      <c r="I4165" s="31"/>
      <c r="J4165" s="31"/>
    </row>
    <row r="4166" spans="7:10" s="29" customFormat="1" x14ac:dyDescent="0.2">
      <c r="G4166" s="31"/>
      <c r="H4166" s="31"/>
      <c r="I4166" s="31"/>
      <c r="J4166" s="31"/>
    </row>
    <row r="4167" spans="7:10" s="29" customFormat="1" x14ac:dyDescent="0.2">
      <c r="G4167" s="31"/>
      <c r="H4167" s="31"/>
      <c r="I4167" s="31"/>
      <c r="J4167" s="31"/>
    </row>
    <row r="4168" spans="7:10" s="29" customFormat="1" x14ac:dyDescent="0.2">
      <c r="G4168" s="31"/>
      <c r="H4168" s="31"/>
      <c r="I4168" s="31"/>
      <c r="J4168" s="31"/>
    </row>
    <row r="4169" spans="7:10" s="29" customFormat="1" x14ac:dyDescent="0.2">
      <c r="G4169" s="31"/>
      <c r="H4169" s="31"/>
      <c r="I4169" s="31"/>
      <c r="J4169" s="31"/>
    </row>
    <row r="4170" spans="7:10" s="29" customFormat="1" x14ac:dyDescent="0.2">
      <c r="G4170" s="31"/>
      <c r="H4170" s="31"/>
      <c r="I4170" s="31"/>
      <c r="J4170" s="31"/>
    </row>
    <row r="4171" spans="7:10" s="29" customFormat="1" x14ac:dyDescent="0.2">
      <c r="G4171" s="31"/>
      <c r="H4171" s="31"/>
      <c r="I4171" s="31"/>
      <c r="J4171" s="31"/>
    </row>
    <row r="4172" spans="7:10" s="29" customFormat="1" x14ac:dyDescent="0.2">
      <c r="G4172" s="31"/>
      <c r="H4172" s="31"/>
      <c r="I4172" s="31"/>
      <c r="J4172" s="31"/>
    </row>
    <row r="4173" spans="7:10" s="29" customFormat="1" x14ac:dyDescent="0.2">
      <c r="G4173" s="31"/>
      <c r="H4173" s="31"/>
      <c r="I4173" s="31"/>
      <c r="J4173" s="31"/>
    </row>
    <row r="4174" spans="7:10" s="29" customFormat="1" x14ac:dyDescent="0.2">
      <c r="G4174" s="31"/>
      <c r="H4174" s="31"/>
      <c r="I4174" s="31"/>
      <c r="J4174" s="31"/>
    </row>
    <row r="4175" spans="7:10" s="29" customFormat="1" x14ac:dyDescent="0.2">
      <c r="G4175" s="31"/>
      <c r="H4175" s="31"/>
      <c r="I4175" s="31"/>
      <c r="J4175" s="31"/>
    </row>
    <row r="4176" spans="7:10" s="29" customFormat="1" x14ac:dyDescent="0.2">
      <c r="G4176" s="31"/>
      <c r="H4176" s="31"/>
      <c r="I4176" s="31"/>
      <c r="J4176" s="31"/>
    </row>
    <row r="4177" spans="7:10" s="29" customFormat="1" x14ac:dyDescent="0.2">
      <c r="G4177" s="31"/>
      <c r="H4177" s="31"/>
      <c r="I4177" s="31"/>
      <c r="J4177" s="31"/>
    </row>
    <row r="4178" spans="7:10" s="29" customFormat="1" x14ac:dyDescent="0.2">
      <c r="G4178" s="31"/>
      <c r="H4178" s="31"/>
      <c r="I4178" s="31"/>
      <c r="J4178" s="31"/>
    </row>
    <row r="4179" spans="7:10" s="29" customFormat="1" x14ac:dyDescent="0.2">
      <c r="G4179" s="31"/>
      <c r="H4179" s="31"/>
      <c r="I4179" s="31"/>
      <c r="J4179" s="31"/>
    </row>
    <row r="4180" spans="7:10" s="29" customFormat="1" x14ac:dyDescent="0.2">
      <c r="G4180" s="31"/>
      <c r="H4180" s="31"/>
      <c r="I4180" s="31"/>
      <c r="J4180" s="31"/>
    </row>
    <row r="4181" spans="7:10" s="29" customFormat="1" x14ac:dyDescent="0.2">
      <c r="G4181" s="31"/>
      <c r="H4181" s="31"/>
      <c r="I4181" s="31"/>
      <c r="J4181" s="31"/>
    </row>
    <row r="4182" spans="7:10" s="29" customFormat="1" x14ac:dyDescent="0.2">
      <c r="G4182" s="31"/>
      <c r="H4182" s="31"/>
      <c r="I4182" s="31"/>
      <c r="J4182" s="31"/>
    </row>
    <row r="4183" spans="7:10" s="29" customFormat="1" x14ac:dyDescent="0.2">
      <c r="G4183" s="31"/>
      <c r="H4183" s="31"/>
      <c r="I4183" s="31"/>
      <c r="J4183" s="31"/>
    </row>
    <row r="4184" spans="7:10" s="29" customFormat="1" x14ac:dyDescent="0.2">
      <c r="G4184" s="31"/>
      <c r="H4184" s="31"/>
      <c r="I4184" s="31"/>
      <c r="J4184" s="31"/>
    </row>
    <row r="4185" spans="7:10" s="29" customFormat="1" x14ac:dyDescent="0.2">
      <c r="G4185" s="31"/>
      <c r="H4185" s="31"/>
      <c r="I4185" s="31"/>
      <c r="J4185" s="31"/>
    </row>
    <row r="4186" spans="7:10" s="29" customFormat="1" x14ac:dyDescent="0.2">
      <c r="G4186" s="31"/>
      <c r="H4186" s="31"/>
      <c r="I4186" s="31"/>
      <c r="J4186" s="31"/>
    </row>
    <row r="4187" spans="7:10" s="29" customFormat="1" x14ac:dyDescent="0.2">
      <c r="G4187" s="31"/>
      <c r="H4187" s="31"/>
      <c r="I4187" s="31"/>
      <c r="J4187" s="31"/>
    </row>
    <row r="4188" spans="7:10" s="29" customFormat="1" x14ac:dyDescent="0.2">
      <c r="G4188" s="31"/>
      <c r="H4188" s="31"/>
      <c r="I4188" s="31"/>
      <c r="J4188" s="31"/>
    </row>
    <row r="4189" spans="7:10" s="29" customFormat="1" x14ac:dyDescent="0.2">
      <c r="G4189" s="31"/>
      <c r="H4189" s="31"/>
      <c r="I4189" s="31"/>
      <c r="J4189" s="31"/>
    </row>
    <row r="4190" spans="7:10" s="29" customFormat="1" x14ac:dyDescent="0.2">
      <c r="G4190" s="31"/>
      <c r="H4190" s="31"/>
      <c r="I4190" s="31"/>
      <c r="J4190" s="31"/>
    </row>
    <row r="4191" spans="7:10" s="29" customFormat="1" x14ac:dyDescent="0.2">
      <c r="G4191" s="31"/>
      <c r="H4191" s="31"/>
      <c r="I4191" s="31"/>
      <c r="J4191" s="31"/>
    </row>
    <row r="4192" spans="7:10" s="29" customFormat="1" x14ac:dyDescent="0.2">
      <c r="G4192" s="31"/>
      <c r="H4192" s="31"/>
      <c r="I4192" s="31"/>
      <c r="J4192" s="31"/>
    </row>
    <row r="4193" spans="7:10" s="29" customFormat="1" x14ac:dyDescent="0.2">
      <c r="G4193" s="31"/>
      <c r="H4193" s="31"/>
      <c r="I4193" s="31"/>
      <c r="J4193" s="31"/>
    </row>
    <row r="4194" spans="7:10" s="29" customFormat="1" x14ac:dyDescent="0.2">
      <c r="G4194" s="31"/>
      <c r="H4194" s="31"/>
      <c r="I4194" s="31"/>
      <c r="J4194" s="31"/>
    </row>
    <row r="4195" spans="7:10" s="29" customFormat="1" x14ac:dyDescent="0.2">
      <c r="G4195" s="31"/>
      <c r="H4195" s="31"/>
      <c r="I4195" s="31"/>
      <c r="J4195" s="31"/>
    </row>
    <row r="4196" spans="7:10" s="29" customFormat="1" x14ac:dyDescent="0.2">
      <c r="G4196" s="31"/>
      <c r="H4196" s="31"/>
      <c r="I4196" s="31"/>
      <c r="J4196" s="31"/>
    </row>
    <row r="4197" spans="7:10" s="29" customFormat="1" x14ac:dyDescent="0.2">
      <c r="G4197" s="31"/>
      <c r="H4197" s="31"/>
      <c r="I4197" s="31"/>
      <c r="J4197" s="31"/>
    </row>
    <row r="4198" spans="7:10" s="29" customFormat="1" x14ac:dyDescent="0.2">
      <c r="G4198" s="31"/>
      <c r="H4198" s="31"/>
      <c r="I4198" s="31"/>
      <c r="J4198" s="31"/>
    </row>
    <row r="4199" spans="7:10" s="29" customFormat="1" x14ac:dyDescent="0.2">
      <c r="G4199" s="31"/>
      <c r="H4199" s="31"/>
      <c r="I4199" s="31"/>
      <c r="J4199" s="31"/>
    </row>
    <row r="4200" spans="7:10" s="29" customFormat="1" x14ac:dyDescent="0.2">
      <c r="G4200" s="31"/>
      <c r="H4200" s="31"/>
      <c r="I4200" s="31"/>
      <c r="J4200" s="31"/>
    </row>
    <row r="4201" spans="7:10" s="29" customFormat="1" x14ac:dyDescent="0.2">
      <c r="G4201" s="31"/>
      <c r="H4201" s="31"/>
      <c r="I4201" s="31"/>
      <c r="J4201" s="31"/>
    </row>
    <row r="4202" spans="7:10" s="29" customFormat="1" x14ac:dyDescent="0.2">
      <c r="G4202" s="31"/>
      <c r="H4202" s="31"/>
      <c r="I4202" s="31"/>
      <c r="J4202" s="31"/>
    </row>
    <row r="4203" spans="7:10" s="29" customFormat="1" x14ac:dyDescent="0.2">
      <c r="G4203" s="31"/>
      <c r="H4203" s="31"/>
      <c r="I4203" s="31"/>
      <c r="J4203" s="31"/>
    </row>
    <row r="4204" spans="7:10" s="29" customFormat="1" x14ac:dyDescent="0.2">
      <c r="G4204" s="31"/>
      <c r="H4204" s="31"/>
      <c r="I4204" s="31"/>
      <c r="J4204" s="31"/>
    </row>
    <row r="4205" spans="7:10" s="29" customFormat="1" x14ac:dyDescent="0.2">
      <c r="G4205" s="31"/>
      <c r="H4205" s="31"/>
      <c r="I4205" s="31"/>
      <c r="J4205" s="31"/>
    </row>
    <row r="4206" spans="7:10" s="29" customFormat="1" x14ac:dyDescent="0.2">
      <c r="G4206" s="31"/>
      <c r="H4206" s="31"/>
      <c r="I4206" s="31"/>
      <c r="J4206" s="31"/>
    </row>
    <row r="4207" spans="7:10" s="29" customFormat="1" x14ac:dyDescent="0.2">
      <c r="G4207" s="31"/>
      <c r="H4207" s="31"/>
      <c r="I4207" s="31"/>
      <c r="J4207" s="31"/>
    </row>
    <row r="4208" spans="7:10" s="29" customFormat="1" x14ac:dyDescent="0.2">
      <c r="G4208" s="31"/>
      <c r="H4208" s="31"/>
      <c r="I4208" s="31"/>
      <c r="J4208" s="31"/>
    </row>
    <row r="4209" spans="7:10" s="29" customFormat="1" x14ac:dyDescent="0.2">
      <c r="G4209" s="31"/>
      <c r="H4209" s="31"/>
      <c r="I4209" s="31"/>
      <c r="J4209" s="31"/>
    </row>
    <row r="4210" spans="7:10" s="29" customFormat="1" x14ac:dyDescent="0.2">
      <c r="G4210" s="31"/>
      <c r="H4210" s="31"/>
      <c r="I4210" s="31"/>
      <c r="J4210" s="31"/>
    </row>
    <row r="4211" spans="7:10" s="29" customFormat="1" x14ac:dyDescent="0.2">
      <c r="G4211" s="31"/>
      <c r="H4211" s="31"/>
      <c r="I4211" s="31"/>
      <c r="J4211" s="31"/>
    </row>
    <row r="4212" spans="7:10" s="29" customFormat="1" x14ac:dyDescent="0.2">
      <c r="G4212" s="31"/>
      <c r="H4212" s="31"/>
      <c r="I4212" s="31"/>
      <c r="J4212" s="31"/>
    </row>
    <row r="4213" spans="7:10" s="29" customFormat="1" x14ac:dyDescent="0.2">
      <c r="G4213" s="31"/>
      <c r="H4213" s="31"/>
      <c r="I4213" s="31"/>
      <c r="J4213" s="31"/>
    </row>
    <row r="4214" spans="7:10" s="29" customFormat="1" x14ac:dyDescent="0.2">
      <c r="G4214" s="31"/>
      <c r="H4214" s="31"/>
      <c r="I4214" s="31"/>
      <c r="J4214" s="31"/>
    </row>
    <row r="4215" spans="7:10" s="29" customFormat="1" x14ac:dyDescent="0.2">
      <c r="G4215" s="31"/>
      <c r="H4215" s="31"/>
      <c r="I4215" s="31"/>
      <c r="J4215" s="31"/>
    </row>
    <row r="4216" spans="7:10" s="29" customFormat="1" x14ac:dyDescent="0.2">
      <c r="G4216" s="31"/>
      <c r="H4216" s="31"/>
      <c r="I4216" s="31"/>
      <c r="J4216" s="31"/>
    </row>
    <row r="4217" spans="7:10" s="29" customFormat="1" x14ac:dyDescent="0.2">
      <c r="G4217" s="31"/>
      <c r="H4217" s="31"/>
      <c r="I4217" s="31"/>
      <c r="J4217" s="31"/>
    </row>
    <row r="4218" spans="7:10" s="29" customFormat="1" x14ac:dyDescent="0.2">
      <c r="G4218" s="31"/>
      <c r="H4218" s="31"/>
      <c r="I4218" s="31"/>
      <c r="J4218" s="31"/>
    </row>
    <row r="4219" spans="7:10" s="29" customFormat="1" x14ac:dyDescent="0.2">
      <c r="G4219" s="31"/>
      <c r="H4219" s="31"/>
      <c r="I4219" s="31"/>
      <c r="J4219" s="31"/>
    </row>
    <row r="4220" spans="7:10" s="29" customFormat="1" x14ac:dyDescent="0.2">
      <c r="G4220" s="31"/>
      <c r="H4220" s="31"/>
      <c r="I4220" s="31"/>
      <c r="J4220" s="31"/>
    </row>
    <row r="4221" spans="7:10" s="29" customFormat="1" x14ac:dyDescent="0.2">
      <c r="G4221" s="31"/>
      <c r="H4221" s="31"/>
      <c r="I4221" s="31"/>
      <c r="J4221" s="31"/>
    </row>
    <row r="4222" spans="7:10" s="29" customFormat="1" x14ac:dyDescent="0.2">
      <c r="G4222" s="31"/>
      <c r="H4222" s="31"/>
      <c r="I4222" s="31"/>
      <c r="J4222" s="31"/>
    </row>
    <row r="4223" spans="7:10" s="29" customFormat="1" x14ac:dyDescent="0.2">
      <c r="G4223" s="31"/>
      <c r="H4223" s="31"/>
      <c r="I4223" s="31"/>
      <c r="J4223" s="31"/>
    </row>
    <row r="4224" spans="7:10" s="29" customFormat="1" x14ac:dyDescent="0.2">
      <c r="G4224" s="31"/>
      <c r="H4224" s="31"/>
      <c r="I4224" s="31"/>
      <c r="J4224" s="31"/>
    </row>
    <row r="4225" spans="7:10" s="29" customFormat="1" x14ac:dyDescent="0.2">
      <c r="G4225" s="31"/>
      <c r="H4225" s="31"/>
      <c r="I4225" s="31"/>
      <c r="J4225" s="31"/>
    </row>
    <row r="4226" spans="7:10" s="29" customFormat="1" x14ac:dyDescent="0.2">
      <c r="G4226" s="31"/>
      <c r="H4226" s="31"/>
      <c r="I4226" s="31"/>
      <c r="J4226" s="31"/>
    </row>
    <row r="4227" spans="7:10" s="29" customFormat="1" x14ac:dyDescent="0.2">
      <c r="G4227" s="31"/>
      <c r="H4227" s="31"/>
      <c r="I4227" s="31"/>
      <c r="J4227" s="31"/>
    </row>
    <row r="4228" spans="7:10" s="29" customFormat="1" x14ac:dyDescent="0.2">
      <c r="G4228" s="31"/>
      <c r="H4228" s="31"/>
      <c r="I4228" s="31"/>
      <c r="J4228" s="31"/>
    </row>
    <row r="4229" spans="7:10" s="29" customFormat="1" x14ac:dyDescent="0.2">
      <c r="G4229" s="31"/>
      <c r="H4229" s="31"/>
      <c r="I4229" s="31"/>
      <c r="J4229" s="31"/>
    </row>
    <row r="4230" spans="7:10" s="29" customFormat="1" x14ac:dyDescent="0.2">
      <c r="G4230" s="31"/>
      <c r="H4230" s="31"/>
      <c r="I4230" s="31"/>
      <c r="J4230" s="31"/>
    </row>
    <row r="4231" spans="7:10" s="29" customFormat="1" x14ac:dyDescent="0.2">
      <c r="G4231" s="31"/>
      <c r="H4231" s="31"/>
      <c r="I4231" s="31"/>
      <c r="J4231" s="31"/>
    </row>
    <row r="4232" spans="7:10" s="29" customFormat="1" x14ac:dyDescent="0.2">
      <c r="G4232" s="31"/>
      <c r="H4232" s="31"/>
      <c r="I4232" s="31"/>
      <c r="J4232" s="31"/>
    </row>
    <row r="4233" spans="7:10" s="29" customFormat="1" x14ac:dyDescent="0.2">
      <c r="G4233" s="31"/>
      <c r="H4233" s="31"/>
      <c r="I4233" s="31"/>
      <c r="J4233" s="31"/>
    </row>
    <row r="4234" spans="7:10" s="29" customFormat="1" x14ac:dyDescent="0.2">
      <c r="G4234" s="31"/>
      <c r="H4234" s="31"/>
      <c r="I4234" s="31"/>
      <c r="J4234" s="31"/>
    </row>
    <row r="4235" spans="7:10" s="29" customFormat="1" x14ac:dyDescent="0.2">
      <c r="G4235" s="31"/>
      <c r="H4235" s="31"/>
      <c r="I4235" s="31"/>
      <c r="J4235" s="31"/>
    </row>
    <row r="4236" spans="7:10" s="29" customFormat="1" x14ac:dyDescent="0.2">
      <c r="G4236" s="31"/>
      <c r="H4236" s="31"/>
      <c r="I4236" s="31"/>
      <c r="J4236" s="31"/>
    </row>
    <row r="4237" spans="7:10" s="29" customFormat="1" x14ac:dyDescent="0.2">
      <c r="G4237" s="31"/>
      <c r="H4237" s="31"/>
      <c r="I4237" s="31"/>
      <c r="J4237" s="31"/>
    </row>
    <row r="4238" spans="7:10" s="29" customFormat="1" x14ac:dyDescent="0.2">
      <c r="G4238" s="31"/>
      <c r="H4238" s="31"/>
      <c r="I4238" s="31"/>
      <c r="J4238" s="31"/>
    </row>
    <row r="4239" spans="7:10" s="29" customFormat="1" x14ac:dyDescent="0.2">
      <c r="G4239" s="31"/>
      <c r="H4239" s="31"/>
      <c r="I4239" s="31"/>
      <c r="J4239" s="31"/>
    </row>
    <row r="4240" spans="7:10" s="29" customFormat="1" x14ac:dyDescent="0.2">
      <c r="G4240" s="31"/>
      <c r="H4240" s="31"/>
      <c r="I4240" s="31"/>
      <c r="J4240" s="31"/>
    </row>
    <row r="4241" spans="7:10" s="29" customFormat="1" x14ac:dyDescent="0.2">
      <c r="G4241" s="31"/>
      <c r="H4241" s="31"/>
      <c r="I4241" s="31"/>
      <c r="J4241" s="31"/>
    </row>
    <row r="4242" spans="7:10" s="29" customFormat="1" x14ac:dyDescent="0.2">
      <c r="G4242" s="31"/>
      <c r="H4242" s="31"/>
      <c r="I4242" s="31"/>
      <c r="J4242" s="31"/>
    </row>
    <row r="4243" spans="7:10" s="29" customFormat="1" x14ac:dyDescent="0.2">
      <c r="G4243" s="31"/>
      <c r="H4243" s="31"/>
      <c r="I4243" s="31"/>
      <c r="J4243" s="31"/>
    </row>
    <row r="4244" spans="7:10" s="29" customFormat="1" x14ac:dyDescent="0.2">
      <c r="G4244" s="31"/>
      <c r="H4244" s="31"/>
      <c r="I4244" s="31"/>
      <c r="J4244" s="31"/>
    </row>
    <row r="4245" spans="7:10" s="29" customFormat="1" x14ac:dyDescent="0.2">
      <c r="G4245" s="31"/>
      <c r="H4245" s="31"/>
      <c r="I4245" s="31"/>
      <c r="J4245" s="31"/>
    </row>
    <row r="4246" spans="7:10" s="29" customFormat="1" x14ac:dyDescent="0.2">
      <c r="G4246" s="31"/>
      <c r="H4246" s="31"/>
      <c r="I4246" s="31"/>
      <c r="J4246" s="31"/>
    </row>
    <row r="4247" spans="7:10" s="29" customFormat="1" x14ac:dyDescent="0.2">
      <c r="G4247" s="31"/>
      <c r="H4247" s="31"/>
      <c r="I4247" s="31"/>
      <c r="J4247" s="31"/>
    </row>
    <row r="4248" spans="7:10" s="29" customFormat="1" x14ac:dyDescent="0.2">
      <c r="G4248" s="31"/>
      <c r="H4248" s="31"/>
      <c r="I4248" s="31"/>
      <c r="J4248" s="31"/>
    </row>
    <row r="4249" spans="7:10" s="29" customFormat="1" x14ac:dyDescent="0.2">
      <c r="G4249" s="31"/>
      <c r="H4249" s="31"/>
      <c r="I4249" s="31"/>
      <c r="J4249" s="31"/>
    </row>
    <row r="4250" spans="7:10" s="29" customFormat="1" x14ac:dyDescent="0.2">
      <c r="G4250" s="31"/>
      <c r="H4250" s="31"/>
      <c r="I4250" s="31"/>
      <c r="J4250" s="31"/>
    </row>
    <row r="4251" spans="7:10" s="29" customFormat="1" x14ac:dyDescent="0.2">
      <c r="G4251" s="31"/>
      <c r="H4251" s="31"/>
      <c r="I4251" s="31"/>
      <c r="J4251" s="31"/>
    </row>
    <row r="4252" spans="7:10" s="29" customFormat="1" x14ac:dyDescent="0.2">
      <c r="G4252" s="31"/>
      <c r="H4252" s="31"/>
      <c r="I4252" s="31"/>
      <c r="J4252" s="31"/>
    </row>
    <row r="4253" spans="7:10" s="29" customFormat="1" x14ac:dyDescent="0.2">
      <c r="G4253" s="31"/>
      <c r="H4253" s="31"/>
      <c r="I4253" s="31"/>
      <c r="J4253" s="31"/>
    </row>
    <row r="4254" spans="7:10" s="29" customFormat="1" x14ac:dyDescent="0.2">
      <c r="G4254" s="31"/>
      <c r="H4254" s="31"/>
      <c r="I4254" s="31"/>
      <c r="J4254" s="31"/>
    </row>
    <row r="4255" spans="7:10" s="29" customFormat="1" x14ac:dyDescent="0.2">
      <c r="G4255" s="31"/>
      <c r="H4255" s="31"/>
      <c r="I4255" s="31"/>
      <c r="J4255" s="31"/>
    </row>
    <row r="4256" spans="7:10" s="29" customFormat="1" x14ac:dyDescent="0.2">
      <c r="G4256" s="31"/>
      <c r="H4256" s="31"/>
      <c r="I4256" s="31"/>
      <c r="J4256" s="31"/>
    </row>
    <row r="4257" spans="7:10" s="29" customFormat="1" x14ac:dyDescent="0.2">
      <c r="G4257" s="31"/>
      <c r="H4257" s="31"/>
      <c r="I4257" s="31"/>
      <c r="J4257" s="31"/>
    </row>
    <row r="4258" spans="7:10" s="29" customFormat="1" x14ac:dyDescent="0.2">
      <c r="G4258" s="31"/>
      <c r="H4258" s="31"/>
      <c r="I4258" s="31"/>
      <c r="J4258" s="31"/>
    </row>
    <row r="4259" spans="7:10" s="29" customFormat="1" x14ac:dyDescent="0.2">
      <c r="G4259" s="31"/>
      <c r="H4259" s="31"/>
      <c r="I4259" s="31"/>
      <c r="J4259" s="31"/>
    </row>
    <row r="4260" spans="7:10" s="29" customFormat="1" x14ac:dyDescent="0.2">
      <c r="G4260" s="31"/>
      <c r="H4260" s="31"/>
      <c r="I4260" s="31"/>
      <c r="J4260" s="31"/>
    </row>
    <row r="4261" spans="7:10" s="29" customFormat="1" x14ac:dyDescent="0.2">
      <c r="G4261" s="31"/>
      <c r="H4261" s="31"/>
      <c r="I4261" s="31"/>
      <c r="J4261" s="31"/>
    </row>
    <row r="4262" spans="7:10" s="29" customFormat="1" x14ac:dyDescent="0.2">
      <c r="G4262" s="31"/>
      <c r="H4262" s="31"/>
      <c r="I4262" s="31"/>
      <c r="J4262" s="31"/>
    </row>
    <row r="4263" spans="7:10" s="29" customFormat="1" x14ac:dyDescent="0.2">
      <c r="G4263" s="31"/>
      <c r="H4263" s="31"/>
      <c r="I4263" s="31"/>
      <c r="J4263" s="31"/>
    </row>
    <row r="4264" spans="7:10" s="29" customFormat="1" x14ac:dyDescent="0.2">
      <c r="G4264" s="31"/>
      <c r="H4264" s="31"/>
      <c r="I4264" s="31"/>
      <c r="J4264" s="31"/>
    </row>
    <row r="4265" spans="7:10" s="29" customFormat="1" x14ac:dyDescent="0.2">
      <c r="G4265" s="31"/>
      <c r="H4265" s="31"/>
      <c r="I4265" s="31"/>
      <c r="J4265" s="31"/>
    </row>
    <row r="4266" spans="7:10" s="29" customFormat="1" x14ac:dyDescent="0.2">
      <c r="G4266" s="31"/>
      <c r="H4266" s="31"/>
      <c r="I4266" s="31"/>
      <c r="J4266" s="31"/>
    </row>
    <row r="4267" spans="7:10" s="29" customFormat="1" x14ac:dyDescent="0.2">
      <c r="G4267" s="31"/>
      <c r="H4267" s="31"/>
      <c r="I4267" s="31"/>
      <c r="J4267" s="31"/>
    </row>
    <row r="4268" spans="7:10" s="29" customFormat="1" x14ac:dyDescent="0.2">
      <c r="G4268" s="31"/>
      <c r="H4268" s="31"/>
      <c r="I4268" s="31"/>
      <c r="J4268" s="31"/>
    </row>
    <row r="4269" spans="7:10" s="29" customFormat="1" x14ac:dyDescent="0.2">
      <c r="G4269" s="31"/>
      <c r="H4269" s="31"/>
      <c r="I4269" s="31"/>
      <c r="J4269" s="31"/>
    </row>
    <row r="4270" spans="7:10" s="29" customFormat="1" x14ac:dyDescent="0.2">
      <c r="G4270" s="31"/>
      <c r="H4270" s="31"/>
      <c r="I4270" s="31"/>
      <c r="J4270" s="31"/>
    </row>
    <row r="4271" spans="7:10" s="29" customFormat="1" x14ac:dyDescent="0.2">
      <c r="G4271" s="31"/>
      <c r="H4271" s="31"/>
      <c r="I4271" s="31"/>
      <c r="J4271" s="31"/>
    </row>
    <row r="4272" spans="7:10" s="29" customFormat="1" x14ac:dyDescent="0.2">
      <c r="G4272" s="31"/>
      <c r="H4272" s="31"/>
      <c r="I4272" s="31"/>
      <c r="J4272" s="31"/>
    </row>
    <row r="4273" spans="7:10" s="29" customFormat="1" x14ac:dyDescent="0.2">
      <c r="G4273" s="31"/>
      <c r="H4273" s="31"/>
      <c r="I4273" s="31"/>
      <c r="J4273" s="31"/>
    </row>
    <row r="4274" spans="7:10" s="29" customFormat="1" x14ac:dyDescent="0.2">
      <c r="G4274" s="31"/>
      <c r="H4274" s="31"/>
      <c r="I4274" s="31"/>
      <c r="J4274" s="31"/>
    </row>
    <row r="4275" spans="7:10" s="29" customFormat="1" x14ac:dyDescent="0.2">
      <c r="G4275" s="31"/>
      <c r="H4275" s="31"/>
      <c r="I4275" s="31"/>
      <c r="J4275" s="31"/>
    </row>
    <row r="4276" spans="7:10" s="29" customFormat="1" x14ac:dyDescent="0.2">
      <c r="G4276" s="31"/>
      <c r="H4276" s="31"/>
      <c r="I4276" s="31"/>
      <c r="J4276" s="31"/>
    </row>
    <row r="4277" spans="7:10" s="29" customFormat="1" x14ac:dyDescent="0.2">
      <c r="G4277" s="31"/>
      <c r="H4277" s="31"/>
      <c r="I4277" s="31"/>
      <c r="J4277" s="31"/>
    </row>
    <row r="4278" spans="7:10" s="29" customFormat="1" x14ac:dyDescent="0.2">
      <c r="G4278" s="31"/>
      <c r="H4278" s="31"/>
      <c r="I4278" s="31"/>
      <c r="J4278" s="31"/>
    </row>
    <row r="4279" spans="7:10" s="29" customFormat="1" x14ac:dyDescent="0.2">
      <c r="G4279" s="31"/>
      <c r="H4279" s="31"/>
      <c r="I4279" s="31"/>
      <c r="J4279" s="31"/>
    </row>
    <row r="4280" spans="7:10" s="29" customFormat="1" x14ac:dyDescent="0.2">
      <c r="G4280" s="31"/>
      <c r="H4280" s="31"/>
      <c r="I4280" s="31"/>
      <c r="J4280" s="31"/>
    </row>
    <row r="4281" spans="7:10" s="29" customFormat="1" x14ac:dyDescent="0.2">
      <c r="G4281" s="31"/>
      <c r="H4281" s="31"/>
      <c r="I4281" s="31"/>
      <c r="J4281" s="31"/>
    </row>
    <row r="4282" spans="7:10" s="29" customFormat="1" x14ac:dyDescent="0.2">
      <c r="G4282" s="31"/>
      <c r="H4282" s="31"/>
      <c r="I4282" s="31"/>
      <c r="J4282" s="31"/>
    </row>
    <row r="4283" spans="7:10" s="29" customFormat="1" x14ac:dyDescent="0.2">
      <c r="G4283" s="31"/>
      <c r="H4283" s="31"/>
      <c r="I4283" s="31"/>
      <c r="J4283" s="31"/>
    </row>
    <row r="4284" spans="7:10" s="29" customFormat="1" x14ac:dyDescent="0.2">
      <c r="G4284" s="31"/>
      <c r="H4284" s="31"/>
      <c r="I4284" s="31"/>
      <c r="J4284" s="31"/>
    </row>
    <row r="4285" spans="7:10" s="29" customFormat="1" x14ac:dyDescent="0.2">
      <c r="G4285" s="31"/>
      <c r="H4285" s="31"/>
      <c r="I4285" s="31"/>
      <c r="J4285" s="31"/>
    </row>
    <row r="4286" spans="7:10" s="29" customFormat="1" x14ac:dyDescent="0.2">
      <c r="G4286" s="31"/>
      <c r="H4286" s="31"/>
      <c r="I4286" s="31"/>
      <c r="J4286" s="31"/>
    </row>
    <row r="4287" spans="7:10" s="29" customFormat="1" x14ac:dyDescent="0.2">
      <c r="G4287" s="31"/>
      <c r="H4287" s="31"/>
      <c r="I4287" s="31"/>
      <c r="J4287" s="31"/>
    </row>
    <row r="4288" spans="7:10" s="29" customFormat="1" x14ac:dyDescent="0.2">
      <c r="G4288" s="31"/>
      <c r="H4288" s="31"/>
      <c r="I4288" s="31"/>
      <c r="J4288" s="31"/>
    </row>
    <row r="4289" spans="7:10" s="29" customFormat="1" x14ac:dyDescent="0.2">
      <c r="G4289" s="31"/>
      <c r="H4289" s="31"/>
      <c r="I4289" s="31"/>
      <c r="J4289" s="31"/>
    </row>
    <row r="4290" spans="7:10" s="29" customFormat="1" x14ac:dyDescent="0.2">
      <c r="G4290" s="31"/>
      <c r="H4290" s="31"/>
      <c r="I4290" s="31"/>
      <c r="J4290" s="31"/>
    </row>
    <row r="4291" spans="7:10" s="29" customFormat="1" x14ac:dyDescent="0.2">
      <c r="G4291" s="31"/>
      <c r="H4291" s="31"/>
      <c r="I4291" s="31"/>
      <c r="J4291" s="31"/>
    </row>
    <row r="4292" spans="7:10" s="29" customFormat="1" x14ac:dyDescent="0.2">
      <c r="G4292" s="31"/>
      <c r="H4292" s="31"/>
      <c r="I4292" s="31"/>
      <c r="J4292" s="31"/>
    </row>
    <row r="4293" spans="7:10" s="29" customFormat="1" x14ac:dyDescent="0.2">
      <c r="G4293" s="31"/>
      <c r="H4293" s="31"/>
      <c r="I4293" s="31"/>
      <c r="J4293" s="31"/>
    </row>
    <row r="4294" spans="7:10" s="29" customFormat="1" x14ac:dyDescent="0.2">
      <c r="G4294" s="31"/>
      <c r="H4294" s="31"/>
      <c r="I4294" s="31"/>
      <c r="J4294" s="31"/>
    </row>
    <row r="4295" spans="7:10" s="29" customFormat="1" x14ac:dyDescent="0.2">
      <c r="G4295" s="31"/>
      <c r="H4295" s="31"/>
      <c r="I4295" s="31"/>
      <c r="J4295" s="31"/>
    </row>
    <row r="4296" spans="7:10" s="29" customFormat="1" x14ac:dyDescent="0.2">
      <c r="G4296" s="31"/>
      <c r="H4296" s="31"/>
      <c r="I4296" s="31"/>
      <c r="J4296" s="31"/>
    </row>
    <row r="4297" spans="7:10" s="29" customFormat="1" x14ac:dyDescent="0.2">
      <c r="G4297" s="31"/>
      <c r="H4297" s="31"/>
      <c r="I4297" s="31"/>
      <c r="J4297" s="31"/>
    </row>
    <row r="4298" spans="7:10" s="29" customFormat="1" x14ac:dyDescent="0.2">
      <c r="G4298" s="31"/>
      <c r="H4298" s="31"/>
      <c r="I4298" s="31"/>
      <c r="J4298" s="31"/>
    </row>
    <row r="4299" spans="7:10" s="29" customFormat="1" x14ac:dyDescent="0.2">
      <c r="G4299" s="31"/>
      <c r="H4299" s="31"/>
      <c r="I4299" s="31"/>
      <c r="J4299" s="31"/>
    </row>
    <row r="4300" spans="7:10" s="29" customFormat="1" x14ac:dyDescent="0.2">
      <c r="G4300" s="31"/>
      <c r="H4300" s="31"/>
      <c r="I4300" s="31"/>
      <c r="J4300" s="31"/>
    </row>
    <row r="4301" spans="7:10" s="29" customFormat="1" x14ac:dyDescent="0.2">
      <c r="G4301" s="31"/>
      <c r="H4301" s="31"/>
      <c r="I4301" s="31"/>
      <c r="J4301" s="31"/>
    </row>
    <row r="4302" spans="7:10" s="29" customFormat="1" x14ac:dyDescent="0.2">
      <c r="G4302" s="31"/>
      <c r="H4302" s="31"/>
      <c r="I4302" s="31"/>
      <c r="J4302" s="31"/>
    </row>
    <row r="4303" spans="7:10" s="29" customFormat="1" x14ac:dyDescent="0.2">
      <c r="G4303" s="31"/>
      <c r="H4303" s="31"/>
      <c r="I4303" s="31"/>
      <c r="J4303" s="31"/>
    </row>
    <row r="4304" spans="7:10" s="29" customFormat="1" x14ac:dyDescent="0.2">
      <c r="G4304" s="31"/>
      <c r="H4304" s="31"/>
      <c r="I4304" s="31"/>
      <c r="J4304" s="31"/>
    </row>
    <row r="4305" spans="7:10" s="29" customFormat="1" x14ac:dyDescent="0.2">
      <c r="G4305" s="31"/>
      <c r="H4305" s="31"/>
      <c r="I4305" s="31"/>
      <c r="J4305" s="31"/>
    </row>
    <row r="4306" spans="7:10" s="29" customFormat="1" x14ac:dyDescent="0.2">
      <c r="G4306" s="31"/>
      <c r="H4306" s="31"/>
      <c r="I4306" s="31"/>
      <c r="J4306" s="31"/>
    </row>
    <row r="4307" spans="7:10" s="29" customFormat="1" x14ac:dyDescent="0.2">
      <c r="G4307" s="31"/>
      <c r="H4307" s="31"/>
      <c r="I4307" s="31"/>
      <c r="J4307" s="31"/>
    </row>
    <row r="4308" spans="7:10" s="29" customFormat="1" x14ac:dyDescent="0.2">
      <c r="G4308" s="31"/>
      <c r="H4308" s="31"/>
      <c r="I4308" s="31"/>
      <c r="J4308" s="31"/>
    </row>
    <row r="4309" spans="7:10" s="29" customFormat="1" x14ac:dyDescent="0.2">
      <c r="G4309" s="31"/>
      <c r="H4309" s="31"/>
      <c r="I4309" s="31"/>
      <c r="J4309" s="31"/>
    </row>
    <row r="4310" spans="7:10" s="29" customFormat="1" x14ac:dyDescent="0.2">
      <c r="G4310" s="31"/>
      <c r="H4310" s="31"/>
      <c r="I4310" s="31"/>
      <c r="J4310" s="31"/>
    </row>
    <row r="4311" spans="7:10" s="29" customFormat="1" x14ac:dyDescent="0.2">
      <c r="G4311" s="31"/>
      <c r="H4311" s="31"/>
      <c r="I4311" s="31"/>
      <c r="J4311" s="31"/>
    </row>
    <row r="4312" spans="7:10" s="29" customFormat="1" x14ac:dyDescent="0.2">
      <c r="G4312" s="31"/>
      <c r="H4312" s="31"/>
      <c r="I4312" s="31"/>
      <c r="J4312" s="31"/>
    </row>
    <row r="4313" spans="7:10" s="29" customFormat="1" x14ac:dyDescent="0.2">
      <c r="G4313" s="31"/>
      <c r="H4313" s="31"/>
      <c r="I4313" s="31"/>
      <c r="J4313" s="31"/>
    </row>
    <row r="4314" spans="7:10" s="29" customFormat="1" x14ac:dyDescent="0.2">
      <c r="G4314" s="31"/>
      <c r="H4314" s="31"/>
      <c r="I4314" s="31"/>
      <c r="J4314" s="31"/>
    </row>
    <row r="4315" spans="7:10" s="29" customFormat="1" x14ac:dyDescent="0.2">
      <c r="G4315" s="31"/>
      <c r="H4315" s="31"/>
      <c r="I4315" s="31"/>
      <c r="J4315" s="31"/>
    </row>
    <row r="4316" spans="7:10" s="29" customFormat="1" x14ac:dyDescent="0.2">
      <c r="G4316" s="31"/>
      <c r="H4316" s="31"/>
      <c r="I4316" s="31"/>
      <c r="J4316" s="31"/>
    </row>
    <row r="4317" spans="7:10" s="29" customFormat="1" x14ac:dyDescent="0.2">
      <c r="G4317" s="31"/>
      <c r="H4317" s="31"/>
      <c r="I4317" s="31"/>
      <c r="J4317" s="31"/>
    </row>
    <row r="4318" spans="7:10" s="29" customFormat="1" x14ac:dyDescent="0.2">
      <c r="G4318" s="31"/>
      <c r="H4318" s="31"/>
      <c r="I4318" s="31"/>
      <c r="J4318" s="31"/>
    </row>
    <row r="4319" spans="7:10" s="29" customFormat="1" x14ac:dyDescent="0.2">
      <c r="G4319" s="31"/>
      <c r="H4319" s="31"/>
      <c r="I4319" s="31"/>
      <c r="J4319" s="31"/>
    </row>
    <row r="4320" spans="7:10" s="29" customFormat="1" x14ac:dyDescent="0.2">
      <c r="G4320" s="31"/>
      <c r="H4320" s="31"/>
      <c r="I4320" s="31"/>
      <c r="J4320" s="31"/>
    </row>
    <row r="4321" spans="7:10" s="29" customFormat="1" x14ac:dyDescent="0.2">
      <c r="G4321" s="31"/>
      <c r="H4321" s="31"/>
      <c r="I4321" s="31"/>
      <c r="J4321" s="31"/>
    </row>
    <row r="4322" spans="7:10" s="29" customFormat="1" x14ac:dyDescent="0.2">
      <c r="G4322" s="31"/>
      <c r="H4322" s="31"/>
      <c r="I4322" s="31"/>
      <c r="J4322" s="31"/>
    </row>
    <row r="4323" spans="7:10" s="29" customFormat="1" x14ac:dyDescent="0.2">
      <c r="G4323" s="31"/>
      <c r="H4323" s="31"/>
      <c r="I4323" s="31"/>
      <c r="J4323" s="31"/>
    </row>
    <row r="4324" spans="7:10" s="29" customFormat="1" x14ac:dyDescent="0.2">
      <c r="G4324" s="31"/>
      <c r="H4324" s="31"/>
      <c r="I4324" s="31"/>
      <c r="J4324" s="31"/>
    </row>
    <row r="4325" spans="7:10" s="29" customFormat="1" x14ac:dyDescent="0.2">
      <c r="G4325" s="31"/>
      <c r="H4325" s="31"/>
      <c r="I4325" s="31"/>
      <c r="J4325" s="31"/>
    </row>
    <row r="4326" spans="7:10" s="29" customFormat="1" x14ac:dyDescent="0.2">
      <c r="G4326" s="31"/>
      <c r="H4326" s="31"/>
      <c r="I4326" s="31"/>
      <c r="J4326" s="31"/>
    </row>
    <row r="4327" spans="7:10" s="29" customFormat="1" x14ac:dyDescent="0.2">
      <c r="G4327" s="31"/>
      <c r="H4327" s="31"/>
      <c r="I4327" s="31"/>
      <c r="J4327" s="31"/>
    </row>
    <row r="4328" spans="7:10" s="29" customFormat="1" x14ac:dyDescent="0.2">
      <c r="G4328" s="31"/>
      <c r="H4328" s="31"/>
      <c r="I4328" s="31"/>
      <c r="J4328" s="31"/>
    </row>
    <row r="4329" spans="7:10" s="29" customFormat="1" x14ac:dyDescent="0.2">
      <c r="G4329" s="31"/>
      <c r="H4329" s="31"/>
      <c r="I4329" s="31"/>
      <c r="J4329" s="31"/>
    </row>
    <row r="4330" spans="7:10" s="29" customFormat="1" x14ac:dyDescent="0.2">
      <c r="G4330" s="31"/>
      <c r="H4330" s="31"/>
      <c r="I4330" s="31"/>
      <c r="J4330" s="31"/>
    </row>
    <row r="4331" spans="7:10" s="29" customFormat="1" x14ac:dyDescent="0.2">
      <c r="G4331" s="31"/>
      <c r="H4331" s="31"/>
      <c r="I4331" s="31"/>
      <c r="J4331" s="31"/>
    </row>
    <row r="4332" spans="7:10" s="29" customFormat="1" x14ac:dyDescent="0.2">
      <c r="G4332" s="31"/>
      <c r="H4332" s="31"/>
      <c r="I4332" s="31"/>
      <c r="J4332" s="31"/>
    </row>
    <row r="4333" spans="7:10" s="29" customFormat="1" x14ac:dyDescent="0.2">
      <c r="G4333" s="31"/>
      <c r="H4333" s="31"/>
      <c r="I4333" s="31"/>
      <c r="J4333" s="31"/>
    </row>
    <row r="4334" spans="7:10" s="29" customFormat="1" x14ac:dyDescent="0.2">
      <c r="G4334" s="31"/>
      <c r="H4334" s="31"/>
      <c r="I4334" s="31"/>
      <c r="J4334" s="31"/>
    </row>
    <row r="4335" spans="7:10" s="29" customFormat="1" x14ac:dyDescent="0.2">
      <c r="G4335" s="31"/>
      <c r="H4335" s="31"/>
      <c r="I4335" s="31"/>
      <c r="J4335" s="31"/>
    </row>
    <row r="4336" spans="7:10" s="29" customFormat="1" x14ac:dyDescent="0.2">
      <c r="G4336" s="31"/>
      <c r="H4336" s="31"/>
      <c r="I4336" s="31"/>
      <c r="J4336" s="31"/>
    </row>
    <row r="4337" spans="7:10" s="29" customFormat="1" x14ac:dyDescent="0.2">
      <c r="G4337" s="31"/>
      <c r="H4337" s="31"/>
      <c r="I4337" s="31"/>
      <c r="J4337" s="31"/>
    </row>
    <row r="4338" spans="7:10" s="29" customFormat="1" x14ac:dyDescent="0.2">
      <c r="G4338" s="31"/>
      <c r="H4338" s="31"/>
      <c r="I4338" s="31"/>
      <c r="J4338" s="31"/>
    </row>
    <row r="4339" spans="7:10" s="29" customFormat="1" x14ac:dyDescent="0.2">
      <c r="G4339" s="31"/>
      <c r="H4339" s="31"/>
      <c r="I4339" s="31"/>
      <c r="J4339" s="31"/>
    </row>
    <row r="4340" spans="7:10" s="29" customFormat="1" x14ac:dyDescent="0.2">
      <c r="G4340" s="31"/>
      <c r="H4340" s="31"/>
      <c r="I4340" s="31"/>
      <c r="J4340" s="31"/>
    </row>
    <row r="4341" spans="7:10" s="29" customFormat="1" x14ac:dyDescent="0.2">
      <c r="G4341" s="31"/>
      <c r="H4341" s="31"/>
      <c r="I4341" s="31"/>
      <c r="J4341" s="31"/>
    </row>
    <row r="4342" spans="7:10" s="29" customFormat="1" x14ac:dyDescent="0.2">
      <c r="G4342" s="31"/>
      <c r="H4342" s="31"/>
      <c r="I4342" s="31"/>
      <c r="J4342" s="31"/>
    </row>
    <row r="4343" spans="7:10" s="29" customFormat="1" x14ac:dyDescent="0.2">
      <c r="G4343" s="31"/>
      <c r="H4343" s="31"/>
      <c r="I4343" s="31"/>
      <c r="J4343" s="31"/>
    </row>
    <row r="4344" spans="7:10" s="29" customFormat="1" x14ac:dyDescent="0.2">
      <c r="G4344" s="31"/>
      <c r="H4344" s="31"/>
      <c r="I4344" s="31"/>
      <c r="J4344" s="31"/>
    </row>
    <row r="4345" spans="7:10" s="29" customFormat="1" x14ac:dyDescent="0.2">
      <c r="G4345" s="31"/>
      <c r="H4345" s="31"/>
      <c r="I4345" s="31"/>
      <c r="J4345" s="31"/>
    </row>
    <row r="4346" spans="7:10" s="29" customFormat="1" x14ac:dyDescent="0.2">
      <c r="G4346" s="31"/>
      <c r="H4346" s="31"/>
      <c r="I4346" s="31"/>
      <c r="J4346" s="31"/>
    </row>
    <row r="4347" spans="7:10" s="29" customFormat="1" x14ac:dyDescent="0.2">
      <c r="G4347" s="31"/>
      <c r="H4347" s="31"/>
      <c r="I4347" s="31"/>
      <c r="J4347" s="31"/>
    </row>
    <row r="4348" spans="7:10" s="29" customFormat="1" x14ac:dyDescent="0.2">
      <c r="G4348" s="31"/>
      <c r="H4348" s="31"/>
      <c r="I4348" s="31"/>
      <c r="J4348" s="31"/>
    </row>
    <row r="4349" spans="7:10" s="29" customFormat="1" x14ac:dyDescent="0.2">
      <c r="G4349" s="31"/>
      <c r="H4349" s="31"/>
      <c r="I4349" s="31"/>
      <c r="J4349" s="31"/>
    </row>
    <row r="4350" spans="7:10" s="29" customFormat="1" x14ac:dyDescent="0.2">
      <c r="G4350" s="31"/>
      <c r="H4350" s="31"/>
      <c r="I4350" s="31"/>
      <c r="J4350" s="31"/>
    </row>
    <row r="4351" spans="7:10" s="29" customFormat="1" x14ac:dyDescent="0.2">
      <c r="G4351" s="31"/>
      <c r="H4351" s="31"/>
      <c r="I4351" s="31"/>
      <c r="J4351" s="31"/>
    </row>
    <row r="4352" spans="7:10" s="29" customFormat="1" x14ac:dyDescent="0.2">
      <c r="G4352" s="31"/>
      <c r="H4352" s="31"/>
      <c r="I4352" s="31"/>
      <c r="J4352" s="31"/>
    </row>
    <row r="4353" spans="7:10" s="29" customFormat="1" x14ac:dyDescent="0.2">
      <c r="G4353" s="31"/>
      <c r="H4353" s="31"/>
      <c r="I4353" s="31"/>
      <c r="J4353" s="31"/>
    </row>
    <row r="4354" spans="7:10" s="29" customFormat="1" x14ac:dyDescent="0.2">
      <c r="G4354" s="31"/>
      <c r="H4354" s="31"/>
      <c r="I4354" s="31"/>
      <c r="J4354" s="31"/>
    </row>
    <row r="4355" spans="7:10" s="29" customFormat="1" x14ac:dyDescent="0.2">
      <c r="G4355" s="31"/>
      <c r="H4355" s="31"/>
      <c r="I4355" s="31"/>
      <c r="J4355" s="31"/>
    </row>
    <row r="4356" spans="7:10" s="29" customFormat="1" x14ac:dyDescent="0.2">
      <c r="G4356" s="31"/>
      <c r="H4356" s="31"/>
      <c r="I4356" s="31"/>
      <c r="J4356" s="31"/>
    </row>
    <row r="4357" spans="7:10" s="29" customFormat="1" x14ac:dyDescent="0.2">
      <c r="G4357" s="31"/>
      <c r="H4357" s="31"/>
      <c r="I4357" s="31"/>
      <c r="J4357" s="31"/>
    </row>
    <row r="4358" spans="7:10" s="29" customFormat="1" x14ac:dyDescent="0.2">
      <c r="G4358" s="31"/>
      <c r="H4358" s="31"/>
      <c r="I4358" s="31"/>
      <c r="J4358" s="31"/>
    </row>
    <row r="4359" spans="7:10" s="29" customFormat="1" x14ac:dyDescent="0.2">
      <c r="G4359" s="31"/>
      <c r="H4359" s="31"/>
      <c r="I4359" s="31"/>
      <c r="J4359" s="31"/>
    </row>
    <row r="4360" spans="7:10" s="29" customFormat="1" x14ac:dyDescent="0.2">
      <c r="G4360" s="31"/>
      <c r="H4360" s="31"/>
      <c r="I4360" s="31"/>
      <c r="J4360" s="31"/>
    </row>
    <row r="4361" spans="7:10" s="29" customFormat="1" x14ac:dyDescent="0.2">
      <c r="G4361" s="31"/>
      <c r="H4361" s="31"/>
      <c r="I4361" s="31"/>
      <c r="J4361" s="31"/>
    </row>
    <row r="4362" spans="7:10" s="29" customFormat="1" x14ac:dyDescent="0.2">
      <c r="G4362" s="31"/>
      <c r="H4362" s="31"/>
      <c r="I4362" s="31"/>
      <c r="J4362" s="31"/>
    </row>
    <row r="4363" spans="7:10" s="29" customFormat="1" x14ac:dyDescent="0.2">
      <c r="G4363" s="31"/>
      <c r="H4363" s="31"/>
      <c r="I4363" s="31"/>
      <c r="J4363" s="31"/>
    </row>
    <row r="4364" spans="7:10" s="29" customFormat="1" x14ac:dyDescent="0.2">
      <c r="G4364" s="31"/>
      <c r="H4364" s="31"/>
      <c r="I4364" s="31"/>
      <c r="J4364" s="31"/>
    </row>
    <row r="4365" spans="7:10" s="29" customFormat="1" x14ac:dyDescent="0.2">
      <c r="G4365" s="31"/>
      <c r="H4365" s="31"/>
      <c r="I4365" s="31"/>
      <c r="J4365" s="31"/>
    </row>
    <row r="4366" spans="7:10" s="29" customFormat="1" x14ac:dyDescent="0.2">
      <c r="G4366" s="31"/>
      <c r="H4366" s="31"/>
      <c r="I4366" s="31"/>
      <c r="J4366" s="31"/>
    </row>
    <row r="4367" spans="7:10" s="29" customFormat="1" x14ac:dyDescent="0.2">
      <c r="G4367" s="31"/>
      <c r="H4367" s="31"/>
      <c r="I4367" s="31"/>
      <c r="J4367" s="31"/>
    </row>
    <row r="4368" spans="7:10" s="29" customFormat="1" x14ac:dyDescent="0.2">
      <c r="G4368" s="31"/>
      <c r="H4368" s="31"/>
      <c r="I4368" s="31"/>
      <c r="J4368" s="31"/>
    </row>
    <row r="4369" spans="7:10" s="29" customFormat="1" x14ac:dyDescent="0.2">
      <c r="G4369" s="31"/>
      <c r="H4369" s="31"/>
      <c r="I4369" s="31"/>
      <c r="J4369" s="31"/>
    </row>
    <row r="4370" spans="7:10" s="29" customFormat="1" x14ac:dyDescent="0.2">
      <c r="G4370" s="31"/>
      <c r="H4370" s="31"/>
      <c r="I4370" s="31"/>
      <c r="J4370" s="31"/>
    </row>
    <row r="4371" spans="7:10" s="29" customFormat="1" x14ac:dyDescent="0.2">
      <c r="G4371" s="31"/>
      <c r="H4371" s="31"/>
      <c r="I4371" s="31"/>
      <c r="J4371" s="31"/>
    </row>
    <row r="4372" spans="7:10" s="29" customFormat="1" x14ac:dyDescent="0.2">
      <c r="G4372" s="31"/>
      <c r="H4372" s="31"/>
      <c r="I4372" s="31"/>
      <c r="J4372" s="31"/>
    </row>
    <row r="4373" spans="7:10" s="29" customFormat="1" x14ac:dyDescent="0.2">
      <c r="G4373" s="31"/>
      <c r="H4373" s="31"/>
      <c r="I4373" s="31"/>
      <c r="J4373" s="31"/>
    </row>
    <row r="4374" spans="7:10" s="29" customFormat="1" x14ac:dyDescent="0.2">
      <c r="G4374" s="31"/>
      <c r="H4374" s="31"/>
      <c r="I4374" s="31"/>
      <c r="J4374" s="31"/>
    </row>
    <row r="4375" spans="7:10" s="29" customFormat="1" x14ac:dyDescent="0.2">
      <c r="G4375" s="31"/>
      <c r="H4375" s="31"/>
      <c r="I4375" s="31"/>
      <c r="J4375" s="31"/>
    </row>
    <row r="4376" spans="7:10" s="29" customFormat="1" x14ac:dyDescent="0.2">
      <c r="G4376" s="31"/>
      <c r="H4376" s="31"/>
      <c r="I4376" s="31"/>
      <c r="J4376" s="31"/>
    </row>
    <row r="4377" spans="7:10" s="29" customFormat="1" x14ac:dyDescent="0.2">
      <c r="G4377" s="31"/>
      <c r="H4377" s="31"/>
      <c r="I4377" s="31"/>
      <c r="J4377" s="31"/>
    </row>
    <row r="4378" spans="7:10" s="29" customFormat="1" x14ac:dyDescent="0.2">
      <c r="G4378" s="31"/>
      <c r="H4378" s="31"/>
      <c r="I4378" s="31"/>
      <c r="J4378" s="31"/>
    </row>
    <row r="4379" spans="7:10" s="29" customFormat="1" x14ac:dyDescent="0.2">
      <c r="G4379" s="31"/>
      <c r="H4379" s="31"/>
      <c r="I4379" s="31"/>
      <c r="J4379" s="31"/>
    </row>
    <row r="4380" spans="7:10" s="29" customFormat="1" x14ac:dyDescent="0.2">
      <c r="G4380" s="31"/>
      <c r="H4380" s="31"/>
      <c r="I4380" s="31"/>
      <c r="J4380" s="31"/>
    </row>
    <row r="4381" spans="7:10" s="29" customFormat="1" x14ac:dyDescent="0.2">
      <c r="G4381" s="31"/>
      <c r="H4381" s="31"/>
      <c r="I4381" s="31"/>
      <c r="J4381" s="31"/>
    </row>
    <row r="4382" spans="7:10" s="29" customFormat="1" x14ac:dyDescent="0.2">
      <c r="G4382" s="31"/>
      <c r="H4382" s="31"/>
      <c r="I4382" s="31"/>
      <c r="J4382" s="31"/>
    </row>
    <row r="4383" spans="7:10" s="29" customFormat="1" x14ac:dyDescent="0.2">
      <c r="G4383" s="31"/>
      <c r="H4383" s="31"/>
      <c r="I4383" s="31"/>
      <c r="J4383" s="31"/>
    </row>
    <row r="4384" spans="7:10" s="29" customFormat="1" x14ac:dyDescent="0.2">
      <c r="G4384" s="31"/>
      <c r="H4384" s="31"/>
      <c r="I4384" s="31"/>
      <c r="J4384" s="31"/>
    </row>
    <row r="4385" spans="7:10" s="29" customFormat="1" x14ac:dyDescent="0.2">
      <c r="G4385" s="31"/>
      <c r="H4385" s="31"/>
      <c r="I4385" s="31"/>
      <c r="J4385" s="31"/>
    </row>
    <row r="4386" spans="7:10" s="29" customFormat="1" x14ac:dyDescent="0.2">
      <c r="G4386" s="31"/>
      <c r="H4386" s="31"/>
      <c r="I4386" s="31"/>
      <c r="J4386" s="31"/>
    </row>
    <row r="4387" spans="7:10" s="29" customFormat="1" x14ac:dyDescent="0.2">
      <c r="G4387" s="31"/>
      <c r="H4387" s="31"/>
      <c r="I4387" s="31"/>
      <c r="J4387" s="31"/>
    </row>
    <row r="4388" spans="7:10" s="29" customFormat="1" x14ac:dyDescent="0.2">
      <c r="G4388" s="31"/>
      <c r="H4388" s="31"/>
      <c r="I4388" s="31"/>
      <c r="J4388" s="31"/>
    </row>
    <row r="4389" spans="7:10" s="29" customFormat="1" x14ac:dyDescent="0.2">
      <c r="G4389" s="31"/>
      <c r="H4389" s="31"/>
      <c r="I4389" s="31"/>
      <c r="J4389" s="31"/>
    </row>
    <row r="4390" spans="7:10" s="29" customFormat="1" x14ac:dyDescent="0.2">
      <c r="G4390" s="31"/>
      <c r="H4390" s="31"/>
      <c r="I4390" s="31"/>
      <c r="J4390" s="31"/>
    </row>
    <row r="4391" spans="7:10" s="29" customFormat="1" x14ac:dyDescent="0.2">
      <c r="G4391" s="31"/>
      <c r="H4391" s="31"/>
      <c r="I4391" s="31"/>
      <c r="J4391" s="31"/>
    </row>
    <row r="4392" spans="7:10" s="29" customFormat="1" x14ac:dyDescent="0.2">
      <c r="G4392" s="31"/>
      <c r="H4392" s="31"/>
      <c r="I4392" s="31"/>
      <c r="J4392" s="31"/>
    </row>
    <row r="4393" spans="7:10" s="29" customFormat="1" x14ac:dyDescent="0.2">
      <c r="G4393" s="31"/>
      <c r="H4393" s="31"/>
      <c r="I4393" s="31"/>
      <c r="J4393" s="31"/>
    </row>
    <row r="4394" spans="7:10" s="29" customFormat="1" x14ac:dyDescent="0.2">
      <c r="G4394" s="31"/>
      <c r="H4394" s="31"/>
      <c r="I4394" s="31"/>
      <c r="J4394" s="31"/>
    </row>
    <row r="4395" spans="7:10" s="29" customFormat="1" x14ac:dyDescent="0.2">
      <c r="G4395" s="31"/>
      <c r="H4395" s="31"/>
      <c r="I4395" s="31"/>
      <c r="J4395" s="31"/>
    </row>
    <row r="4396" spans="7:10" s="29" customFormat="1" x14ac:dyDescent="0.2">
      <c r="G4396" s="31"/>
      <c r="H4396" s="31"/>
      <c r="I4396" s="31"/>
      <c r="J4396" s="31"/>
    </row>
    <row r="4397" spans="7:10" s="29" customFormat="1" x14ac:dyDescent="0.2">
      <c r="G4397" s="31"/>
      <c r="H4397" s="31"/>
      <c r="I4397" s="31"/>
      <c r="J4397" s="31"/>
    </row>
    <row r="4398" spans="7:10" s="29" customFormat="1" x14ac:dyDescent="0.2">
      <c r="G4398" s="31"/>
      <c r="H4398" s="31"/>
      <c r="I4398" s="31"/>
      <c r="J4398" s="31"/>
    </row>
    <row r="4399" spans="7:10" s="29" customFormat="1" x14ac:dyDescent="0.2">
      <c r="G4399" s="31"/>
      <c r="H4399" s="31"/>
      <c r="I4399" s="31"/>
      <c r="J4399" s="31"/>
    </row>
    <row r="4400" spans="7:10" s="29" customFormat="1" x14ac:dyDescent="0.2">
      <c r="G4400" s="31"/>
      <c r="H4400" s="31"/>
      <c r="I4400" s="31"/>
      <c r="J4400" s="31"/>
    </row>
    <row r="4401" spans="7:10" s="29" customFormat="1" x14ac:dyDescent="0.2">
      <c r="G4401" s="31"/>
      <c r="H4401" s="31"/>
      <c r="I4401" s="31"/>
      <c r="J4401" s="31"/>
    </row>
    <row r="4402" spans="7:10" s="29" customFormat="1" x14ac:dyDescent="0.2">
      <c r="G4402" s="31"/>
      <c r="H4402" s="31"/>
      <c r="I4402" s="31"/>
      <c r="J4402" s="31"/>
    </row>
    <row r="4403" spans="7:10" s="29" customFormat="1" x14ac:dyDescent="0.2">
      <c r="G4403" s="31"/>
      <c r="H4403" s="31"/>
      <c r="I4403" s="31"/>
      <c r="J4403" s="31"/>
    </row>
    <row r="4404" spans="7:10" s="29" customFormat="1" x14ac:dyDescent="0.2">
      <c r="G4404" s="31"/>
      <c r="H4404" s="31"/>
      <c r="I4404" s="31"/>
      <c r="J4404" s="31"/>
    </row>
    <row r="4405" spans="7:10" s="29" customFormat="1" x14ac:dyDescent="0.2">
      <c r="G4405" s="31"/>
      <c r="H4405" s="31"/>
      <c r="I4405" s="31"/>
      <c r="J4405" s="31"/>
    </row>
    <row r="4406" spans="7:10" s="29" customFormat="1" x14ac:dyDescent="0.2">
      <c r="G4406" s="31"/>
      <c r="H4406" s="31"/>
      <c r="I4406" s="31"/>
      <c r="J4406" s="31"/>
    </row>
    <row r="4407" spans="7:10" s="29" customFormat="1" x14ac:dyDescent="0.2">
      <c r="G4407" s="31"/>
      <c r="H4407" s="31"/>
      <c r="I4407" s="31"/>
      <c r="J4407" s="31"/>
    </row>
    <row r="4408" spans="7:10" s="29" customFormat="1" x14ac:dyDescent="0.2">
      <c r="G4408" s="31"/>
      <c r="H4408" s="31"/>
      <c r="I4408" s="31"/>
      <c r="J4408" s="31"/>
    </row>
    <row r="4409" spans="7:10" s="29" customFormat="1" x14ac:dyDescent="0.2">
      <c r="G4409" s="31"/>
      <c r="H4409" s="31"/>
      <c r="I4409" s="31"/>
      <c r="J4409" s="31"/>
    </row>
    <row r="4410" spans="7:10" s="29" customFormat="1" x14ac:dyDescent="0.2">
      <c r="G4410" s="31"/>
      <c r="H4410" s="31"/>
      <c r="I4410" s="31"/>
      <c r="J4410" s="31"/>
    </row>
    <row r="4411" spans="7:10" s="29" customFormat="1" x14ac:dyDescent="0.2">
      <c r="G4411" s="31"/>
      <c r="H4411" s="31"/>
      <c r="I4411" s="31"/>
      <c r="J4411" s="31"/>
    </row>
    <row r="4412" spans="7:10" s="29" customFormat="1" x14ac:dyDescent="0.2">
      <c r="G4412" s="31"/>
      <c r="H4412" s="31"/>
      <c r="I4412" s="31"/>
      <c r="J4412" s="31"/>
    </row>
    <row r="4413" spans="7:10" s="29" customFormat="1" x14ac:dyDescent="0.2">
      <c r="G4413" s="31"/>
      <c r="H4413" s="31"/>
      <c r="I4413" s="31"/>
      <c r="J4413" s="31"/>
    </row>
    <row r="4414" spans="7:10" s="29" customFormat="1" x14ac:dyDescent="0.2">
      <c r="G4414" s="31"/>
      <c r="H4414" s="31"/>
      <c r="I4414" s="31"/>
      <c r="J4414" s="31"/>
    </row>
    <row r="4415" spans="7:10" s="29" customFormat="1" x14ac:dyDescent="0.2">
      <c r="G4415" s="31"/>
      <c r="H4415" s="31"/>
      <c r="I4415" s="31"/>
      <c r="J4415" s="31"/>
    </row>
    <row r="4416" spans="7:10" s="29" customFormat="1" x14ac:dyDescent="0.2">
      <c r="G4416" s="31"/>
      <c r="H4416" s="31"/>
      <c r="I4416" s="31"/>
      <c r="J4416" s="31"/>
    </row>
    <row r="4417" spans="7:10" s="29" customFormat="1" x14ac:dyDescent="0.2">
      <c r="G4417" s="31"/>
      <c r="H4417" s="31"/>
      <c r="I4417" s="31"/>
      <c r="J4417" s="31"/>
    </row>
    <row r="4418" spans="7:10" s="29" customFormat="1" x14ac:dyDescent="0.2">
      <c r="G4418" s="31"/>
      <c r="H4418" s="31"/>
      <c r="I4418" s="31"/>
      <c r="J4418" s="31"/>
    </row>
    <row r="4419" spans="7:10" s="29" customFormat="1" x14ac:dyDescent="0.2">
      <c r="G4419" s="31"/>
      <c r="H4419" s="31"/>
      <c r="I4419" s="31"/>
      <c r="J4419" s="31"/>
    </row>
    <row r="4420" spans="7:10" s="29" customFormat="1" x14ac:dyDescent="0.2">
      <c r="G4420" s="31"/>
      <c r="H4420" s="31"/>
      <c r="I4420" s="31"/>
      <c r="J4420" s="31"/>
    </row>
    <row r="4421" spans="7:10" s="29" customFormat="1" x14ac:dyDescent="0.2">
      <c r="G4421" s="31"/>
      <c r="H4421" s="31"/>
      <c r="I4421" s="31"/>
      <c r="J4421" s="31"/>
    </row>
    <row r="4422" spans="7:10" s="29" customFormat="1" x14ac:dyDescent="0.2">
      <c r="G4422" s="31"/>
      <c r="H4422" s="31"/>
      <c r="I4422" s="31"/>
      <c r="J4422" s="31"/>
    </row>
    <row r="4423" spans="7:10" s="29" customFormat="1" x14ac:dyDescent="0.2">
      <c r="G4423" s="31"/>
      <c r="H4423" s="31"/>
      <c r="I4423" s="31"/>
      <c r="J4423" s="31"/>
    </row>
    <row r="4424" spans="7:10" s="29" customFormat="1" x14ac:dyDescent="0.2">
      <c r="G4424" s="31"/>
      <c r="H4424" s="31"/>
      <c r="I4424" s="31"/>
      <c r="J4424" s="31"/>
    </row>
    <row r="4425" spans="7:10" s="29" customFormat="1" x14ac:dyDescent="0.2">
      <c r="G4425" s="31"/>
      <c r="H4425" s="31"/>
      <c r="I4425" s="31"/>
      <c r="J4425" s="31"/>
    </row>
    <row r="4426" spans="7:10" s="29" customFormat="1" x14ac:dyDescent="0.2">
      <c r="G4426" s="31"/>
      <c r="H4426" s="31"/>
      <c r="I4426" s="31"/>
      <c r="J4426" s="31"/>
    </row>
    <row r="4427" spans="7:10" s="29" customFormat="1" x14ac:dyDescent="0.2">
      <c r="G4427" s="31"/>
      <c r="H4427" s="31"/>
      <c r="I4427" s="31"/>
      <c r="J4427" s="31"/>
    </row>
    <row r="4428" spans="7:10" s="29" customFormat="1" x14ac:dyDescent="0.2">
      <c r="G4428" s="31"/>
      <c r="H4428" s="31"/>
      <c r="I4428" s="31"/>
      <c r="J4428" s="31"/>
    </row>
    <row r="4429" spans="7:10" s="29" customFormat="1" x14ac:dyDescent="0.2">
      <c r="G4429" s="31"/>
      <c r="H4429" s="31"/>
      <c r="I4429" s="31"/>
      <c r="J4429" s="31"/>
    </row>
    <row r="4430" spans="7:10" s="29" customFormat="1" x14ac:dyDescent="0.2">
      <c r="G4430" s="31"/>
      <c r="H4430" s="31"/>
      <c r="I4430" s="31"/>
      <c r="J4430" s="31"/>
    </row>
    <row r="4431" spans="7:10" s="29" customFormat="1" x14ac:dyDescent="0.2">
      <c r="G4431" s="31"/>
      <c r="H4431" s="31"/>
      <c r="I4431" s="31"/>
      <c r="J4431" s="31"/>
    </row>
    <row r="4432" spans="7:10" s="29" customFormat="1" x14ac:dyDescent="0.2">
      <c r="G4432" s="31"/>
      <c r="H4432" s="31"/>
      <c r="I4432" s="31"/>
      <c r="J4432" s="31"/>
    </row>
    <row r="4433" spans="7:10" s="29" customFormat="1" x14ac:dyDescent="0.2">
      <c r="G4433" s="31"/>
      <c r="H4433" s="31"/>
      <c r="I4433" s="31"/>
      <c r="J4433" s="31"/>
    </row>
    <row r="4434" spans="7:10" s="29" customFormat="1" x14ac:dyDescent="0.2">
      <c r="G4434" s="31"/>
      <c r="H4434" s="31"/>
      <c r="I4434" s="31"/>
      <c r="J4434" s="31"/>
    </row>
    <row r="4435" spans="7:10" s="29" customFormat="1" x14ac:dyDescent="0.2">
      <c r="G4435" s="31"/>
      <c r="H4435" s="31"/>
      <c r="I4435" s="31"/>
      <c r="J4435" s="31"/>
    </row>
    <row r="4436" spans="7:10" s="29" customFormat="1" x14ac:dyDescent="0.2">
      <c r="G4436" s="31"/>
      <c r="H4436" s="31"/>
      <c r="I4436" s="31"/>
      <c r="J4436" s="31"/>
    </row>
    <row r="4437" spans="7:10" s="29" customFormat="1" x14ac:dyDescent="0.2">
      <c r="G4437" s="31"/>
      <c r="H4437" s="31"/>
      <c r="I4437" s="31"/>
      <c r="J4437" s="31"/>
    </row>
    <row r="4438" spans="7:10" s="29" customFormat="1" x14ac:dyDescent="0.2">
      <c r="G4438" s="31"/>
      <c r="H4438" s="31"/>
      <c r="I4438" s="31"/>
      <c r="J4438" s="31"/>
    </row>
    <row r="4439" spans="7:10" s="29" customFormat="1" x14ac:dyDescent="0.2">
      <c r="G4439" s="31"/>
      <c r="H4439" s="31"/>
      <c r="I4439" s="31"/>
      <c r="J4439" s="31"/>
    </row>
    <row r="4440" spans="7:10" s="29" customFormat="1" x14ac:dyDescent="0.2">
      <c r="G4440" s="31"/>
      <c r="H4440" s="31"/>
      <c r="I4440" s="31"/>
      <c r="J4440" s="31"/>
    </row>
    <row r="4441" spans="7:10" s="29" customFormat="1" x14ac:dyDescent="0.2">
      <c r="G4441" s="31"/>
      <c r="H4441" s="31"/>
      <c r="I4441" s="31"/>
      <c r="J4441" s="31"/>
    </row>
    <row r="4442" spans="7:10" s="29" customFormat="1" x14ac:dyDescent="0.2">
      <c r="G4442" s="31"/>
      <c r="H4442" s="31"/>
      <c r="I4442" s="31"/>
      <c r="J4442" s="31"/>
    </row>
    <row r="4443" spans="7:10" s="29" customFormat="1" x14ac:dyDescent="0.2">
      <c r="G4443" s="31"/>
      <c r="H4443" s="31"/>
      <c r="I4443" s="31"/>
      <c r="J4443" s="31"/>
    </row>
    <row r="4444" spans="7:10" s="29" customFormat="1" x14ac:dyDescent="0.2">
      <c r="G4444" s="31"/>
      <c r="H4444" s="31"/>
      <c r="I4444" s="31"/>
      <c r="J4444" s="31"/>
    </row>
    <row r="4445" spans="7:10" s="29" customFormat="1" x14ac:dyDescent="0.2">
      <c r="G4445" s="31"/>
      <c r="H4445" s="31"/>
      <c r="I4445" s="31"/>
      <c r="J4445" s="31"/>
    </row>
    <row r="4446" spans="7:10" s="29" customFormat="1" x14ac:dyDescent="0.2">
      <c r="G4446" s="31"/>
      <c r="H4446" s="31"/>
      <c r="I4446" s="31"/>
      <c r="J4446" s="31"/>
    </row>
    <row r="4447" spans="7:10" s="29" customFormat="1" x14ac:dyDescent="0.2">
      <c r="G4447" s="31"/>
      <c r="H4447" s="31"/>
      <c r="I4447" s="31"/>
      <c r="J4447" s="31"/>
    </row>
    <row r="4448" spans="7:10" s="29" customFormat="1" x14ac:dyDescent="0.2">
      <c r="G4448" s="31"/>
      <c r="H4448" s="31"/>
      <c r="I4448" s="31"/>
      <c r="J4448" s="31"/>
    </row>
    <row r="4449" spans="7:10" s="29" customFormat="1" x14ac:dyDescent="0.2">
      <c r="G4449" s="31"/>
      <c r="H4449" s="31"/>
      <c r="I4449" s="31"/>
      <c r="J4449" s="31"/>
    </row>
    <row r="4450" spans="7:10" s="29" customFormat="1" x14ac:dyDescent="0.2">
      <c r="G4450" s="31"/>
      <c r="H4450" s="31"/>
      <c r="I4450" s="31"/>
      <c r="J4450" s="31"/>
    </row>
    <row r="4451" spans="7:10" s="29" customFormat="1" x14ac:dyDescent="0.2">
      <c r="G4451" s="31"/>
      <c r="H4451" s="31"/>
      <c r="I4451" s="31"/>
      <c r="J4451" s="31"/>
    </row>
    <row r="4452" spans="7:10" s="29" customFormat="1" x14ac:dyDescent="0.2">
      <c r="G4452" s="31"/>
      <c r="H4452" s="31"/>
      <c r="I4452" s="31"/>
      <c r="J4452" s="31"/>
    </row>
    <row r="4453" spans="7:10" s="29" customFormat="1" x14ac:dyDescent="0.2">
      <c r="G4453" s="31"/>
      <c r="H4453" s="31"/>
      <c r="I4453" s="31"/>
      <c r="J4453" s="31"/>
    </row>
    <row r="4454" spans="7:10" s="29" customFormat="1" x14ac:dyDescent="0.2">
      <c r="G4454" s="31"/>
      <c r="H4454" s="31"/>
      <c r="I4454" s="31"/>
      <c r="J4454" s="31"/>
    </row>
    <row r="4455" spans="7:10" s="29" customFormat="1" x14ac:dyDescent="0.2">
      <c r="G4455" s="31"/>
      <c r="H4455" s="31"/>
      <c r="I4455" s="31"/>
      <c r="J4455" s="31"/>
    </row>
    <row r="4456" spans="7:10" s="29" customFormat="1" x14ac:dyDescent="0.2">
      <c r="G4456" s="31"/>
      <c r="H4456" s="31"/>
      <c r="I4456" s="31"/>
      <c r="J4456" s="31"/>
    </row>
    <row r="4457" spans="7:10" s="29" customFormat="1" x14ac:dyDescent="0.2">
      <c r="G4457" s="31"/>
      <c r="H4457" s="31"/>
      <c r="I4457" s="31"/>
      <c r="J4457" s="31"/>
    </row>
    <row r="4458" spans="7:10" s="29" customFormat="1" x14ac:dyDescent="0.2">
      <c r="G4458" s="31"/>
      <c r="H4458" s="31"/>
      <c r="I4458" s="31"/>
      <c r="J4458" s="31"/>
    </row>
    <row r="4459" spans="7:10" s="29" customFormat="1" x14ac:dyDescent="0.2">
      <c r="G4459" s="31"/>
      <c r="H4459" s="31"/>
      <c r="I4459" s="31"/>
      <c r="J4459" s="31"/>
    </row>
    <row r="4460" spans="7:10" s="29" customFormat="1" x14ac:dyDescent="0.2">
      <c r="G4460" s="31"/>
      <c r="H4460" s="31"/>
      <c r="I4460" s="31"/>
      <c r="J4460" s="31"/>
    </row>
    <row r="4461" spans="7:10" s="29" customFormat="1" x14ac:dyDescent="0.2">
      <c r="G4461" s="31"/>
      <c r="H4461" s="31"/>
      <c r="I4461" s="31"/>
      <c r="J4461" s="31"/>
    </row>
    <row r="4462" spans="7:10" s="29" customFormat="1" x14ac:dyDescent="0.2">
      <c r="G4462" s="31"/>
      <c r="H4462" s="31"/>
      <c r="I4462" s="31"/>
      <c r="J4462" s="31"/>
    </row>
    <row r="4463" spans="7:10" s="29" customFormat="1" x14ac:dyDescent="0.2">
      <c r="G4463" s="31"/>
      <c r="H4463" s="31"/>
      <c r="I4463" s="31"/>
      <c r="J4463" s="31"/>
    </row>
    <row r="4464" spans="7:10" s="29" customFormat="1" x14ac:dyDescent="0.2">
      <c r="G4464" s="31"/>
      <c r="H4464" s="31"/>
      <c r="I4464" s="31"/>
      <c r="J4464" s="31"/>
    </row>
    <row r="4465" spans="7:10" s="29" customFormat="1" x14ac:dyDescent="0.2">
      <c r="G4465" s="31"/>
      <c r="H4465" s="31"/>
      <c r="I4465" s="31"/>
      <c r="J4465" s="31"/>
    </row>
    <row r="4466" spans="7:10" s="29" customFormat="1" x14ac:dyDescent="0.2">
      <c r="G4466" s="31"/>
      <c r="H4466" s="31"/>
      <c r="I4466" s="31"/>
      <c r="J4466" s="31"/>
    </row>
    <row r="4467" spans="7:10" s="29" customFormat="1" x14ac:dyDescent="0.2">
      <c r="G4467" s="31"/>
      <c r="H4467" s="31"/>
      <c r="I4467" s="31"/>
      <c r="J4467" s="31"/>
    </row>
    <row r="4468" spans="7:10" s="29" customFormat="1" x14ac:dyDescent="0.2">
      <c r="G4468" s="31"/>
      <c r="H4468" s="31"/>
      <c r="I4468" s="31"/>
      <c r="J4468" s="31"/>
    </row>
    <row r="4469" spans="7:10" s="29" customFormat="1" x14ac:dyDescent="0.2">
      <c r="G4469" s="31"/>
      <c r="H4469" s="31"/>
      <c r="I4469" s="31"/>
      <c r="J4469" s="31"/>
    </row>
    <row r="4470" spans="7:10" s="29" customFormat="1" x14ac:dyDescent="0.2">
      <c r="G4470" s="31"/>
      <c r="H4470" s="31"/>
      <c r="I4470" s="31"/>
      <c r="J4470" s="31"/>
    </row>
    <row r="4471" spans="7:10" s="29" customFormat="1" x14ac:dyDescent="0.2">
      <c r="G4471" s="31"/>
      <c r="H4471" s="31"/>
      <c r="I4471" s="31"/>
      <c r="J4471" s="31"/>
    </row>
    <row r="4472" spans="7:10" s="29" customFormat="1" x14ac:dyDescent="0.2">
      <c r="G4472" s="31"/>
      <c r="H4472" s="31"/>
      <c r="I4472" s="31"/>
      <c r="J4472" s="31"/>
    </row>
    <row r="4473" spans="7:10" s="29" customFormat="1" x14ac:dyDescent="0.2">
      <c r="G4473" s="31"/>
      <c r="H4473" s="31"/>
      <c r="I4473" s="31"/>
      <c r="J4473" s="31"/>
    </row>
    <row r="4474" spans="7:10" s="29" customFormat="1" x14ac:dyDescent="0.2">
      <c r="G4474" s="31"/>
      <c r="H4474" s="31"/>
      <c r="I4474" s="31"/>
      <c r="J4474" s="31"/>
    </row>
    <row r="4475" spans="7:10" s="29" customFormat="1" x14ac:dyDescent="0.2">
      <c r="G4475" s="31"/>
      <c r="H4475" s="31"/>
      <c r="I4475" s="31"/>
      <c r="J4475" s="31"/>
    </row>
    <row r="4476" spans="7:10" s="29" customFormat="1" x14ac:dyDescent="0.2">
      <c r="G4476" s="31"/>
      <c r="H4476" s="31"/>
      <c r="I4476" s="31"/>
      <c r="J4476" s="31"/>
    </row>
    <row r="4477" spans="7:10" s="29" customFormat="1" x14ac:dyDescent="0.2">
      <c r="G4477" s="31"/>
      <c r="H4477" s="31"/>
      <c r="I4477" s="31"/>
      <c r="J4477" s="31"/>
    </row>
    <row r="4478" spans="7:10" s="29" customFormat="1" x14ac:dyDescent="0.2">
      <c r="G4478" s="31"/>
      <c r="H4478" s="31"/>
      <c r="I4478" s="31"/>
      <c r="J4478" s="31"/>
    </row>
    <row r="4479" spans="7:10" s="29" customFormat="1" x14ac:dyDescent="0.2">
      <c r="G4479" s="31"/>
      <c r="H4479" s="31"/>
      <c r="I4479" s="31"/>
      <c r="J4479" s="31"/>
    </row>
    <row r="4480" spans="7:10" s="29" customFormat="1" x14ac:dyDescent="0.2">
      <c r="G4480" s="31"/>
      <c r="H4480" s="31"/>
      <c r="I4480" s="31"/>
      <c r="J4480" s="31"/>
    </row>
    <row r="4481" spans="7:10" s="29" customFormat="1" x14ac:dyDescent="0.2">
      <c r="G4481" s="31"/>
      <c r="H4481" s="31"/>
      <c r="I4481" s="31"/>
      <c r="J4481" s="31"/>
    </row>
    <row r="4482" spans="7:10" s="29" customFormat="1" x14ac:dyDescent="0.2">
      <c r="G4482" s="31"/>
      <c r="H4482" s="31"/>
      <c r="I4482" s="31"/>
      <c r="J4482" s="31"/>
    </row>
    <row r="4483" spans="7:10" s="29" customFormat="1" x14ac:dyDescent="0.2">
      <c r="G4483" s="31"/>
      <c r="H4483" s="31"/>
      <c r="I4483" s="31"/>
      <c r="J4483" s="31"/>
    </row>
    <row r="4484" spans="7:10" s="29" customFormat="1" x14ac:dyDescent="0.2">
      <c r="G4484" s="31"/>
      <c r="H4484" s="31"/>
      <c r="I4484" s="31"/>
      <c r="J4484" s="31"/>
    </row>
    <row r="4485" spans="7:10" s="29" customFormat="1" x14ac:dyDescent="0.2">
      <c r="G4485" s="31"/>
      <c r="H4485" s="31"/>
      <c r="I4485" s="31"/>
      <c r="J4485" s="31"/>
    </row>
    <row r="4486" spans="7:10" s="29" customFormat="1" x14ac:dyDescent="0.2">
      <c r="G4486" s="31"/>
      <c r="H4486" s="31"/>
      <c r="I4486" s="31"/>
      <c r="J4486" s="31"/>
    </row>
    <row r="4487" spans="7:10" s="29" customFormat="1" x14ac:dyDescent="0.2">
      <c r="G4487" s="31"/>
      <c r="H4487" s="31"/>
      <c r="I4487" s="31"/>
      <c r="J4487" s="31"/>
    </row>
    <row r="4488" spans="7:10" s="29" customFormat="1" x14ac:dyDescent="0.2">
      <c r="G4488" s="31"/>
      <c r="H4488" s="31"/>
      <c r="I4488" s="31"/>
      <c r="J4488" s="31"/>
    </row>
    <row r="4489" spans="7:10" s="29" customFormat="1" x14ac:dyDescent="0.2">
      <c r="G4489" s="31"/>
      <c r="H4489" s="31"/>
      <c r="I4489" s="31"/>
      <c r="J4489" s="31"/>
    </row>
    <row r="4490" spans="7:10" s="29" customFormat="1" x14ac:dyDescent="0.2">
      <c r="G4490" s="31"/>
      <c r="H4490" s="31"/>
      <c r="I4490" s="31"/>
      <c r="J4490" s="31"/>
    </row>
    <row r="4491" spans="7:10" s="29" customFormat="1" x14ac:dyDescent="0.2">
      <c r="G4491" s="31"/>
      <c r="H4491" s="31"/>
      <c r="I4491" s="31"/>
      <c r="J4491" s="31"/>
    </row>
    <row r="4492" spans="7:10" s="29" customFormat="1" x14ac:dyDescent="0.2">
      <c r="G4492" s="31"/>
      <c r="H4492" s="31"/>
      <c r="I4492" s="31"/>
      <c r="J4492" s="31"/>
    </row>
    <row r="4493" spans="7:10" s="29" customFormat="1" x14ac:dyDescent="0.2">
      <c r="G4493" s="31"/>
      <c r="H4493" s="31"/>
      <c r="I4493" s="31"/>
      <c r="J4493" s="31"/>
    </row>
    <row r="4494" spans="7:10" s="29" customFormat="1" x14ac:dyDescent="0.2">
      <c r="G4494" s="31"/>
      <c r="H4494" s="31"/>
      <c r="I4494" s="31"/>
      <c r="J4494" s="31"/>
    </row>
    <row r="4495" spans="7:10" s="29" customFormat="1" x14ac:dyDescent="0.2">
      <c r="G4495" s="31"/>
      <c r="H4495" s="31"/>
      <c r="I4495" s="31"/>
      <c r="J4495" s="31"/>
    </row>
    <row r="4496" spans="7:10" s="29" customFormat="1" x14ac:dyDescent="0.2">
      <c r="G4496" s="31"/>
      <c r="H4496" s="31"/>
      <c r="I4496" s="31"/>
      <c r="J4496" s="31"/>
    </row>
    <row r="4497" spans="7:10" s="29" customFormat="1" x14ac:dyDescent="0.2">
      <c r="G4497" s="31"/>
      <c r="H4497" s="31"/>
      <c r="I4497" s="31"/>
      <c r="J4497" s="31"/>
    </row>
    <row r="4498" spans="7:10" s="29" customFormat="1" x14ac:dyDescent="0.2">
      <c r="G4498" s="31"/>
      <c r="H4498" s="31"/>
      <c r="I4498" s="31"/>
      <c r="J4498" s="31"/>
    </row>
    <row r="4499" spans="7:10" s="29" customFormat="1" x14ac:dyDescent="0.2">
      <c r="G4499" s="31"/>
      <c r="H4499" s="31"/>
      <c r="I4499" s="31"/>
      <c r="J4499" s="31"/>
    </row>
    <row r="4500" spans="7:10" s="29" customFormat="1" x14ac:dyDescent="0.2">
      <c r="G4500" s="31"/>
      <c r="H4500" s="31"/>
      <c r="I4500" s="31"/>
      <c r="J4500" s="31"/>
    </row>
    <row r="4501" spans="7:10" s="29" customFormat="1" x14ac:dyDescent="0.2">
      <c r="G4501" s="31"/>
      <c r="H4501" s="31"/>
      <c r="I4501" s="31"/>
      <c r="J4501" s="31"/>
    </row>
    <row r="4502" spans="7:10" s="29" customFormat="1" x14ac:dyDescent="0.2">
      <c r="G4502" s="31"/>
      <c r="H4502" s="31"/>
      <c r="I4502" s="31"/>
      <c r="J4502" s="31"/>
    </row>
    <row r="4503" spans="7:10" s="29" customFormat="1" x14ac:dyDescent="0.2">
      <c r="G4503" s="31"/>
      <c r="H4503" s="31"/>
      <c r="I4503" s="31"/>
      <c r="J4503" s="31"/>
    </row>
    <row r="4504" spans="7:10" s="29" customFormat="1" x14ac:dyDescent="0.2">
      <c r="G4504" s="31"/>
      <c r="H4504" s="31"/>
      <c r="I4504" s="31"/>
      <c r="J4504" s="31"/>
    </row>
    <row r="4505" spans="7:10" s="29" customFormat="1" x14ac:dyDescent="0.2">
      <c r="G4505" s="31"/>
      <c r="H4505" s="31"/>
      <c r="I4505" s="31"/>
      <c r="J4505" s="31"/>
    </row>
    <row r="4506" spans="7:10" s="29" customFormat="1" x14ac:dyDescent="0.2">
      <c r="G4506" s="31"/>
      <c r="H4506" s="31"/>
      <c r="I4506" s="31"/>
      <c r="J4506" s="31"/>
    </row>
    <row r="4507" spans="7:10" s="29" customFormat="1" x14ac:dyDescent="0.2">
      <c r="G4507" s="31"/>
      <c r="H4507" s="31"/>
      <c r="I4507" s="31"/>
      <c r="J4507" s="31"/>
    </row>
    <row r="4508" spans="7:10" s="29" customFormat="1" x14ac:dyDescent="0.2">
      <c r="G4508" s="31"/>
      <c r="H4508" s="31"/>
      <c r="I4508" s="31"/>
      <c r="J4508" s="31"/>
    </row>
    <row r="4509" spans="7:10" s="29" customFormat="1" x14ac:dyDescent="0.2">
      <c r="G4509" s="31"/>
      <c r="H4509" s="31"/>
      <c r="I4509" s="31"/>
      <c r="J4509" s="31"/>
    </row>
    <row r="4510" spans="7:10" s="29" customFormat="1" x14ac:dyDescent="0.2">
      <c r="G4510" s="31"/>
      <c r="H4510" s="31"/>
      <c r="I4510" s="31"/>
      <c r="J4510" s="31"/>
    </row>
    <row r="4511" spans="7:10" s="29" customFormat="1" x14ac:dyDescent="0.2">
      <c r="G4511" s="31"/>
      <c r="H4511" s="31"/>
      <c r="I4511" s="31"/>
      <c r="J4511" s="31"/>
    </row>
    <row r="4512" spans="7:10" s="29" customFormat="1" x14ac:dyDescent="0.2">
      <c r="G4512" s="31"/>
      <c r="H4512" s="31"/>
      <c r="I4512" s="31"/>
      <c r="J4512" s="31"/>
    </row>
    <row r="4513" spans="7:10" s="29" customFormat="1" x14ac:dyDescent="0.2">
      <c r="G4513" s="31"/>
      <c r="H4513" s="31"/>
      <c r="I4513" s="31"/>
      <c r="J4513" s="31"/>
    </row>
    <row r="4514" spans="7:10" s="29" customFormat="1" x14ac:dyDescent="0.2">
      <c r="G4514" s="31"/>
      <c r="H4514" s="31"/>
      <c r="I4514" s="31"/>
      <c r="J4514" s="31"/>
    </row>
    <row r="4515" spans="7:10" s="29" customFormat="1" x14ac:dyDescent="0.2">
      <c r="G4515" s="31"/>
      <c r="H4515" s="31"/>
      <c r="I4515" s="31"/>
      <c r="J4515" s="31"/>
    </row>
    <row r="4516" spans="7:10" s="29" customFormat="1" x14ac:dyDescent="0.2">
      <c r="G4516" s="31"/>
      <c r="H4516" s="31"/>
      <c r="I4516" s="31"/>
      <c r="J4516" s="31"/>
    </row>
    <row r="4517" spans="7:10" s="29" customFormat="1" x14ac:dyDescent="0.2">
      <c r="G4517" s="31"/>
      <c r="H4517" s="31"/>
      <c r="I4517" s="31"/>
      <c r="J4517" s="31"/>
    </row>
    <row r="4518" spans="7:10" s="29" customFormat="1" x14ac:dyDescent="0.2">
      <c r="G4518" s="31"/>
      <c r="H4518" s="31"/>
      <c r="I4518" s="31"/>
      <c r="J4518" s="31"/>
    </row>
    <row r="4519" spans="7:10" s="29" customFormat="1" x14ac:dyDescent="0.2">
      <c r="G4519" s="31"/>
      <c r="H4519" s="31"/>
      <c r="I4519" s="31"/>
      <c r="J4519" s="31"/>
    </row>
    <row r="4520" spans="7:10" s="29" customFormat="1" x14ac:dyDescent="0.2">
      <c r="G4520" s="31"/>
      <c r="H4520" s="31"/>
      <c r="I4520" s="31"/>
      <c r="J4520" s="31"/>
    </row>
    <row r="4521" spans="7:10" s="29" customFormat="1" x14ac:dyDescent="0.2">
      <c r="G4521" s="31"/>
      <c r="H4521" s="31"/>
      <c r="I4521" s="31"/>
      <c r="J4521" s="31"/>
    </row>
    <row r="4522" spans="7:10" s="29" customFormat="1" x14ac:dyDescent="0.2">
      <c r="G4522" s="31"/>
      <c r="H4522" s="31"/>
      <c r="I4522" s="31"/>
      <c r="J4522" s="31"/>
    </row>
    <row r="4523" spans="7:10" s="29" customFormat="1" x14ac:dyDescent="0.2">
      <c r="G4523" s="31"/>
      <c r="H4523" s="31"/>
      <c r="I4523" s="31"/>
      <c r="J4523" s="31"/>
    </row>
    <row r="4524" spans="7:10" s="29" customFormat="1" x14ac:dyDescent="0.2">
      <c r="G4524" s="31"/>
      <c r="H4524" s="31"/>
      <c r="I4524" s="31"/>
      <c r="J4524" s="31"/>
    </row>
    <row r="4525" spans="7:10" s="29" customFormat="1" x14ac:dyDescent="0.2">
      <c r="G4525" s="31"/>
      <c r="H4525" s="31"/>
      <c r="I4525" s="31"/>
      <c r="J4525" s="31"/>
    </row>
    <row r="4526" spans="7:10" s="29" customFormat="1" x14ac:dyDescent="0.2">
      <c r="G4526" s="31"/>
      <c r="H4526" s="31"/>
      <c r="I4526" s="31"/>
      <c r="J4526" s="31"/>
    </row>
    <row r="4527" spans="7:10" s="29" customFormat="1" x14ac:dyDescent="0.2">
      <c r="G4527" s="31"/>
      <c r="H4527" s="31"/>
      <c r="I4527" s="31"/>
      <c r="J4527" s="31"/>
    </row>
    <row r="4528" spans="7:10" s="29" customFormat="1" x14ac:dyDescent="0.2">
      <c r="G4528" s="31"/>
      <c r="H4528" s="31"/>
      <c r="I4528" s="31"/>
      <c r="J4528" s="31"/>
    </row>
    <row r="4529" spans="7:10" s="29" customFormat="1" x14ac:dyDescent="0.2">
      <c r="G4529" s="31"/>
      <c r="H4529" s="31"/>
      <c r="I4529" s="31"/>
      <c r="J4529" s="31"/>
    </row>
    <row r="4530" spans="7:10" s="29" customFormat="1" x14ac:dyDescent="0.2">
      <c r="G4530" s="31"/>
      <c r="H4530" s="31"/>
      <c r="I4530" s="31"/>
      <c r="J4530" s="31"/>
    </row>
    <row r="4531" spans="7:10" s="29" customFormat="1" x14ac:dyDescent="0.2">
      <c r="G4531" s="31"/>
      <c r="H4531" s="31"/>
      <c r="I4531" s="31"/>
      <c r="J4531" s="31"/>
    </row>
    <row r="4532" spans="7:10" s="29" customFormat="1" x14ac:dyDescent="0.2">
      <c r="G4532" s="31"/>
      <c r="H4532" s="31"/>
      <c r="I4532" s="31"/>
      <c r="J4532" s="31"/>
    </row>
    <row r="4533" spans="7:10" s="29" customFormat="1" x14ac:dyDescent="0.2">
      <c r="G4533" s="31"/>
      <c r="H4533" s="31"/>
      <c r="I4533" s="31"/>
      <c r="J4533" s="31"/>
    </row>
    <row r="4534" spans="7:10" s="29" customFormat="1" x14ac:dyDescent="0.2">
      <c r="G4534" s="31"/>
      <c r="H4534" s="31"/>
      <c r="I4534" s="31"/>
      <c r="J4534" s="31"/>
    </row>
    <row r="4535" spans="7:10" s="29" customFormat="1" x14ac:dyDescent="0.2">
      <c r="G4535" s="31"/>
      <c r="H4535" s="31"/>
      <c r="I4535" s="31"/>
      <c r="J4535" s="31"/>
    </row>
    <row r="4536" spans="7:10" s="29" customFormat="1" x14ac:dyDescent="0.2">
      <c r="G4536" s="31"/>
      <c r="H4536" s="31"/>
      <c r="I4536" s="31"/>
      <c r="J4536" s="31"/>
    </row>
    <row r="4537" spans="7:10" s="29" customFormat="1" x14ac:dyDescent="0.2">
      <c r="G4537" s="31"/>
      <c r="H4537" s="31"/>
      <c r="I4537" s="31"/>
      <c r="J4537" s="31"/>
    </row>
    <row r="4538" spans="7:10" s="29" customFormat="1" x14ac:dyDescent="0.2">
      <c r="G4538" s="31"/>
      <c r="H4538" s="31"/>
      <c r="I4538" s="31"/>
      <c r="J4538" s="31"/>
    </row>
    <row r="4539" spans="7:10" s="29" customFormat="1" x14ac:dyDescent="0.2">
      <c r="G4539" s="31"/>
      <c r="H4539" s="31"/>
      <c r="I4539" s="31"/>
      <c r="J4539" s="31"/>
    </row>
    <row r="4540" spans="7:10" s="29" customFormat="1" x14ac:dyDescent="0.2">
      <c r="G4540" s="31"/>
      <c r="H4540" s="31"/>
      <c r="I4540" s="31"/>
      <c r="J4540" s="31"/>
    </row>
    <row r="4541" spans="7:10" s="29" customFormat="1" x14ac:dyDescent="0.2">
      <c r="G4541" s="31"/>
      <c r="H4541" s="31"/>
      <c r="I4541" s="31"/>
      <c r="J4541" s="31"/>
    </row>
    <row r="4542" spans="7:10" s="29" customFormat="1" x14ac:dyDescent="0.2">
      <c r="G4542" s="31"/>
      <c r="H4542" s="31"/>
      <c r="I4542" s="31"/>
      <c r="J4542" s="31"/>
    </row>
    <row r="4543" spans="7:10" s="29" customFormat="1" x14ac:dyDescent="0.2">
      <c r="G4543" s="31"/>
      <c r="H4543" s="31"/>
      <c r="I4543" s="31"/>
      <c r="J4543" s="31"/>
    </row>
    <row r="4544" spans="7:10" s="29" customFormat="1" x14ac:dyDescent="0.2">
      <c r="G4544" s="31"/>
      <c r="H4544" s="31"/>
      <c r="I4544" s="31"/>
      <c r="J4544" s="31"/>
    </row>
    <row r="4545" spans="7:10" s="29" customFormat="1" x14ac:dyDescent="0.2">
      <c r="G4545" s="31"/>
      <c r="H4545" s="31"/>
      <c r="I4545" s="31"/>
      <c r="J4545" s="31"/>
    </row>
    <row r="4546" spans="7:10" s="29" customFormat="1" x14ac:dyDescent="0.2">
      <c r="G4546" s="31"/>
      <c r="H4546" s="31"/>
      <c r="I4546" s="31"/>
      <c r="J4546" s="31"/>
    </row>
    <row r="4547" spans="7:10" s="29" customFormat="1" x14ac:dyDescent="0.2">
      <c r="G4547" s="31"/>
      <c r="H4547" s="31"/>
      <c r="I4547" s="31"/>
      <c r="J4547" s="31"/>
    </row>
    <row r="4548" spans="7:10" s="29" customFormat="1" x14ac:dyDescent="0.2">
      <c r="G4548" s="31"/>
      <c r="H4548" s="31"/>
      <c r="I4548" s="31"/>
      <c r="J4548" s="31"/>
    </row>
    <row r="4549" spans="7:10" s="29" customFormat="1" x14ac:dyDescent="0.2">
      <c r="G4549" s="31"/>
      <c r="H4549" s="31"/>
      <c r="I4549" s="31"/>
      <c r="J4549" s="31"/>
    </row>
    <row r="4550" spans="7:10" s="29" customFormat="1" x14ac:dyDescent="0.2">
      <c r="G4550" s="31"/>
      <c r="H4550" s="31"/>
      <c r="I4550" s="31"/>
      <c r="J4550" s="31"/>
    </row>
    <row r="4551" spans="7:10" s="29" customFormat="1" x14ac:dyDescent="0.2">
      <c r="G4551" s="31"/>
      <c r="H4551" s="31"/>
      <c r="I4551" s="31"/>
      <c r="J4551" s="31"/>
    </row>
    <row r="4552" spans="7:10" s="29" customFormat="1" x14ac:dyDescent="0.2">
      <c r="G4552" s="31"/>
      <c r="H4552" s="31"/>
      <c r="I4552" s="31"/>
      <c r="J4552" s="31"/>
    </row>
    <row r="4553" spans="7:10" s="29" customFormat="1" x14ac:dyDescent="0.2">
      <c r="G4553" s="31"/>
      <c r="H4553" s="31"/>
      <c r="I4553" s="31"/>
      <c r="J4553" s="31"/>
    </row>
    <row r="4554" spans="7:10" s="29" customFormat="1" x14ac:dyDescent="0.2">
      <c r="G4554" s="31"/>
      <c r="H4554" s="31"/>
      <c r="I4554" s="31"/>
      <c r="J4554" s="31"/>
    </row>
    <row r="4555" spans="7:10" s="29" customFormat="1" x14ac:dyDescent="0.2">
      <c r="G4555" s="31"/>
      <c r="H4555" s="31"/>
      <c r="I4555" s="31"/>
      <c r="J4555" s="31"/>
    </row>
    <row r="4556" spans="7:10" s="29" customFormat="1" x14ac:dyDescent="0.2">
      <c r="G4556" s="31"/>
      <c r="H4556" s="31"/>
      <c r="I4556" s="31"/>
      <c r="J4556" s="31"/>
    </row>
    <row r="4557" spans="7:10" s="29" customFormat="1" x14ac:dyDescent="0.2">
      <c r="G4557" s="31"/>
      <c r="H4557" s="31"/>
      <c r="I4557" s="31"/>
      <c r="J4557" s="31"/>
    </row>
    <row r="4558" spans="7:10" s="29" customFormat="1" x14ac:dyDescent="0.2">
      <c r="G4558" s="31"/>
      <c r="H4558" s="31"/>
      <c r="I4558" s="31"/>
      <c r="J4558" s="31"/>
    </row>
    <row r="4559" spans="7:10" s="29" customFormat="1" x14ac:dyDescent="0.2">
      <c r="G4559" s="31"/>
      <c r="H4559" s="31"/>
      <c r="I4559" s="31"/>
      <c r="J4559" s="31"/>
    </row>
    <row r="4560" spans="7:10" s="29" customFormat="1" x14ac:dyDescent="0.2">
      <c r="G4560" s="31"/>
      <c r="H4560" s="31"/>
      <c r="I4560" s="31"/>
      <c r="J4560" s="31"/>
    </row>
    <row r="4561" spans="7:10" s="29" customFormat="1" x14ac:dyDescent="0.2">
      <c r="G4561" s="31"/>
      <c r="H4561" s="31"/>
      <c r="I4561" s="31"/>
      <c r="J4561" s="31"/>
    </row>
    <row r="4562" spans="7:10" s="29" customFormat="1" x14ac:dyDescent="0.2">
      <c r="G4562" s="31"/>
      <c r="H4562" s="31"/>
      <c r="I4562" s="31"/>
      <c r="J4562" s="31"/>
    </row>
    <row r="4563" spans="7:10" s="29" customFormat="1" x14ac:dyDescent="0.2">
      <c r="G4563" s="31"/>
      <c r="H4563" s="31"/>
      <c r="I4563" s="31"/>
      <c r="J4563" s="31"/>
    </row>
    <row r="4564" spans="7:10" s="29" customFormat="1" x14ac:dyDescent="0.2">
      <c r="G4564" s="31"/>
      <c r="H4564" s="31"/>
      <c r="I4564" s="31"/>
      <c r="J4564" s="31"/>
    </row>
    <row r="4565" spans="7:10" s="29" customFormat="1" x14ac:dyDescent="0.2">
      <c r="G4565" s="31"/>
      <c r="H4565" s="31"/>
      <c r="I4565" s="31"/>
      <c r="J4565" s="31"/>
    </row>
    <row r="4566" spans="7:10" s="29" customFormat="1" x14ac:dyDescent="0.2">
      <c r="G4566" s="31"/>
      <c r="H4566" s="31"/>
      <c r="I4566" s="31"/>
      <c r="J4566" s="31"/>
    </row>
    <row r="4567" spans="7:10" s="29" customFormat="1" x14ac:dyDescent="0.2">
      <c r="G4567" s="31"/>
      <c r="H4567" s="31"/>
      <c r="I4567" s="31"/>
      <c r="J4567" s="31"/>
    </row>
    <row r="4568" spans="7:10" s="29" customFormat="1" x14ac:dyDescent="0.2">
      <c r="G4568" s="31"/>
      <c r="H4568" s="31"/>
      <c r="I4568" s="31"/>
      <c r="J4568" s="31"/>
    </row>
    <row r="4569" spans="7:10" s="29" customFormat="1" x14ac:dyDescent="0.2">
      <c r="G4569" s="31"/>
      <c r="H4569" s="31"/>
      <c r="I4569" s="31"/>
      <c r="J4569" s="31"/>
    </row>
    <row r="4570" spans="7:10" s="29" customFormat="1" x14ac:dyDescent="0.2">
      <c r="G4570" s="31"/>
      <c r="H4570" s="31"/>
      <c r="I4570" s="31"/>
      <c r="J4570" s="31"/>
    </row>
    <row r="4571" spans="7:10" s="29" customFormat="1" x14ac:dyDescent="0.2">
      <c r="G4571" s="31"/>
      <c r="H4571" s="31"/>
      <c r="I4571" s="31"/>
      <c r="J4571" s="31"/>
    </row>
    <row r="4572" spans="7:10" s="29" customFormat="1" x14ac:dyDescent="0.2">
      <c r="G4572" s="31"/>
      <c r="H4572" s="31"/>
      <c r="I4572" s="31"/>
      <c r="J4572" s="31"/>
    </row>
    <row r="4573" spans="7:10" s="29" customFormat="1" x14ac:dyDescent="0.2">
      <c r="G4573" s="31"/>
      <c r="H4573" s="31"/>
      <c r="I4573" s="31"/>
      <c r="J4573" s="31"/>
    </row>
    <row r="4574" spans="7:10" s="29" customFormat="1" x14ac:dyDescent="0.2">
      <c r="G4574" s="31"/>
      <c r="H4574" s="31"/>
      <c r="I4574" s="31"/>
      <c r="J4574" s="31"/>
    </row>
    <row r="4575" spans="7:10" s="29" customFormat="1" x14ac:dyDescent="0.2">
      <c r="G4575" s="31"/>
      <c r="H4575" s="31"/>
      <c r="I4575" s="31"/>
      <c r="J4575" s="31"/>
    </row>
    <row r="4576" spans="7:10" s="29" customFormat="1" x14ac:dyDescent="0.2">
      <c r="G4576" s="31"/>
      <c r="H4576" s="31"/>
      <c r="I4576" s="31"/>
      <c r="J4576" s="31"/>
    </row>
    <row r="4577" spans="7:10" s="29" customFormat="1" x14ac:dyDescent="0.2">
      <c r="G4577" s="31"/>
      <c r="H4577" s="31"/>
      <c r="I4577" s="31"/>
      <c r="J4577" s="31"/>
    </row>
    <row r="4578" spans="7:10" s="29" customFormat="1" x14ac:dyDescent="0.2">
      <c r="G4578" s="31"/>
      <c r="H4578" s="31"/>
      <c r="I4578" s="31"/>
      <c r="J4578" s="31"/>
    </row>
    <row r="4579" spans="7:10" s="29" customFormat="1" x14ac:dyDescent="0.2">
      <c r="G4579" s="31"/>
      <c r="H4579" s="31"/>
      <c r="I4579" s="31"/>
      <c r="J4579" s="31"/>
    </row>
    <row r="4580" spans="7:10" s="29" customFormat="1" x14ac:dyDescent="0.2">
      <c r="G4580" s="31"/>
      <c r="H4580" s="31"/>
      <c r="I4580" s="31"/>
      <c r="J4580" s="31"/>
    </row>
    <row r="4581" spans="7:10" s="29" customFormat="1" x14ac:dyDescent="0.2">
      <c r="G4581" s="31"/>
      <c r="H4581" s="31"/>
      <c r="I4581" s="31"/>
      <c r="J4581" s="31"/>
    </row>
    <row r="4582" spans="7:10" s="29" customFormat="1" x14ac:dyDescent="0.2">
      <c r="G4582" s="31"/>
      <c r="H4582" s="31"/>
      <c r="I4582" s="31"/>
      <c r="J4582" s="31"/>
    </row>
    <row r="4583" spans="7:10" s="29" customFormat="1" x14ac:dyDescent="0.2">
      <c r="G4583" s="31"/>
      <c r="H4583" s="31"/>
      <c r="I4583" s="31"/>
      <c r="J4583" s="31"/>
    </row>
    <row r="4584" spans="7:10" s="29" customFormat="1" x14ac:dyDescent="0.2">
      <c r="G4584" s="31"/>
      <c r="H4584" s="31"/>
      <c r="I4584" s="31"/>
      <c r="J4584" s="31"/>
    </row>
    <row r="4585" spans="7:10" s="29" customFormat="1" x14ac:dyDescent="0.2">
      <c r="G4585" s="31"/>
      <c r="H4585" s="31"/>
      <c r="I4585" s="31"/>
      <c r="J4585" s="31"/>
    </row>
    <row r="4586" spans="7:10" s="29" customFormat="1" x14ac:dyDescent="0.2">
      <c r="G4586" s="31"/>
      <c r="H4586" s="31"/>
      <c r="I4586" s="31"/>
      <c r="J4586" s="31"/>
    </row>
    <row r="4587" spans="7:10" s="29" customFormat="1" x14ac:dyDescent="0.2">
      <c r="G4587" s="31"/>
      <c r="H4587" s="31"/>
      <c r="I4587" s="31"/>
      <c r="J4587" s="31"/>
    </row>
    <row r="4588" spans="7:10" s="29" customFormat="1" x14ac:dyDescent="0.2">
      <c r="G4588" s="31"/>
      <c r="H4588" s="31"/>
      <c r="I4588" s="31"/>
      <c r="J4588" s="31"/>
    </row>
    <row r="4589" spans="7:10" s="29" customFormat="1" x14ac:dyDescent="0.2">
      <c r="G4589" s="31"/>
      <c r="H4589" s="31"/>
      <c r="I4589" s="31"/>
      <c r="J4589" s="31"/>
    </row>
    <row r="4590" spans="7:10" s="29" customFormat="1" x14ac:dyDescent="0.2">
      <c r="G4590" s="31"/>
      <c r="H4590" s="31"/>
      <c r="I4590" s="31"/>
      <c r="J4590" s="31"/>
    </row>
    <row r="4591" spans="7:10" s="29" customFormat="1" x14ac:dyDescent="0.2">
      <c r="G4591" s="31"/>
      <c r="H4591" s="31"/>
      <c r="I4591" s="31"/>
      <c r="J4591" s="31"/>
    </row>
    <row r="4592" spans="7:10" s="29" customFormat="1" x14ac:dyDescent="0.2">
      <c r="G4592" s="31"/>
      <c r="H4592" s="31"/>
      <c r="I4592" s="31"/>
      <c r="J4592" s="31"/>
    </row>
    <row r="4593" spans="7:10" s="29" customFormat="1" x14ac:dyDescent="0.2">
      <c r="G4593" s="31"/>
      <c r="H4593" s="31"/>
      <c r="I4593" s="31"/>
      <c r="J4593" s="31"/>
    </row>
    <row r="4594" spans="7:10" s="29" customFormat="1" x14ac:dyDescent="0.2">
      <c r="G4594" s="31"/>
      <c r="H4594" s="31"/>
      <c r="I4594" s="31"/>
      <c r="J4594" s="31"/>
    </row>
    <row r="4595" spans="7:10" s="29" customFormat="1" x14ac:dyDescent="0.2">
      <c r="G4595" s="31"/>
      <c r="H4595" s="31"/>
      <c r="I4595" s="31"/>
      <c r="J4595" s="31"/>
    </row>
    <row r="4596" spans="7:10" s="29" customFormat="1" x14ac:dyDescent="0.2">
      <c r="G4596" s="31"/>
      <c r="H4596" s="31"/>
      <c r="I4596" s="31"/>
      <c r="J4596" s="31"/>
    </row>
    <row r="4597" spans="7:10" s="29" customFormat="1" x14ac:dyDescent="0.2">
      <c r="G4597" s="31"/>
      <c r="H4597" s="31"/>
      <c r="I4597" s="31"/>
      <c r="J4597" s="31"/>
    </row>
    <row r="4598" spans="7:10" s="29" customFormat="1" x14ac:dyDescent="0.2">
      <c r="G4598" s="31"/>
      <c r="H4598" s="31"/>
      <c r="I4598" s="31"/>
      <c r="J4598" s="31"/>
    </row>
    <row r="4599" spans="7:10" s="29" customFormat="1" x14ac:dyDescent="0.2">
      <c r="G4599" s="31"/>
      <c r="H4599" s="31"/>
      <c r="I4599" s="31"/>
      <c r="J4599" s="31"/>
    </row>
    <row r="4600" spans="7:10" s="29" customFormat="1" x14ac:dyDescent="0.2">
      <c r="G4600" s="31"/>
      <c r="H4600" s="31"/>
      <c r="I4600" s="31"/>
      <c r="J4600" s="31"/>
    </row>
    <row r="4601" spans="7:10" s="29" customFormat="1" x14ac:dyDescent="0.2">
      <c r="G4601" s="31"/>
      <c r="H4601" s="31"/>
      <c r="I4601" s="31"/>
      <c r="J4601" s="31"/>
    </row>
    <row r="4602" spans="7:10" s="29" customFormat="1" x14ac:dyDescent="0.2">
      <c r="G4602" s="31"/>
      <c r="H4602" s="31"/>
      <c r="I4602" s="31"/>
      <c r="J4602" s="31"/>
    </row>
    <row r="4603" spans="7:10" s="29" customFormat="1" x14ac:dyDescent="0.2">
      <c r="G4603" s="31"/>
      <c r="H4603" s="31"/>
      <c r="I4603" s="31"/>
      <c r="J4603" s="31"/>
    </row>
    <row r="4604" spans="7:10" s="29" customFormat="1" x14ac:dyDescent="0.2">
      <c r="G4604" s="31"/>
      <c r="H4604" s="31"/>
      <c r="I4604" s="31"/>
      <c r="J4604" s="31"/>
    </row>
    <row r="4605" spans="7:10" s="29" customFormat="1" x14ac:dyDescent="0.2">
      <c r="G4605" s="31"/>
      <c r="H4605" s="31"/>
      <c r="I4605" s="31"/>
      <c r="J4605" s="31"/>
    </row>
    <row r="4606" spans="7:10" s="29" customFormat="1" x14ac:dyDescent="0.2">
      <c r="G4606" s="31"/>
      <c r="H4606" s="31"/>
      <c r="I4606" s="31"/>
      <c r="J4606" s="31"/>
    </row>
    <row r="4607" spans="7:10" s="29" customFormat="1" x14ac:dyDescent="0.2">
      <c r="G4607" s="31"/>
      <c r="H4607" s="31"/>
      <c r="I4607" s="31"/>
      <c r="J4607" s="31"/>
    </row>
    <row r="4608" spans="7:10" s="29" customFormat="1" x14ac:dyDescent="0.2">
      <c r="G4608" s="31"/>
      <c r="H4608" s="31"/>
      <c r="I4608" s="31"/>
      <c r="J4608" s="31"/>
    </row>
    <row r="4609" spans="7:10" s="29" customFormat="1" x14ac:dyDescent="0.2">
      <c r="G4609" s="31"/>
      <c r="H4609" s="31"/>
      <c r="I4609" s="31"/>
      <c r="J4609" s="31"/>
    </row>
    <row r="4610" spans="7:10" s="29" customFormat="1" x14ac:dyDescent="0.2">
      <c r="G4610" s="31"/>
      <c r="H4610" s="31"/>
      <c r="I4610" s="31"/>
      <c r="J4610" s="31"/>
    </row>
    <row r="4611" spans="7:10" s="29" customFormat="1" x14ac:dyDescent="0.2">
      <c r="G4611" s="31"/>
      <c r="H4611" s="31"/>
      <c r="I4611" s="31"/>
      <c r="J4611" s="31"/>
    </row>
    <row r="4612" spans="7:10" s="29" customFormat="1" x14ac:dyDescent="0.2">
      <c r="G4612" s="31"/>
      <c r="H4612" s="31"/>
      <c r="I4612" s="31"/>
      <c r="J4612" s="31"/>
    </row>
    <row r="4613" spans="7:10" s="29" customFormat="1" x14ac:dyDescent="0.2">
      <c r="G4613" s="31"/>
      <c r="H4613" s="31"/>
      <c r="I4613" s="31"/>
      <c r="J4613" s="31"/>
    </row>
    <row r="4614" spans="7:10" s="29" customFormat="1" x14ac:dyDescent="0.2">
      <c r="G4614" s="31"/>
      <c r="H4614" s="31"/>
      <c r="I4614" s="31"/>
      <c r="J4614" s="31"/>
    </row>
    <row r="4615" spans="7:10" s="29" customFormat="1" x14ac:dyDescent="0.2">
      <c r="G4615" s="31"/>
      <c r="H4615" s="31"/>
      <c r="I4615" s="31"/>
      <c r="J4615" s="31"/>
    </row>
    <row r="4616" spans="7:10" s="29" customFormat="1" x14ac:dyDescent="0.2">
      <c r="G4616" s="31"/>
      <c r="H4616" s="31"/>
      <c r="I4616" s="31"/>
      <c r="J4616" s="31"/>
    </row>
    <row r="4617" spans="7:10" s="29" customFormat="1" x14ac:dyDescent="0.2">
      <c r="G4617" s="31"/>
      <c r="H4617" s="31"/>
      <c r="I4617" s="31"/>
      <c r="J4617" s="31"/>
    </row>
    <row r="4618" spans="7:10" s="29" customFormat="1" x14ac:dyDescent="0.2">
      <c r="G4618" s="31"/>
      <c r="H4618" s="31"/>
      <c r="I4618" s="31"/>
      <c r="J4618" s="31"/>
    </row>
    <row r="4619" spans="7:10" s="29" customFormat="1" x14ac:dyDescent="0.2">
      <c r="G4619" s="31"/>
      <c r="H4619" s="31"/>
      <c r="I4619" s="31"/>
      <c r="J4619" s="31"/>
    </row>
    <row r="4620" spans="7:10" s="29" customFormat="1" x14ac:dyDescent="0.2">
      <c r="G4620" s="31"/>
      <c r="H4620" s="31"/>
      <c r="I4620" s="31"/>
      <c r="J4620" s="31"/>
    </row>
    <row r="4621" spans="7:10" s="29" customFormat="1" x14ac:dyDescent="0.2">
      <c r="G4621" s="31"/>
      <c r="H4621" s="31"/>
      <c r="I4621" s="31"/>
      <c r="J4621" s="31"/>
    </row>
    <row r="4622" spans="7:10" s="29" customFormat="1" x14ac:dyDescent="0.2">
      <c r="G4622" s="31"/>
      <c r="H4622" s="31"/>
      <c r="I4622" s="31"/>
      <c r="J4622" s="31"/>
    </row>
    <row r="4623" spans="7:10" s="29" customFormat="1" x14ac:dyDescent="0.2">
      <c r="G4623" s="31"/>
      <c r="H4623" s="31"/>
      <c r="I4623" s="31"/>
      <c r="J4623" s="31"/>
    </row>
    <row r="4624" spans="7:10" s="29" customFormat="1" x14ac:dyDescent="0.2">
      <c r="G4624" s="31"/>
      <c r="H4624" s="31"/>
      <c r="I4624" s="31"/>
      <c r="J4624" s="31"/>
    </row>
    <row r="4625" spans="7:10" s="29" customFormat="1" x14ac:dyDescent="0.2">
      <c r="G4625" s="31"/>
      <c r="H4625" s="31"/>
      <c r="I4625" s="31"/>
      <c r="J4625" s="31"/>
    </row>
    <row r="4626" spans="7:10" s="29" customFormat="1" x14ac:dyDescent="0.2">
      <c r="G4626" s="31"/>
      <c r="H4626" s="31"/>
      <c r="I4626" s="31"/>
      <c r="J4626" s="31"/>
    </row>
    <row r="4627" spans="7:10" s="29" customFormat="1" x14ac:dyDescent="0.2">
      <c r="G4627" s="31"/>
      <c r="H4627" s="31"/>
      <c r="I4627" s="31"/>
      <c r="J4627" s="31"/>
    </row>
    <row r="4628" spans="7:10" s="29" customFormat="1" x14ac:dyDescent="0.2">
      <c r="G4628" s="31"/>
      <c r="H4628" s="31"/>
      <c r="I4628" s="31"/>
      <c r="J4628" s="31"/>
    </row>
    <row r="4629" spans="7:10" s="29" customFormat="1" x14ac:dyDescent="0.2">
      <c r="G4629" s="31"/>
      <c r="H4629" s="31"/>
      <c r="I4629" s="31"/>
      <c r="J4629" s="31"/>
    </row>
    <row r="4630" spans="7:10" s="29" customFormat="1" x14ac:dyDescent="0.2">
      <c r="G4630" s="31"/>
      <c r="H4630" s="31"/>
      <c r="I4630" s="31"/>
      <c r="J4630" s="31"/>
    </row>
    <row r="4631" spans="7:10" s="29" customFormat="1" x14ac:dyDescent="0.2">
      <c r="G4631" s="31"/>
      <c r="H4631" s="31"/>
      <c r="I4631" s="31"/>
      <c r="J4631" s="31"/>
    </row>
    <row r="4632" spans="7:10" s="29" customFormat="1" x14ac:dyDescent="0.2">
      <c r="G4632" s="31"/>
      <c r="H4632" s="31"/>
      <c r="I4632" s="31"/>
      <c r="J4632" s="31"/>
    </row>
    <row r="4633" spans="7:10" s="29" customFormat="1" x14ac:dyDescent="0.2">
      <c r="G4633" s="31"/>
      <c r="H4633" s="31"/>
      <c r="I4633" s="31"/>
      <c r="J4633" s="31"/>
    </row>
    <row r="4634" spans="7:10" s="29" customFormat="1" x14ac:dyDescent="0.2">
      <c r="G4634" s="31"/>
      <c r="H4634" s="31"/>
      <c r="I4634" s="31"/>
      <c r="J4634" s="31"/>
    </row>
    <row r="4635" spans="7:10" s="29" customFormat="1" x14ac:dyDescent="0.2">
      <c r="G4635" s="31"/>
      <c r="H4635" s="31"/>
      <c r="I4635" s="31"/>
      <c r="J4635" s="31"/>
    </row>
    <row r="4636" spans="7:10" s="29" customFormat="1" x14ac:dyDescent="0.2">
      <c r="G4636" s="31"/>
      <c r="H4636" s="31"/>
      <c r="I4636" s="31"/>
      <c r="J4636" s="31"/>
    </row>
    <row r="4637" spans="7:10" s="29" customFormat="1" x14ac:dyDescent="0.2">
      <c r="G4637" s="31"/>
      <c r="H4637" s="31"/>
      <c r="I4637" s="31"/>
      <c r="J4637" s="31"/>
    </row>
    <row r="4638" spans="7:10" s="29" customFormat="1" x14ac:dyDescent="0.2">
      <c r="G4638" s="31"/>
      <c r="H4638" s="31"/>
      <c r="I4638" s="31"/>
      <c r="J4638" s="31"/>
    </row>
    <row r="4639" spans="7:10" s="29" customFormat="1" x14ac:dyDescent="0.2">
      <c r="G4639" s="31"/>
      <c r="H4639" s="31"/>
      <c r="I4639" s="31"/>
      <c r="J4639" s="31"/>
    </row>
    <row r="4640" spans="7:10" s="29" customFormat="1" x14ac:dyDescent="0.2">
      <c r="G4640" s="31"/>
      <c r="H4640" s="31"/>
      <c r="I4640" s="31"/>
      <c r="J4640" s="31"/>
    </row>
    <row r="4641" spans="7:10" s="29" customFormat="1" x14ac:dyDescent="0.2">
      <c r="G4641" s="31"/>
      <c r="H4641" s="31"/>
      <c r="I4641" s="31"/>
      <c r="J4641" s="31"/>
    </row>
    <row r="4642" spans="7:10" s="29" customFormat="1" x14ac:dyDescent="0.2">
      <c r="G4642" s="31"/>
      <c r="H4642" s="31"/>
      <c r="I4642" s="31"/>
      <c r="J4642" s="31"/>
    </row>
    <row r="4643" spans="7:10" s="29" customFormat="1" x14ac:dyDescent="0.2">
      <c r="G4643" s="31"/>
      <c r="H4643" s="31"/>
      <c r="I4643" s="31"/>
      <c r="J4643" s="31"/>
    </row>
    <row r="4644" spans="7:10" s="29" customFormat="1" x14ac:dyDescent="0.2">
      <c r="G4644" s="31"/>
      <c r="H4644" s="31"/>
      <c r="I4644" s="31"/>
      <c r="J4644" s="31"/>
    </row>
    <row r="4645" spans="7:10" s="29" customFormat="1" x14ac:dyDescent="0.2">
      <c r="G4645" s="31"/>
      <c r="H4645" s="31"/>
      <c r="I4645" s="31"/>
      <c r="J4645" s="31"/>
    </row>
    <row r="4646" spans="7:10" s="29" customFormat="1" x14ac:dyDescent="0.2">
      <c r="G4646" s="31"/>
      <c r="H4646" s="31"/>
      <c r="I4646" s="31"/>
      <c r="J4646" s="31"/>
    </row>
    <row r="4647" spans="7:10" s="29" customFormat="1" x14ac:dyDescent="0.2">
      <c r="G4647" s="31"/>
      <c r="H4647" s="31"/>
      <c r="I4647" s="31"/>
      <c r="J4647" s="31"/>
    </row>
    <row r="4648" spans="7:10" s="29" customFormat="1" x14ac:dyDescent="0.2">
      <c r="G4648" s="31"/>
      <c r="H4648" s="31"/>
      <c r="I4648" s="31"/>
      <c r="J4648" s="31"/>
    </row>
    <row r="4649" spans="7:10" s="29" customFormat="1" x14ac:dyDescent="0.2">
      <c r="G4649" s="31"/>
      <c r="H4649" s="31"/>
      <c r="I4649" s="31"/>
      <c r="J4649" s="31"/>
    </row>
    <row r="4650" spans="7:10" s="29" customFormat="1" x14ac:dyDescent="0.2">
      <c r="G4650" s="31"/>
      <c r="H4650" s="31"/>
      <c r="I4650" s="31"/>
      <c r="J4650" s="31"/>
    </row>
    <row r="4651" spans="7:10" s="29" customFormat="1" x14ac:dyDescent="0.2">
      <c r="G4651" s="31"/>
      <c r="H4651" s="31"/>
      <c r="I4651" s="31"/>
      <c r="J4651" s="31"/>
    </row>
    <row r="4652" spans="7:10" s="29" customFormat="1" x14ac:dyDescent="0.2">
      <c r="G4652" s="31"/>
      <c r="H4652" s="31"/>
      <c r="I4652" s="31"/>
      <c r="J4652" s="31"/>
    </row>
    <row r="4653" spans="7:10" s="29" customFormat="1" x14ac:dyDescent="0.2">
      <c r="G4653" s="31"/>
      <c r="H4653" s="31"/>
      <c r="I4653" s="31"/>
      <c r="J4653" s="31"/>
    </row>
    <row r="4654" spans="7:10" s="29" customFormat="1" x14ac:dyDescent="0.2">
      <c r="G4654" s="31"/>
      <c r="H4654" s="31"/>
      <c r="I4654" s="31"/>
      <c r="J4654" s="31"/>
    </row>
    <row r="4655" spans="7:10" s="29" customFormat="1" x14ac:dyDescent="0.2">
      <c r="G4655" s="31"/>
      <c r="H4655" s="31"/>
      <c r="I4655" s="31"/>
      <c r="J4655" s="31"/>
    </row>
    <row r="4656" spans="7:10" s="29" customFormat="1" x14ac:dyDescent="0.2">
      <c r="G4656" s="31"/>
      <c r="H4656" s="31"/>
      <c r="I4656" s="31"/>
      <c r="J4656" s="31"/>
    </row>
    <row r="4657" spans="7:10" s="29" customFormat="1" x14ac:dyDescent="0.2">
      <c r="G4657" s="31"/>
      <c r="H4657" s="31"/>
      <c r="I4657" s="31"/>
      <c r="J4657" s="31"/>
    </row>
    <row r="4658" spans="7:10" s="29" customFormat="1" x14ac:dyDescent="0.2">
      <c r="G4658" s="31"/>
      <c r="H4658" s="31"/>
      <c r="I4658" s="31"/>
      <c r="J4658" s="31"/>
    </row>
    <row r="4659" spans="7:10" s="29" customFormat="1" x14ac:dyDescent="0.2">
      <c r="G4659" s="31"/>
      <c r="H4659" s="31"/>
      <c r="I4659" s="31"/>
      <c r="J4659" s="31"/>
    </row>
    <row r="4660" spans="7:10" s="29" customFormat="1" x14ac:dyDescent="0.2">
      <c r="G4660" s="31"/>
      <c r="H4660" s="31"/>
      <c r="I4660" s="31"/>
      <c r="J4660" s="31"/>
    </row>
    <row r="4661" spans="7:10" s="29" customFormat="1" x14ac:dyDescent="0.2">
      <c r="G4661" s="31"/>
      <c r="H4661" s="31"/>
      <c r="I4661" s="31"/>
      <c r="J4661" s="31"/>
    </row>
    <row r="4662" spans="7:10" s="29" customFormat="1" x14ac:dyDescent="0.2">
      <c r="G4662" s="31"/>
      <c r="H4662" s="31"/>
      <c r="I4662" s="31"/>
      <c r="J4662" s="31"/>
    </row>
    <row r="4663" spans="7:10" s="29" customFormat="1" x14ac:dyDescent="0.2">
      <c r="G4663" s="31"/>
      <c r="H4663" s="31"/>
      <c r="I4663" s="31"/>
      <c r="J4663" s="31"/>
    </row>
    <row r="4664" spans="7:10" s="29" customFormat="1" x14ac:dyDescent="0.2">
      <c r="G4664" s="31"/>
      <c r="H4664" s="31"/>
      <c r="I4664" s="31"/>
      <c r="J4664" s="31"/>
    </row>
    <row r="4665" spans="7:10" s="29" customFormat="1" x14ac:dyDescent="0.2">
      <c r="G4665" s="31"/>
      <c r="H4665" s="31"/>
      <c r="I4665" s="31"/>
      <c r="J4665" s="31"/>
    </row>
    <row r="4666" spans="7:10" s="29" customFormat="1" x14ac:dyDescent="0.2">
      <c r="G4666" s="31"/>
      <c r="H4666" s="31"/>
      <c r="I4666" s="31"/>
      <c r="J4666" s="31"/>
    </row>
    <row r="4667" spans="7:10" s="29" customFormat="1" x14ac:dyDescent="0.2">
      <c r="G4667" s="31"/>
      <c r="H4667" s="31"/>
      <c r="I4667" s="31"/>
      <c r="J4667" s="31"/>
    </row>
    <row r="4668" spans="7:10" s="29" customFormat="1" x14ac:dyDescent="0.2">
      <c r="G4668" s="31"/>
      <c r="H4668" s="31"/>
      <c r="I4668" s="31"/>
      <c r="J4668" s="31"/>
    </row>
    <row r="4669" spans="7:10" s="29" customFormat="1" x14ac:dyDescent="0.2">
      <c r="G4669" s="31"/>
      <c r="H4669" s="31"/>
      <c r="I4669" s="31"/>
      <c r="J4669" s="31"/>
    </row>
    <row r="4670" spans="7:10" s="29" customFormat="1" x14ac:dyDescent="0.2">
      <c r="G4670" s="31"/>
      <c r="H4670" s="31"/>
      <c r="I4670" s="31"/>
      <c r="J4670" s="31"/>
    </row>
    <row r="4671" spans="7:10" s="29" customFormat="1" x14ac:dyDescent="0.2">
      <c r="G4671" s="31"/>
      <c r="H4671" s="31"/>
      <c r="I4671" s="31"/>
      <c r="J4671" s="31"/>
    </row>
    <row r="4672" spans="7:10" s="29" customFormat="1" x14ac:dyDescent="0.2">
      <c r="G4672" s="31"/>
      <c r="H4672" s="31"/>
      <c r="I4672" s="31"/>
      <c r="J4672" s="31"/>
    </row>
    <row r="4673" spans="7:10" s="29" customFormat="1" x14ac:dyDescent="0.2">
      <c r="G4673" s="31"/>
      <c r="H4673" s="31"/>
      <c r="I4673" s="31"/>
      <c r="J4673" s="31"/>
    </row>
    <row r="4674" spans="7:10" s="29" customFormat="1" x14ac:dyDescent="0.2">
      <c r="G4674" s="31"/>
      <c r="H4674" s="31"/>
      <c r="I4674" s="31"/>
      <c r="J4674" s="31"/>
    </row>
    <row r="4675" spans="7:10" s="29" customFormat="1" x14ac:dyDescent="0.2">
      <c r="G4675" s="31"/>
      <c r="H4675" s="31"/>
      <c r="I4675" s="31"/>
      <c r="J4675" s="31"/>
    </row>
    <row r="4676" spans="7:10" s="29" customFormat="1" x14ac:dyDescent="0.2">
      <c r="G4676" s="31"/>
      <c r="H4676" s="31"/>
      <c r="I4676" s="31"/>
      <c r="J4676" s="31"/>
    </row>
    <row r="4677" spans="7:10" s="29" customFormat="1" x14ac:dyDescent="0.2">
      <c r="G4677" s="31"/>
      <c r="H4677" s="31"/>
      <c r="I4677" s="31"/>
      <c r="J4677" s="31"/>
    </row>
    <row r="4678" spans="7:10" s="29" customFormat="1" x14ac:dyDescent="0.2">
      <c r="G4678" s="31"/>
      <c r="H4678" s="31"/>
      <c r="I4678" s="31"/>
      <c r="J4678" s="31"/>
    </row>
    <row r="4679" spans="7:10" s="29" customFormat="1" x14ac:dyDescent="0.2">
      <c r="G4679" s="31"/>
      <c r="H4679" s="31"/>
      <c r="I4679" s="31"/>
      <c r="J4679" s="31"/>
    </row>
    <row r="4680" spans="7:10" s="29" customFormat="1" x14ac:dyDescent="0.2">
      <c r="G4680" s="31"/>
      <c r="H4680" s="31"/>
      <c r="I4680" s="31"/>
      <c r="J4680" s="31"/>
    </row>
    <row r="4681" spans="7:10" s="29" customFormat="1" x14ac:dyDescent="0.2">
      <c r="G4681" s="31"/>
      <c r="H4681" s="31"/>
      <c r="I4681" s="31"/>
      <c r="J4681" s="31"/>
    </row>
    <row r="4682" spans="7:10" s="29" customFormat="1" x14ac:dyDescent="0.2">
      <c r="G4682" s="31"/>
      <c r="H4682" s="31"/>
      <c r="I4682" s="31"/>
      <c r="J4682" s="31"/>
    </row>
    <row r="4683" spans="7:10" s="29" customFormat="1" x14ac:dyDescent="0.2">
      <c r="G4683" s="31"/>
      <c r="H4683" s="31"/>
      <c r="I4683" s="31"/>
      <c r="J4683" s="31"/>
    </row>
    <row r="4684" spans="7:10" s="29" customFormat="1" x14ac:dyDescent="0.2">
      <c r="G4684" s="31"/>
      <c r="H4684" s="31"/>
      <c r="I4684" s="31"/>
      <c r="J4684" s="31"/>
    </row>
    <row r="4685" spans="7:10" s="29" customFormat="1" x14ac:dyDescent="0.2">
      <c r="G4685" s="31"/>
      <c r="H4685" s="31"/>
      <c r="I4685" s="31"/>
      <c r="J4685" s="31"/>
    </row>
    <row r="4686" spans="7:10" s="29" customFormat="1" x14ac:dyDescent="0.2">
      <c r="G4686" s="31"/>
      <c r="H4686" s="31"/>
      <c r="I4686" s="31"/>
      <c r="J4686" s="31"/>
    </row>
    <row r="4687" spans="7:10" s="29" customFormat="1" x14ac:dyDescent="0.2">
      <c r="G4687" s="31"/>
      <c r="H4687" s="31"/>
      <c r="I4687" s="31"/>
      <c r="J4687" s="31"/>
    </row>
    <row r="4688" spans="7:10" s="29" customFormat="1" x14ac:dyDescent="0.2">
      <c r="G4688" s="31"/>
      <c r="H4688" s="31"/>
      <c r="I4688" s="31"/>
      <c r="J4688" s="31"/>
    </row>
    <row r="4689" spans="7:10" s="29" customFormat="1" x14ac:dyDescent="0.2">
      <c r="G4689" s="31"/>
      <c r="H4689" s="31"/>
      <c r="I4689" s="31"/>
      <c r="J4689" s="31"/>
    </row>
    <row r="4690" spans="7:10" s="29" customFormat="1" x14ac:dyDescent="0.2">
      <c r="G4690" s="31"/>
      <c r="H4690" s="31"/>
      <c r="I4690" s="31"/>
      <c r="J4690" s="31"/>
    </row>
    <row r="4691" spans="7:10" s="29" customFormat="1" x14ac:dyDescent="0.2">
      <c r="G4691" s="31"/>
      <c r="H4691" s="31"/>
      <c r="I4691" s="31"/>
      <c r="J4691" s="31"/>
    </row>
    <row r="4692" spans="7:10" s="29" customFormat="1" x14ac:dyDescent="0.2">
      <c r="G4692" s="31"/>
      <c r="H4692" s="31"/>
      <c r="I4692" s="31"/>
      <c r="J4692" s="31"/>
    </row>
    <row r="4693" spans="7:10" s="29" customFormat="1" x14ac:dyDescent="0.2">
      <c r="G4693" s="31"/>
      <c r="H4693" s="31"/>
      <c r="I4693" s="31"/>
      <c r="J4693" s="31"/>
    </row>
    <row r="4694" spans="7:10" s="29" customFormat="1" x14ac:dyDescent="0.2">
      <c r="G4694" s="31"/>
      <c r="H4694" s="31"/>
      <c r="I4694" s="31"/>
      <c r="J4694" s="31"/>
    </row>
    <row r="4695" spans="7:10" s="29" customFormat="1" x14ac:dyDescent="0.2">
      <c r="G4695" s="31"/>
      <c r="H4695" s="31"/>
      <c r="I4695" s="31"/>
      <c r="J4695" s="31"/>
    </row>
    <row r="4696" spans="7:10" s="29" customFormat="1" x14ac:dyDescent="0.2">
      <c r="G4696" s="31"/>
      <c r="H4696" s="31"/>
      <c r="I4696" s="31"/>
      <c r="J4696" s="31"/>
    </row>
    <row r="4697" spans="7:10" s="29" customFormat="1" x14ac:dyDescent="0.2">
      <c r="G4697" s="31"/>
      <c r="H4697" s="31"/>
      <c r="I4697" s="31"/>
      <c r="J4697" s="31"/>
    </row>
    <row r="4698" spans="7:10" s="29" customFormat="1" x14ac:dyDescent="0.2">
      <c r="G4698" s="31"/>
      <c r="H4698" s="31"/>
      <c r="I4698" s="31"/>
      <c r="J4698" s="31"/>
    </row>
    <row r="4699" spans="7:10" s="29" customFormat="1" x14ac:dyDescent="0.2">
      <c r="G4699" s="31"/>
      <c r="H4699" s="31"/>
      <c r="I4699" s="31"/>
      <c r="J4699" s="31"/>
    </row>
    <row r="4700" spans="7:10" s="29" customFormat="1" x14ac:dyDescent="0.2">
      <c r="G4700" s="31"/>
      <c r="H4700" s="31"/>
      <c r="I4700" s="31"/>
      <c r="J4700" s="31"/>
    </row>
    <row r="4701" spans="7:10" s="29" customFormat="1" x14ac:dyDescent="0.2">
      <c r="G4701" s="31"/>
      <c r="H4701" s="31"/>
      <c r="I4701" s="31"/>
      <c r="J4701" s="31"/>
    </row>
    <row r="4702" spans="7:10" s="29" customFormat="1" x14ac:dyDescent="0.2">
      <c r="G4702" s="31"/>
      <c r="H4702" s="31"/>
      <c r="I4702" s="31"/>
      <c r="J4702" s="31"/>
    </row>
    <row r="4703" spans="7:10" s="29" customFormat="1" x14ac:dyDescent="0.2">
      <c r="G4703" s="31"/>
      <c r="H4703" s="31"/>
      <c r="I4703" s="31"/>
      <c r="J4703" s="31"/>
    </row>
    <row r="4704" spans="7:10" s="29" customFormat="1" x14ac:dyDescent="0.2">
      <c r="G4704" s="31"/>
      <c r="H4704" s="31"/>
      <c r="I4704" s="31"/>
      <c r="J4704" s="31"/>
    </row>
    <row r="4705" spans="7:10" s="29" customFormat="1" x14ac:dyDescent="0.2">
      <c r="G4705" s="31"/>
      <c r="H4705" s="31"/>
      <c r="I4705" s="31"/>
      <c r="J4705" s="31"/>
    </row>
    <row r="4706" spans="7:10" s="29" customFormat="1" x14ac:dyDescent="0.2">
      <c r="G4706" s="31"/>
      <c r="H4706" s="31"/>
      <c r="I4706" s="31"/>
      <c r="J4706" s="31"/>
    </row>
    <row r="4707" spans="7:10" s="29" customFormat="1" x14ac:dyDescent="0.2">
      <c r="G4707" s="31"/>
      <c r="H4707" s="31"/>
      <c r="I4707" s="31"/>
      <c r="J4707" s="31"/>
    </row>
    <row r="4708" spans="7:10" s="29" customFormat="1" x14ac:dyDescent="0.2">
      <c r="G4708" s="31"/>
      <c r="H4708" s="31"/>
      <c r="I4708" s="31"/>
      <c r="J4708" s="31"/>
    </row>
    <row r="4709" spans="7:10" s="29" customFormat="1" x14ac:dyDescent="0.2">
      <c r="G4709" s="31"/>
      <c r="H4709" s="31"/>
      <c r="I4709" s="31"/>
      <c r="J4709" s="31"/>
    </row>
    <row r="4710" spans="7:10" s="29" customFormat="1" x14ac:dyDescent="0.2">
      <c r="G4710" s="31"/>
      <c r="H4710" s="31"/>
      <c r="I4710" s="31"/>
      <c r="J4710" s="31"/>
    </row>
    <row r="4711" spans="7:10" s="29" customFormat="1" x14ac:dyDescent="0.2">
      <c r="G4711" s="31"/>
      <c r="H4711" s="31"/>
      <c r="I4711" s="31"/>
      <c r="J4711" s="31"/>
    </row>
    <row r="4712" spans="7:10" s="29" customFormat="1" x14ac:dyDescent="0.2">
      <c r="G4712" s="31"/>
      <c r="H4712" s="31"/>
      <c r="I4712" s="31"/>
      <c r="J4712" s="31"/>
    </row>
    <row r="4713" spans="7:10" s="29" customFormat="1" x14ac:dyDescent="0.2">
      <c r="G4713" s="31"/>
      <c r="H4713" s="31"/>
      <c r="I4713" s="31"/>
      <c r="J4713" s="31"/>
    </row>
    <row r="4714" spans="7:10" s="29" customFormat="1" x14ac:dyDescent="0.2">
      <c r="G4714" s="31"/>
      <c r="H4714" s="31"/>
      <c r="I4714" s="31"/>
      <c r="J4714" s="31"/>
    </row>
    <row r="4715" spans="7:10" s="29" customFormat="1" x14ac:dyDescent="0.2">
      <c r="G4715" s="31"/>
      <c r="H4715" s="31"/>
      <c r="I4715" s="31"/>
      <c r="J4715" s="31"/>
    </row>
    <row r="4716" spans="7:10" s="29" customFormat="1" x14ac:dyDescent="0.2">
      <c r="G4716" s="31"/>
      <c r="H4716" s="31"/>
      <c r="I4716" s="31"/>
      <c r="J4716" s="31"/>
    </row>
    <row r="4717" spans="7:10" s="29" customFormat="1" x14ac:dyDescent="0.2">
      <c r="G4717" s="31"/>
      <c r="H4717" s="31"/>
      <c r="I4717" s="31"/>
      <c r="J4717" s="31"/>
    </row>
    <row r="4718" spans="7:10" s="29" customFormat="1" x14ac:dyDescent="0.2">
      <c r="G4718" s="31"/>
      <c r="H4718" s="31"/>
      <c r="I4718" s="31"/>
      <c r="J4718" s="31"/>
    </row>
    <row r="4719" spans="7:10" s="29" customFormat="1" x14ac:dyDescent="0.2">
      <c r="G4719" s="31"/>
      <c r="H4719" s="31"/>
      <c r="I4719" s="31"/>
      <c r="J4719" s="31"/>
    </row>
    <row r="4720" spans="7:10" s="29" customFormat="1" x14ac:dyDescent="0.2">
      <c r="G4720" s="31"/>
      <c r="H4720" s="31"/>
      <c r="I4720" s="31"/>
      <c r="J4720" s="31"/>
    </row>
    <row r="4721" spans="7:10" s="29" customFormat="1" x14ac:dyDescent="0.2">
      <c r="G4721" s="31"/>
      <c r="H4721" s="31"/>
      <c r="I4721" s="31"/>
      <c r="J4721" s="31"/>
    </row>
    <row r="4722" spans="7:10" s="29" customFormat="1" x14ac:dyDescent="0.2">
      <c r="G4722" s="31"/>
      <c r="H4722" s="31"/>
      <c r="I4722" s="31"/>
      <c r="J4722" s="31"/>
    </row>
    <row r="4723" spans="7:10" s="29" customFormat="1" x14ac:dyDescent="0.2">
      <c r="G4723" s="31"/>
      <c r="H4723" s="31"/>
      <c r="I4723" s="31"/>
      <c r="J4723" s="31"/>
    </row>
    <row r="4724" spans="7:10" s="29" customFormat="1" x14ac:dyDescent="0.2">
      <c r="G4724" s="31"/>
      <c r="H4724" s="31"/>
      <c r="I4724" s="31"/>
      <c r="J4724" s="31"/>
    </row>
    <row r="4725" spans="7:10" s="29" customFormat="1" x14ac:dyDescent="0.2">
      <c r="G4725" s="31"/>
      <c r="H4725" s="31"/>
      <c r="I4725" s="31"/>
      <c r="J4725" s="31"/>
    </row>
    <row r="4726" spans="7:10" s="29" customFormat="1" x14ac:dyDescent="0.2">
      <c r="G4726" s="31"/>
      <c r="H4726" s="31"/>
      <c r="I4726" s="31"/>
      <c r="J4726" s="31"/>
    </row>
    <row r="4727" spans="7:10" s="29" customFormat="1" x14ac:dyDescent="0.2">
      <c r="G4727" s="31"/>
      <c r="H4727" s="31"/>
      <c r="I4727" s="31"/>
      <c r="J4727" s="31"/>
    </row>
    <row r="4728" spans="7:10" s="29" customFormat="1" x14ac:dyDescent="0.2">
      <c r="G4728" s="31"/>
      <c r="H4728" s="31"/>
      <c r="I4728" s="31"/>
      <c r="J4728" s="31"/>
    </row>
    <row r="4729" spans="7:10" s="29" customFormat="1" x14ac:dyDescent="0.2">
      <c r="G4729" s="31"/>
      <c r="H4729" s="31"/>
      <c r="I4729" s="31"/>
      <c r="J4729" s="31"/>
    </row>
    <row r="4730" spans="7:10" s="29" customFormat="1" x14ac:dyDescent="0.2">
      <c r="G4730" s="31"/>
      <c r="H4730" s="31"/>
      <c r="I4730" s="31"/>
      <c r="J4730" s="31"/>
    </row>
    <row r="4731" spans="7:10" s="29" customFormat="1" x14ac:dyDescent="0.2">
      <c r="G4731" s="31"/>
      <c r="H4731" s="31"/>
      <c r="I4731" s="31"/>
      <c r="J4731" s="31"/>
    </row>
    <row r="4732" spans="7:10" s="29" customFormat="1" x14ac:dyDescent="0.2">
      <c r="G4732" s="31"/>
      <c r="H4732" s="31"/>
      <c r="I4732" s="31"/>
      <c r="J4732" s="31"/>
    </row>
    <row r="4733" spans="7:10" s="29" customFormat="1" x14ac:dyDescent="0.2">
      <c r="G4733" s="31"/>
      <c r="H4733" s="31"/>
      <c r="I4733" s="31"/>
      <c r="J4733" s="31"/>
    </row>
    <row r="4734" spans="7:10" s="29" customFormat="1" x14ac:dyDescent="0.2">
      <c r="G4734" s="31"/>
      <c r="H4734" s="31"/>
      <c r="I4734" s="31"/>
      <c r="J4734" s="31"/>
    </row>
    <row r="4735" spans="7:10" s="29" customFormat="1" x14ac:dyDescent="0.2">
      <c r="G4735" s="31"/>
      <c r="H4735" s="31"/>
      <c r="I4735" s="31"/>
      <c r="J4735" s="31"/>
    </row>
    <row r="4736" spans="7:10" s="29" customFormat="1" x14ac:dyDescent="0.2">
      <c r="G4736" s="31"/>
      <c r="H4736" s="31"/>
      <c r="I4736" s="31"/>
      <c r="J4736" s="31"/>
    </row>
    <row r="4737" spans="7:10" s="29" customFormat="1" x14ac:dyDescent="0.2">
      <c r="G4737" s="31"/>
      <c r="H4737" s="31"/>
      <c r="I4737" s="31"/>
      <c r="J4737" s="31"/>
    </row>
    <row r="4738" spans="7:10" s="29" customFormat="1" x14ac:dyDescent="0.2">
      <c r="G4738" s="31"/>
      <c r="H4738" s="31"/>
      <c r="I4738" s="31"/>
      <c r="J4738" s="31"/>
    </row>
    <row r="4739" spans="7:10" s="29" customFormat="1" x14ac:dyDescent="0.2">
      <c r="G4739" s="31"/>
      <c r="H4739" s="31"/>
      <c r="I4739" s="31"/>
      <c r="J4739" s="31"/>
    </row>
    <row r="4740" spans="7:10" s="29" customFormat="1" x14ac:dyDescent="0.2">
      <c r="G4740" s="31"/>
      <c r="H4740" s="31"/>
      <c r="I4740" s="31"/>
      <c r="J4740" s="31"/>
    </row>
    <row r="4741" spans="7:10" s="29" customFormat="1" x14ac:dyDescent="0.2">
      <c r="G4741" s="31"/>
      <c r="H4741" s="31"/>
      <c r="I4741" s="31"/>
      <c r="J4741" s="31"/>
    </row>
    <row r="4742" spans="7:10" s="29" customFormat="1" x14ac:dyDescent="0.2">
      <c r="G4742" s="31"/>
      <c r="H4742" s="31"/>
      <c r="I4742" s="31"/>
      <c r="J4742" s="31"/>
    </row>
    <row r="4743" spans="7:10" s="29" customFormat="1" x14ac:dyDescent="0.2">
      <c r="G4743" s="31"/>
      <c r="H4743" s="31"/>
      <c r="I4743" s="31"/>
      <c r="J4743" s="31"/>
    </row>
    <row r="4744" spans="7:10" s="29" customFormat="1" x14ac:dyDescent="0.2">
      <c r="G4744" s="31"/>
      <c r="H4744" s="31"/>
      <c r="I4744" s="31"/>
      <c r="J4744" s="31"/>
    </row>
    <row r="4745" spans="7:10" s="29" customFormat="1" x14ac:dyDescent="0.2">
      <c r="G4745" s="31"/>
      <c r="H4745" s="31"/>
      <c r="I4745" s="31"/>
      <c r="J4745" s="31"/>
    </row>
    <row r="4746" spans="7:10" s="29" customFormat="1" x14ac:dyDescent="0.2">
      <c r="G4746" s="31"/>
      <c r="H4746" s="31"/>
      <c r="I4746" s="31"/>
      <c r="J4746" s="31"/>
    </row>
    <row r="4747" spans="7:10" s="29" customFormat="1" x14ac:dyDescent="0.2">
      <c r="G4747" s="31"/>
      <c r="H4747" s="31"/>
      <c r="I4747" s="31"/>
      <c r="J4747" s="31"/>
    </row>
    <row r="4748" spans="7:10" s="29" customFormat="1" x14ac:dyDescent="0.2">
      <c r="G4748" s="31"/>
      <c r="H4748" s="31"/>
      <c r="I4748" s="31"/>
      <c r="J4748" s="31"/>
    </row>
    <row r="4749" spans="7:10" s="29" customFormat="1" x14ac:dyDescent="0.2">
      <c r="G4749" s="31"/>
      <c r="H4749" s="31"/>
      <c r="I4749" s="31"/>
      <c r="J4749" s="31"/>
    </row>
    <row r="4750" spans="7:10" s="29" customFormat="1" x14ac:dyDescent="0.2">
      <c r="G4750" s="31"/>
      <c r="H4750" s="31"/>
      <c r="I4750" s="31"/>
      <c r="J4750" s="31"/>
    </row>
    <row r="4751" spans="7:10" s="29" customFormat="1" x14ac:dyDescent="0.2">
      <c r="G4751" s="31"/>
      <c r="H4751" s="31"/>
      <c r="I4751" s="31"/>
      <c r="J4751" s="31"/>
    </row>
    <row r="4752" spans="7:10" s="29" customFormat="1" x14ac:dyDescent="0.2">
      <c r="G4752" s="31"/>
      <c r="H4752" s="31"/>
      <c r="I4752" s="31"/>
      <c r="J4752" s="31"/>
    </row>
    <row r="4753" spans="7:10" s="29" customFormat="1" x14ac:dyDescent="0.2">
      <c r="G4753" s="31"/>
      <c r="H4753" s="31"/>
      <c r="I4753" s="31"/>
      <c r="J4753" s="31"/>
    </row>
    <row r="4754" spans="7:10" s="29" customFormat="1" x14ac:dyDescent="0.2">
      <c r="G4754" s="31"/>
      <c r="H4754" s="31"/>
      <c r="I4754" s="31"/>
      <c r="J4754" s="31"/>
    </row>
    <row r="4755" spans="7:10" s="29" customFormat="1" x14ac:dyDescent="0.2">
      <c r="G4755" s="31"/>
      <c r="H4755" s="31"/>
      <c r="I4755" s="31"/>
      <c r="J4755" s="31"/>
    </row>
    <row r="4756" spans="7:10" s="29" customFormat="1" x14ac:dyDescent="0.2">
      <c r="G4756" s="31"/>
      <c r="H4756" s="31"/>
      <c r="I4756" s="31"/>
      <c r="J4756" s="31"/>
    </row>
    <row r="4757" spans="7:10" s="29" customFormat="1" x14ac:dyDescent="0.2">
      <c r="G4757" s="31"/>
      <c r="H4757" s="31"/>
      <c r="I4757" s="31"/>
      <c r="J4757" s="31"/>
    </row>
    <row r="4758" spans="7:10" s="29" customFormat="1" x14ac:dyDescent="0.2">
      <c r="G4758" s="31"/>
      <c r="H4758" s="31"/>
      <c r="I4758" s="31"/>
      <c r="J4758" s="31"/>
    </row>
    <row r="4759" spans="7:10" s="29" customFormat="1" x14ac:dyDescent="0.2">
      <c r="G4759" s="31"/>
      <c r="H4759" s="31"/>
      <c r="I4759" s="31"/>
      <c r="J4759" s="31"/>
    </row>
    <row r="4760" spans="7:10" s="29" customFormat="1" x14ac:dyDescent="0.2">
      <c r="G4760" s="31"/>
      <c r="H4760" s="31"/>
      <c r="I4760" s="31"/>
      <c r="J4760" s="31"/>
    </row>
    <row r="4761" spans="7:10" s="29" customFormat="1" x14ac:dyDescent="0.2">
      <c r="G4761" s="31"/>
      <c r="H4761" s="31"/>
      <c r="I4761" s="31"/>
      <c r="J4761" s="31"/>
    </row>
    <row r="4762" spans="7:10" s="29" customFormat="1" x14ac:dyDescent="0.2">
      <c r="G4762" s="31"/>
      <c r="H4762" s="31"/>
      <c r="I4762" s="31"/>
      <c r="J4762" s="31"/>
    </row>
    <row r="4763" spans="7:10" s="29" customFormat="1" x14ac:dyDescent="0.2">
      <c r="G4763" s="31"/>
      <c r="H4763" s="31"/>
      <c r="I4763" s="31"/>
      <c r="J4763" s="31"/>
    </row>
    <row r="4764" spans="7:10" s="29" customFormat="1" x14ac:dyDescent="0.2">
      <c r="G4764" s="31"/>
      <c r="H4764" s="31"/>
      <c r="I4764" s="31"/>
      <c r="J4764" s="31"/>
    </row>
    <row r="4765" spans="7:10" s="29" customFormat="1" x14ac:dyDescent="0.2">
      <c r="G4765" s="31"/>
      <c r="H4765" s="31"/>
      <c r="I4765" s="31"/>
      <c r="J4765" s="31"/>
    </row>
    <row r="4766" spans="7:10" s="29" customFormat="1" x14ac:dyDescent="0.2">
      <c r="G4766" s="31"/>
      <c r="H4766" s="31"/>
      <c r="I4766" s="31"/>
      <c r="J4766" s="31"/>
    </row>
    <row r="4767" spans="7:10" s="29" customFormat="1" x14ac:dyDescent="0.2">
      <c r="G4767" s="31"/>
      <c r="H4767" s="31"/>
      <c r="I4767" s="31"/>
      <c r="J4767" s="31"/>
    </row>
    <row r="4768" spans="7:10" s="29" customFormat="1" x14ac:dyDescent="0.2">
      <c r="G4768" s="31"/>
      <c r="H4768" s="31"/>
      <c r="I4768" s="31"/>
      <c r="J4768" s="31"/>
    </row>
    <row r="4769" spans="7:10" s="29" customFormat="1" x14ac:dyDescent="0.2">
      <c r="G4769" s="31"/>
      <c r="H4769" s="31"/>
      <c r="I4769" s="31"/>
      <c r="J4769" s="31"/>
    </row>
    <row r="4770" spans="7:10" s="29" customFormat="1" x14ac:dyDescent="0.2">
      <c r="G4770" s="31"/>
      <c r="H4770" s="31"/>
      <c r="I4770" s="31"/>
      <c r="J4770" s="31"/>
    </row>
    <row r="4771" spans="7:10" s="29" customFormat="1" x14ac:dyDescent="0.2">
      <c r="G4771" s="31"/>
      <c r="H4771" s="31"/>
      <c r="I4771" s="31"/>
      <c r="J4771" s="31"/>
    </row>
    <row r="4772" spans="7:10" s="29" customFormat="1" x14ac:dyDescent="0.2">
      <c r="G4772" s="31"/>
      <c r="H4772" s="31"/>
      <c r="I4772" s="31"/>
      <c r="J4772" s="31"/>
    </row>
    <row r="4773" spans="7:10" s="29" customFormat="1" x14ac:dyDescent="0.2">
      <c r="G4773" s="31"/>
      <c r="H4773" s="31"/>
      <c r="I4773" s="31"/>
      <c r="J4773" s="31"/>
    </row>
    <row r="4774" spans="7:10" s="29" customFormat="1" x14ac:dyDescent="0.2">
      <c r="G4774" s="31"/>
      <c r="H4774" s="31"/>
      <c r="I4774" s="31"/>
      <c r="J4774" s="31"/>
    </row>
    <row r="4775" spans="7:10" s="29" customFormat="1" x14ac:dyDescent="0.2">
      <c r="G4775" s="31"/>
      <c r="H4775" s="31"/>
      <c r="I4775" s="31"/>
      <c r="J4775" s="31"/>
    </row>
    <row r="4776" spans="7:10" s="29" customFormat="1" x14ac:dyDescent="0.2">
      <c r="G4776" s="31"/>
      <c r="H4776" s="31"/>
      <c r="I4776" s="31"/>
      <c r="J4776" s="31"/>
    </row>
    <row r="4777" spans="7:10" s="29" customFormat="1" x14ac:dyDescent="0.2">
      <c r="G4777" s="31"/>
      <c r="H4777" s="31"/>
      <c r="I4777" s="31"/>
      <c r="J4777" s="31"/>
    </row>
    <row r="4778" spans="7:10" s="29" customFormat="1" x14ac:dyDescent="0.2">
      <c r="G4778" s="31"/>
      <c r="H4778" s="31"/>
      <c r="I4778" s="31"/>
      <c r="J4778" s="31"/>
    </row>
    <row r="4779" spans="7:10" s="29" customFormat="1" x14ac:dyDescent="0.2">
      <c r="G4779" s="31"/>
      <c r="H4779" s="31"/>
      <c r="I4779" s="31"/>
      <c r="J4779" s="31"/>
    </row>
    <row r="4780" spans="7:10" s="29" customFormat="1" x14ac:dyDescent="0.2">
      <c r="G4780" s="31"/>
      <c r="H4780" s="31"/>
      <c r="I4780" s="31"/>
      <c r="J4780" s="31"/>
    </row>
    <row r="4781" spans="7:10" s="29" customFormat="1" x14ac:dyDescent="0.2">
      <c r="G4781" s="31"/>
      <c r="H4781" s="31"/>
      <c r="I4781" s="31"/>
      <c r="J4781" s="31"/>
    </row>
    <row r="4782" spans="7:10" s="29" customFormat="1" x14ac:dyDescent="0.2">
      <c r="G4782" s="31"/>
      <c r="H4782" s="31"/>
      <c r="I4782" s="31"/>
      <c r="J4782" s="31"/>
    </row>
    <row r="4783" spans="7:10" s="29" customFormat="1" x14ac:dyDescent="0.2">
      <c r="G4783" s="31"/>
      <c r="H4783" s="31"/>
      <c r="I4783" s="31"/>
      <c r="J4783" s="31"/>
    </row>
    <row r="4784" spans="7:10" s="29" customFormat="1" x14ac:dyDescent="0.2">
      <c r="G4784" s="31"/>
      <c r="H4784" s="31"/>
      <c r="I4784" s="31"/>
      <c r="J4784" s="31"/>
    </row>
    <row r="4785" spans="7:10" s="29" customFormat="1" x14ac:dyDescent="0.2">
      <c r="G4785" s="31"/>
      <c r="H4785" s="31"/>
      <c r="I4785" s="31"/>
      <c r="J4785" s="31"/>
    </row>
    <row r="4786" spans="7:10" s="29" customFormat="1" x14ac:dyDescent="0.2">
      <c r="G4786" s="31"/>
      <c r="H4786" s="31"/>
      <c r="I4786" s="31"/>
      <c r="J4786" s="31"/>
    </row>
    <row r="4787" spans="7:10" s="29" customFormat="1" x14ac:dyDescent="0.2">
      <c r="G4787" s="31"/>
      <c r="H4787" s="31"/>
      <c r="I4787" s="31"/>
      <c r="J4787" s="31"/>
    </row>
    <row r="4788" spans="7:10" s="29" customFormat="1" x14ac:dyDescent="0.2">
      <c r="G4788" s="31"/>
      <c r="H4788" s="31"/>
      <c r="I4788" s="31"/>
      <c r="J4788" s="31"/>
    </row>
    <row r="4789" spans="7:10" s="29" customFormat="1" x14ac:dyDescent="0.2">
      <c r="G4789" s="31"/>
      <c r="H4789" s="31"/>
      <c r="I4789" s="31"/>
      <c r="J4789" s="31"/>
    </row>
    <row r="4790" spans="7:10" s="29" customFormat="1" x14ac:dyDescent="0.2">
      <c r="G4790" s="31"/>
      <c r="H4790" s="31"/>
      <c r="I4790" s="31"/>
      <c r="J4790" s="31"/>
    </row>
    <row r="4791" spans="7:10" s="29" customFormat="1" x14ac:dyDescent="0.2">
      <c r="G4791" s="31"/>
      <c r="H4791" s="31"/>
      <c r="I4791" s="31"/>
      <c r="J4791" s="31"/>
    </row>
    <row r="4792" spans="7:10" s="29" customFormat="1" x14ac:dyDescent="0.2">
      <c r="G4792" s="31"/>
      <c r="H4792" s="31"/>
      <c r="I4792" s="31"/>
      <c r="J4792" s="31"/>
    </row>
    <row r="4793" spans="7:10" s="29" customFormat="1" x14ac:dyDescent="0.2">
      <c r="G4793" s="31"/>
      <c r="H4793" s="31"/>
      <c r="I4793" s="31"/>
      <c r="J4793" s="31"/>
    </row>
    <row r="4794" spans="7:10" s="29" customFormat="1" x14ac:dyDescent="0.2">
      <c r="G4794" s="31"/>
      <c r="H4794" s="31"/>
      <c r="I4794" s="31"/>
      <c r="J4794" s="31"/>
    </row>
    <row r="4795" spans="7:10" s="29" customFormat="1" x14ac:dyDescent="0.2">
      <c r="G4795" s="31"/>
      <c r="H4795" s="31"/>
      <c r="I4795" s="31"/>
      <c r="J4795" s="31"/>
    </row>
    <row r="4796" spans="7:10" s="29" customFormat="1" x14ac:dyDescent="0.2">
      <c r="G4796" s="31"/>
      <c r="H4796" s="31"/>
      <c r="I4796" s="31"/>
      <c r="J4796" s="31"/>
    </row>
    <row r="4797" spans="7:10" s="29" customFormat="1" x14ac:dyDescent="0.2">
      <c r="G4797" s="31"/>
      <c r="H4797" s="31"/>
      <c r="I4797" s="31"/>
      <c r="J4797" s="31"/>
    </row>
    <row r="4798" spans="7:10" s="29" customFormat="1" x14ac:dyDescent="0.2">
      <c r="G4798" s="31"/>
      <c r="H4798" s="31"/>
      <c r="I4798" s="31"/>
      <c r="J4798" s="31"/>
    </row>
    <row r="4799" spans="7:10" s="29" customFormat="1" x14ac:dyDescent="0.2">
      <c r="G4799" s="31"/>
      <c r="H4799" s="31"/>
      <c r="I4799" s="31"/>
      <c r="J4799" s="31"/>
    </row>
    <row r="4800" spans="7:10" s="29" customFormat="1" x14ac:dyDescent="0.2">
      <c r="G4800" s="31"/>
      <c r="H4800" s="31"/>
      <c r="I4800" s="31"/>
      <c r="J4800" s="31"/>
    </row>
    <row r="4801" spans="7:10" s="29" customFormat="1" x14ac:dyDescent="0.2">
      <c r="G4801" s="31"/>
      <c r="H4801" s="31"/>
      <c r="I4801" s="31"/>
      <c r="J4801" s="31"/>
    </row>
    <row r="4802" spans="7:10" s="29" customFormat="1" x14ac:dyDescent="0.2">
      <c r="G4802" s="31"/>
      <c r="H4802" s="31"/>
      <c r="I4802" s="31"/>
      <c r="J4802" s="31"/>
    </row>
    <row r="4803" spans="7:10" s="29" customFormat="1" x14ac:dyDescent="0.2">
      <c r="G4803" s="31"/>
      <c r="H4803" s="31"/>
      <c r="I4803" s="31"/>
      <c r="J4803" s="31"/>
    </row>
    <row r="4804" spans="7:10" s="29" customFormat="1" x14ac:dyDescent="0.2">
      <c r="G4804" s="31"/>
      <c r="H4804" s="31"/>
      <c r="I4804" s="31"/>
      <c r="J4804" s="31"/>
    </row>
    <row r="4805" spans="7:10" s="29" customFormat="1" x14ac:dyDescent="0.2">
      <c r="G4805" s="31"/>
      <c r="H4805" s="31"/>
      <c r="I4805" s="31"/>
      <c r="J4805" s="31"/>
    </row>
    <row r="4806" spans="7:10" s="29" customFormat="1" x14ac:dyDescent="0.2">
      <c r="G4806" s="31"/>
      <c r="H4806" s="31"/>
      <c r="I4806" s="31"/>
      <c r="J4806" s="31"/>
    </row>
    <row r="4807" spans="7:10" s="29" customFormat="1" x14ac:dyDescent="0.2">
      <c r="G4807" s="31"/>
      <c r="H4807" s="31"/>
      <c r="I4807" s="31"/>
      <c r="J4807" s="31"/>
    </row>
    <row r="4808" spans="7:10" s="29" customFormat="1" x14ac:dyDescent="0.2">
      <c r="G4808" s="31"/>
      <c r="H4808" s="31"/>
      <c r="I4808" s="31"/>
      <c r="J4808" s="31"/>
    </row>
    <row r="4809" spans="7:10" s="29" customFormat="1" x14ac:dyDescent="0.2">
      <c r="G4809" s="31"/>
      <c r="H4809" s="31"/>
      <c r="I4809" s="31"/>
      <c r="J4809" s="31"/>
    </row>
    <row r="4810" spans="7:10" s="29" customFormat="1" x14ac:dyDescent="0.2">
      <c r="G4810" s="31"/>
      <c r="H4810" s="31"/>
      <c r="I4810" s="31"/>
      <c r="J4810" s="31"/>
    </row>
    <row r="4811" spans="7:10" s="29" customFormat="1" x14ac:dyDescent="0.2">
      <c r="G4811" s="31"/>
      <c r="H4811" s="31"/>
      <c r="I4811" s="31"/>
      <c r="J4811" s="31"/>
    </row>
    <row r="4812" spans="7:10" s="29" customFormat="1" x14ac:dyDescent="0.2">
      <c r="G4812" s="31"/>
      <c r="H4812" s="31"/>
      <c r="I4812" s="31"/>
      <c r="J4812" s="31"/>
    </row>
    <row r="4813" spans="7:10" s="29" customFormat="1" x14ac:dyDescent="0.2">
      <c r="G4813" s="31"/>
      <c r="H4813" s="31"/>
      <c r="I4813" s="31"/>
      <c r="J4813" s="31"/>
    </row>
    <row r="4814" spans="7:10" s="29" customFormat="1" x14ac:dyDescent="0.2">
      <c r="G4814" s="31"/>
      <c r="H4814" s="31"/>
      <c r="I4814" s="31"/>
      <c r="J4814" s="31"/>
    </row>
    <row r="4815" spans="7:10" s="29" customFormat="1" x14ac:dyDescent="0.2">
      <c r="G4815" s="31"/>
      <c r="H4815" s="31"/>
      <c r="I4815" s="31"/>
      <c r="J4815" s="31"/>
    </row>
    <row r="4816" spans="7:10" s="29" customFormat="1" x14ac:dyDescent="0.2">
      <c r="G4816" s="31"/>
      <c r="H4816" s="31"/>
      <c r="I4816" s="31"/>
      <c r="J4816" s="31"/>
    </row>
    <row r="4817" spans="7:10" s="29" customFormat="1" x14ac:dyDescent="0.2">
      <c r="G4817" s="31"/>
      <c r="H4817" s="31"/>
      <c r="I4817" s="31"/>
      <c r="J4817" s="31"/>
    </row>
    <row r="4818" spans="7:10" s="29" customFormat="1" x14ac:dyDescent="0.2">
      <c r="G4818" s="31"/>
      <c r="H4818" s="31"/>
      <c r="I4818" s="31"/>
      <c r="J4818" s="31"/>
    </row>
    <row r="4819" spans="7:10" s="29" customFormat="1" x14ac:dyDescent="0.2">
      <c r="G4819" s="31"/>
      <c r="H4819" s="31"/>
      <c r="I4819" s="31"/>
      <c r="J4819" s="31"/>
    </row>
    <row r="4820" spans="7:10" s="29" customFormat="1" x14ac:dyDescent="0.2">
      <c r="G4820" s="31"/>
      <c r="H4820" s="31"/>
      <c r="I4820" s="31"/>
      <c r="J4820" s="31"/>
    </row>
    <row r="4821" spans="7:10" s="29" customFormat="1" x14ac:dyDescent="0.2">
      <c r="G4821" s="31"/>
      <c r="H4821" s="31"/>
      <c r="I4821" s="31"/>
      <c r="J4821" s="31"/>
    </row>
    <row r="4822" spans="7:10" s="29" customFormat="1" x14ac:dyDescent="0.2">
      <c r="G4822" s="31"/>
      <c r="H4822" s="31"/>
      <c r="I4822" s="31"/>
      <c r="J4822" s="31"/>
    </row>
    <row r="4823" spans="7:10" s="29" customFormat="1" x14ac:dyDescent="0.2">
      <c r="G4823" s="31"/>
      <c r="H4823" s="31"/>
      <c r="I4823" s="31"/>
      <c r="J4823" s="31"/>
    </row>
    <row r="4824" spans="7:10" s="29" customFormat="1" x14ac:dyDescent="0.2">
      <c r="G4824" s="31"/>
      <c r="H4824" s="31"/>
      <c r="I4824" s="31"/>
      <c r="J4824" s="31"/>
    </row>
    <row r="4825" spans="7:10" s="29" customFormat="1" x14ac:dyDescent="0.2">
      <c r="G4825" s="31"/>
      <c r="H4825" s="31"/>
      <c r="I4825" s="31"/>
      <c r="J4825" s="31"/>
    </row>
    <row r="4826" spans="7:10" s="29" customFormat="1" x14ac:dyDescent="0.2">
      <c r="G4826" s="31"/>
      <c r="H4826" s="31"/>
      <c r="I4826" s="31"/>
      <c r="J4826" s="31"/>
    </row>
    <row r="4827" spans="7:10" s="29" customFormat="1" x14ac:dyDescent="0.2">
      <c r="G4827" s="31"/>
      <c r="H4827" s="31"/>
      <c r="I4827" s="31"/>
      <c r="J4827" s="31"/>
    </row>
    <row r="4828" spans="7:10" s="29" customFormat="1" x14ac:dyDescent="0.2">
      <c r="G4828" s="31"/>
      <c r="H4828" s="31"/>
      <c r="I4828" s="31"/>
      <c r="J4828" s="31"/>
    </row>
    <row r="4829" spans="7:10" s="29" customFormat="1" x14ac:dyDescent="0.2">
      <c r="G4829" s="31"/>
      <c r="H4829" s="31"/>
      <c r="I4829" s="31"/>
      <c r="J4829" s="31"/>
    </row>
    <row r="4830" spans="7:10" s="29" customFormat="1" x14ac:dyDescent="0.2">
      <c r="G4830" s="31"/>
      <c r="H4830" s="31"/>
      <c r="I4830" s="31"/>
      <c r="J4830" s="31"/>
    </row>
    <row r="4831" spans="7:10" s="29" customFormat="1" x14ac:dyDescent="0.2">
      <c r="G4831" s="31"/>
      <c r="H4831" s="31"/>
      <c r="I4831" s="31"/>
      <c r="J4831" s="31"/>
    </row>
    <row r="4832" spans="7:10" s="29" customFormat="1" x14ac:dyDescent="0.2">
      <c r="G4832" s="31"/>
      <c r="H4832" s="31"/>
      <c r="I4832" s="31"/>
      <c r="J4832" s="31"/>
    </row>
    <row r="4833" spans="7:10" s="29" customFormat="1" x14ac:dyDescent="0.2">
      <c r="G4833" s="31"/>
      <c r="H4833" s="31"/>
      <c r="I4833" s="31"/>
      <c r="J4833" s="31"/>
    </row>
    <row r="4834" spans="7:10" s="29" customFormat="1" x14ac:dyDescent="0.2">
      <c r="G4834" s="31"/>
      <c r="H4834" s="31"/>
      <c r="I4834" s="31"/>
      <c r="J4834" s="31"/>
    </row>
    <row r="4835" spans="7:10" s="29" customFormat="1" x14ac:dyDescent="0.2">
      <c r="G4835" s="31"/>
      <c r="H4835" s="31"/>
      <c r="I4835" s="31"/>
      <c r="J4835" s="31"/>
    </row>
    <row r="4836" spans="7:10" s="29" customFormat="1" x14ac:dyDescent="0.2">
      <c r="G4836" s="31"/>
      <c r="H4836" s="31"/>
      <c r="I4836" s="31"/>
      <c r="J4836" s="31"/>
    </row>
    <row r="4837" spans="7:10" s="29" customFormat="1" x14ac:dyDescent="0.2">
      <c r="G4837" s="31"/>
      <c r="H4837" s="31"/>
      <c r="I4837" s="31"/>
      <c r="J4837" s="31"/>
    </row>
    <row r="4838" spans="7:10" s="29" customFormat="1" x14ac:dyDescent="0.2">
      <c r="G4838" s="31"/>
      <c r="H4838" s="31"/>
      <c r="I4838" s="31"/>
      <c r="J4838" s="31"/>
    </row>
    <row r="4839" spans="7:10" s="29" customFormat="1" x14ac:dyDescent="0.2">
      <c r="G4839" s="31"/>
      <c r="H4839" s="31"/>
      <c r="I4839" s="31"/>
      <c r="J4839" s="31"/>
    </row>
    <row r="4840" spans="7:10" s="29" customFormat="1" x14ac:dyDescent="0.2">
      <c r="G4840" s="31"/>
      <c r="H4840" s="31"/>
      <c r="I4840" s="31"/>
      <c r="J4840" s="31"/>
    </row>
    <row r="4841" spans="7:10" s="29" customFormat="1" x14ac:dyDescent="0.2">
      <c r="G4841" s="31"/>
      <c r="H4841" s="31"/>
      <c r="I4841" s="31"/>
      <c r="J4841" s="31"/>
    </row>
    <row r="4842" spans="7:10" s="29" customFormat="1" x14ac:dyDescent="0.2">
      <c r="G4842" s="31"/>
      <c r="H4842" s="31"/>
      <c r="I4842" s="31"/>
      <c r="J4842" s="31"/>
    </row>
    <row r="4843" spans="7:10" s="29" customFormat="1" x14ac:dyDescent="0.2">
      <c r="G4843" s="31"/>
      <c r="H4843" s="31"/>
      <c r="I4843" s="31"/>
      <c r="J4843" s="31"/>
    </row>
    <row r="4844" spans="7:10" s="29" customFormat="1" x14ac:dyDescent="0.2">
      <c r="G4844" s="31"/>
      <c r="H4844" s="31"/>
      <c r="I4844" s="31"/>
      <c r="J4844" s="31"/>
    </row>
    <row r="4845" spans="7:10" s="29" customFormat="1" x14ac:dyDescent="0.2">
      <c r="G4845" s="31"/>
      <c r="H4845" s="31"/>
      <c r="I4845" s="31"/>
      <c r="J4845" s="31"/>
    </row>
    <row r="4846" spans="7:10" s="29" customFormat="1" x14ac:dyDescent="0.2">
      <c r="G4846" s="31"/>
      <c r="H4846" s="31"/>
      <c r="I4846" s="31"/>
      <c r="J4846" s="31"/>
    </row>
    <row r="4847" spans="7:10" s="29" customFormat="1" x14ac:dyDescent="0.2">
      <c r="G4847" s="31"/>
      <c r="H4847" s="31"/>
      <c r="I4847" s="31"/>
      <c r="J4847" s="31"/>
    </row>
    <row r="4848" spans="7:10" s="29" customFormat="1" x14ac:dyDescent="0.2">
      <c r="G4848" s="31"/>
      <c r="H4848" s="31"/>
      <c r="I4848" s="31"/>
      <c r="J4848" s="31"/>
    </row>
    <row r="4849" spans="7:10" s="29" customFormat="1" x14ac:dyDescent="0.2">
      <c r="G4849" s="31"/>
      <c r="H4849" s="31"/>
      <c r="I4849" s="31"/>
      <c r="J4849" s="31"/>
    </row>
    <row r="4850" spans="7:10" s="29" customFormat="1" x14ac:dyDescent="0.2">
      <c r="G4850" s="31"/>
      <c r="H4850" s="31"/>
      <c r="I4850" s="31"/>
      <c r="J4850" s="31"/>
    </row>
    <row r="4851" spans="7:10" s="29" customFormat="1" x14ac:dyDescent="0.2">
      <c r="G4851" s="31"/>
      <c r="H4851" s="31"/>
      <c r="I4851" s="31"/>
      <c r="J4851" s="31"/>
    </row>
    <row r="4852" spans="7:10" s="29" customFormat="1" x14ac:dyDescent="0.2">
      <c r="G4852" s="31"/>
      <c r="H4852" s="31"/>
      <c r="I4852" s="31"/>
      <c r="J4852" s="31"/>
    </row>
    <row r="4853" spans="7:10" s="29" customFormat="1" x14ac:dyDescent="0.2">
      <c r="G4853" s="31"/>
      <c r="H4853" s="31"/>
      <c r="I4853" s="31"/>
      <c r="J4853" s="31"/>
    </row>
    <row r="4854" spans="7:10" s="29" customFormat="1" x14ac:dyDescent="0.2">
      <c r="G4854" s="31"/>
      <c r="H4854" s="31"/>
      <c r="I4854" s="31"/>
      <c r="J4854" s="31"/>
    </row>
    <row r="4855" spans="7:10" s="29" customFormat="1" x14ac:dyDescent="0.2">
      <c r="G4855" s="31"/>
      <c r="H4855" s="31"/>
      <c r="I4855" s="31"/>
      <c r="J4855" s="31"/>
    </row>
    <row r="4856" spans="7:10" s="29" customFormat="1" x14ac:dyDescent="0.2">
      <c r="G4856" s="31"/>
      <c r="H4856" s="31"/>
      <c r="I4856" s="31"/>
      <c r="J4856" s="31"/>
    </row>
    <row r="4857" spans="7:10" s="29" customFormat="1" x14ac:dyDescent="0.2">
      <c r="G4857" s="31"/>
      <c r="H4857" s="31"/>
      <c r="I4857" s="31"/>
      <c r="J4857" s="31"/>
    </row>
    <row r="4858" spans="7:10" s="29" customFormat="1" x14ac:dyDescent="0.2">
      <c r="G4858" s="31"/>
      <c r="H4858" s="31"/>
      <c r="I4858" s="31"/>
      <c r="J4858" s="31"/>
    </row>
    <row r="4859" spans="7:10" s="29" customFormat="1" x14ac:dyDescent="0.2">
      <c r="G4859" s="31"/>
      <c r="H4859" s="31"/>
      <c r="I4859" s="31"/>
      <c r="J4859" s="31"/>
    </row>
    <row r="4860" spans="7:10" s="29" customFormat="1" x14ac:dyDescent="0.2">
      <c r="G4860" s="31"/>
      <c r="H4860" s="31"/>
      <c r="I4860" s="31"/>
      <c r="J4860" s="31"/>
    </row>
    <row r="4861" spans="7:10" s="29" customFormat="1" x14ac:dyDescent="0.2">
      <c r="G4861" s="31"/>
      <c r="H4861" s="31"/>
      <c r="I4861" s="31"/>
      <c r="J4861" s="31"/>
    </row>
    <row r="4862" spans="7:10" s="29" customFormat="1" x14ac:dyDescent="0.2">
      <c r="G4862" s="31"/>
      <c r="H4862" s="31"/>
      <c r="I4862" s="31"/>
      <c r="J4862" s="31"/>
    </row>
    <row r="4863" spans="7:10" s="29" customFormat="1" x14ac:dyDescent="0.2">
      <c r="G4863" s="31"/>
      <c r="H4863" s="31"/>
      <c r="I4863" s="31"/>
      <c r="J4863" s="31"/>
    </row>
    <row r="4864" spans="7:10" s="29" customFormat="1" x14ac:dyDescent="0.2">
      <c r="G4864" s="31"/>
      <c r="H4864" s="31"/>
      <c r="I4864" s="31"/>
      <c r="J4864" s="31"/>
    </row>
    <row r="4865" spans="7:10" s="29" customFormat="1" x14ac:dyDescent="0.2">
      <c r="G4865" s="31"/>
      <c r="H4865" s="31"/>
      <c r="I4865" s="31"/>
      <c r="J4865" s="31"/>
    </row>
    <row r="4866" spans="7:10" s="29" customFormat="1" x14ac:dyDescent="0.2">
      <c r="G4866" s="31"/>
      <c r="H4866" s="31"/>
      <c r="I4866" s="31"/>
      <c r="J4866" s="31"/>
    </row>
    <row r="4867" spans="7:10" s="29" customFormat="1" x14ac:dyDescent="0.2">
      <c r="G4867" s="31"/>
      <c r="H4867" s="31"/>
      <c r="I4867" s="31"/>
      <c r="J4867" s="31"/>
    </row>
    <row r="4868" spans="7:10" s="29" customFormat="1" x14ac:dyDescent="0.2">
      <c r="G4868" s="31"/>
      <c r="H4868" s="31"/>
      <c r="I4868" s="31"/>
      <c r="J4868" s="31"/>
    </row>
    <row r="4869" spans="7:10" s="29" customFormat="1" x14ac:dyDescent="0.2">
      <c r="G4869" s="31"/>
      <c r="H4869" s="31"/>
      <c r="I4869" s="31"/>
      <c r="J4869" s="31"/>
    </row>
    <row r="4870" spans="7:10" s="29" customFormat="1" x14ac:dyDescent="0.2">
      <c r="G4870" s="31"/>
      <c r="H4870" s="31"/>
      <c r="I4870" s="31"/>
      <c r="J4870" s="31"/>
    </row>
    <row r="4871" spans="7:10" s="29" customFormat="1" x14ac:dyDescent="0.2">
      <c r="G4871" s="31"/>
      <c r="H4871" s="31"/>
      <c r="I4871" s="31"/>
      <c r="J4871" s="31"/>
    </row>
    <row r="4872" spans="7:10" s="29" customFormat="1" x14ac:dyDescent="0.2">
      <c r="G4872" s="31"/>
      <c r="H4872" s="31"/>
      <c r="I4872" s="31"/>
      <c r="J4872" s="31"/>
    </row>
    <row r="4873" spans="7:10" s="29" customFormat="1" x14ac:dyDescent="0.2">
      <c r="G4873" s="31"/>
      <c r="H4873" s="31"/>
      <c r="I4873" s="31"/>
      <c r="J4873" s="31"/>
    </row>
    <row r="4874" spans="7:10" s="29" customFormat="1" x14ac:dyDescent="0.2">
      <c r="G4874" s="31"/>
      <c r="H4874" s="31"/>
      <c r="I4874" s="31"/>
      <c r="J4874" s="31"/>
    </row>
    <row r="4875" spans="7:10" s="29" customFormat="1" x14ac:dyDescent="0.2">
      <c r="G4875" s="31"/>
      <c r="H4875" s="31"/>
      <c r="I4875" s="31"/>
      <c r="J4875" s="31"/>
    </row>
    <row r="4876" spans="7:10" s="29" customFormat="1" x14ac:dyDescent="0.2">
      <c r="G4876" s="31"/>
      <c r="H4876" s="31"/>
      <c r="I4876" s="31"/>
      <c r="J4876" s="31"/>
    </row>
    <row r="4877" spans="7:10" s="29" customFormat="1" x14ac:dyDescent="0.2">
      <c r="G4877" s="31"/>
      <c r="H4877" s="31"/>
      <c r="I4877" s="31"/>
      <c r="J4877" s="31"/>
    </row>
    <row r="4878" spans="7:10" s="29" customFormat="1" x14ac:dyDescent="0.2">
      <c r="G4878" s="31"/>
      <c r="H4878" s="31"/>
      <c r="I4878" s="31"/>
      <c r="J4878" s="31"/>
    </row>
    <row r="4879" spans="7:10" s="29" customFormat="1" x14ac:dyDescent="0.2">
      <c r="G4879" s="31"/>
      <c r="H4879" s="31"/>
      <c r="I4879" s="31"/>
      <c r="J4879" s="31"/>
    </row>
    <row r="4880" spans="7:10" s="29" customFormat="1" x14ac:dyDescent="0.2">
      <c r="G4880" s="31"/>
      <c r="H4880" s="31"/>
      <c r="I4880" s="31"/>
      <c r="J4880" s="31"/>
    </row>
    <row r="4881" spans="7:10" s="29" customFormat="1" x14ac:dyDescent="0.2">
      <c r="G4881" s="31"/>
      <c r="H4881" s="31"/>
      <c r="I4881" s="31"/>
      <c r="J4881" s="31"/>
    </row>
    <row r="4882" spans="7:10" s="29" customFormat="1" x14ac:dyDescent="0.2">
      <c r="G4882" s="31"/>
      <c r="H4882" s="31"/>
      <c r="I4882" s="31"/>
      <c r="J4882" s="31"/>
    </row>
    <row r="4883" spans="7:10" s="29" customFormat="1" x14ac:dyDescent="0.2">
      <c r="G4883" s="31"/>
      <c r="H4883" s="31"/>
      <c r="I4883" s="31"/>
      <c r="J4883" s="31"/>
    </row>
    <row r="4884" spans="7:10" s="29" customFormat="1" x14ac:dyDescent="0.2">
      <c r="G4884" s="31"/>
      <c r="H4884" s="31"/>
      <c r="I4884" s="31"/>
      <c r="J4884" s="31"/>
    </row>
    <row r="4885" spans="7:10" s="29" customFormat="1" x14ac:dyDescent="0.2">
      <c r="G4885" s="31"/>
      <c r="H4885" s="31"/>
      <c r="I4885" s="31"/>
      <c r="J4885" s="31"/>
    </row>
    <row r="4886" spans="7:10" s="29" customFormat="1" x14ac:dyDescent="0.2">
      <c r="G4886" s="31"/>
      <c r="H4886" s="31"/>
      <c r="I4886" s="31"/>
      <c r="J4886" s="31"/>
    </row>
    <row r="4887" spans="7:10" s="29" customFormat="1" x14ac:dyDescent="0.2">
      <c r="G4887" s="31"/>
      <c r="H4887" s="31"/>
      <c r="I4887" s="31"/>
      <c r="J4887" s="31"/>
    </row>
    <row r="4888" spans="7:10" s="29" customFormat="1" x14ac:dyDescent="0.2">
      <c r="G4888" s="31"/>
      <c r="H4888" s="31"/>
      <c r="I4888" s="31"/>
      <c r="J4888" s="31"/>
    </row>
    <row r="4889" spans="7:10" s="29" customFormat="1" x14ac:dyDescent="0.2">
      <c r="G4889" s="31"/>
      <c r="H4889" s="31"/>
      <c r="I4889" s="31"/>
      <c r="J4889" s="31"/>
    </row>
    <row r="4890" spans="7:10" s="29" customFormat="1" x14ac:dyDescent="0.2">
      <c r="G4890" s="31"/>
      <c r="H4890" s="31"/>
      <c r="I4890" s="31"/>
      <c r="J4890" s="31"/>
    </row>
    <row r="4891" spans="7:10" s="29" customFormat="1" x14ac:dyDescent="0.2">
      <c r="G4891" s="31"/>
      <c r="H4891" s="31"/>
      <c r="I4891" s="31"/>
      <c r="J4891" s="31"/>
    </row>
    <row r="4892" spans="7:10" s="29" customFormat="1" x14ac:dyDescent="0.2">
      <c r="G4892" s="31"/>
      <c r="H4892" s="31"/>
      <c r="I4892" s="31"/>
      <c r="J4892" s="31"/>
    </row>
    <row r="4893" spans="7:10" s="29" customFormat="1" x14ac:dyDescent="0.2">
      <c r="G4893" s="31"/>
      <c r="H4893" s="31"/>
      <c r="I4893" s="31"/>
      <c r="J4893" s="31"/>
    </row>
    <row r="4894" spans="7:10" s="29" customFormat="1" x14ac:dyDescent="0.2">
      <c r="G4894" s="31"/>
      <c r="H4894" s="31"/>
      <c r="I4894" s="31"/>
      <c r="J4894" s="31"/>
    </row>
    <row r="4895" spans="7:10" s="29" customFormat="1" x14ac:dyDescent="0.2">
      <c r="G4895" s="31"/>
      <c r="H4895" s="31"/>
      <c r="I4895" s="31"/>
      <c r="J4895" s="31"/>
    </row>
    <row r="4896" spans="7:10" s="29" customFormat="1" x14ac:dyDescent="0.2">
      <c r="G4896" s="31"/>
      <c r="H4896" s="31"/>
      <c r="I4896" s="31"/>
      <c r="J4896" s="31"/>
    </row>
    <row r="4897" spans="7:10" s="29" customFormat="1" x14ac:dyDescent="0.2">
      <c r="G4897" s="31"/>
      <c r="H4897" s="31"/>
      <c r="I4897" s="31"/>
      <c r="J4897" s="31"/>
    </row>
    <row r="4898" spans="7:10" s="29" customFormat="1" x14ac:dyDescent="0.2">
      <c r="G4898" s="31"/>
      <c r="H4898" s="31"/>
      <c r="I4898" s="31"/>
      <c r="J4898" s="31"/>
    </row>
    <row r="4899" spans="7:10" s="29" customFormat="1" x14ac:dyDescent="0.2">
      <c r="G4899" s="31"/>
      <c r="H4899" s="31"/>
      <c r="I4899" s="31"/>
      <c r="J4899" s="31"/>
    </row>
    <row r="4900" spans="7:10" s="29" customFormat="1" x14ac:dyDescent="0.2">
      <c r="G4900" s="31"/>
      <c r="H4900" s="31"/>
      <c r="I4900" s="31"/>
      <c r="J4900" s="31"/>
    </row>
    <row r="4901" spans="7:10" s="29" customFormat="1" x14ac:dyDescent="0.2">
      <c r="G4901" s="31"/>
      <c r="H4901" s="31"/>
      <c r="I4901" s="31"/>
      <c r="J4901" s="31"/>
    </row>
    <row r="4902" spans="7:10" s="29" customFormat="1" x14ac:dyDescent="0.2">
      <c r="G4902" s="31"/>
      <c r="H4902" s="31"/>
      <c r="I4902" s="31"/>
      <c r="J4902" s="31"/>
    </row>
    <row r="4903" spans="7:10" s="29" customFormat="1" x14ac:dyDescent="0.2">
      <c r="G4903" s="31"/>
      <c r="H4903" s="31"/>
      <c r="I4903" s="31"/>
      <c r="J4903" s="31"/>
    </row>
    <row r="4904" spans="7:10" s="29" customFormat="1" x14ac:dyDescent="0.2">
      <c r="G4904" s="31"/>
      <c r="H4904" s="31"/>
      <c r="I4904" s="31"/>
      <c r="J4904" s="31"/>
    </row>
    <row r="4905" spans="7:10" s="29" customFormat="1" x14ac:dyDescent="0.2">
      <c r="G4905" s="31"/>
      <c r="H4905" s="31"/>
      <c r="I4905" s="31"/>
      <c r="J4905" s="31"/>
    </row>
    <row r="4906" spans="7:10" s="29" customFormat="1" x14ac:dyDescent="0.2">
      <c r="G4906" s="31"/>
      <c r="H4906" s="31"/>
      <c r="I4906" s="31"/>
      <c r="J4906" s="31"/>
    </row>
    <row r="4907" spans="7:10" s="29" customFormat="1" x14ac:dyDescent="0.2">
      <c r="G4907" s="31"/>
      <c r="H4907" s="31"/>
      <c r="I4907" s="31"/>
      <c r="J4907" s="31"/>
    </row>
    <row r="4908" spans="7:10" s="29" customFormat="1" x14ac:dyDescent="0.2">
      <c r="G4908" s="31"/>
      <c r="H4908" s="31"/>
      <c r="I4908" s="31"/>
      <c r="J4908" s="31"/>
    </row>
    <row r="4909" spans="7:10" s="29" customFormat="1" x14ac:dyDescent="0.2">
      <c r="G4909" s="31"/>
      <c r="H4909" s="31"/>
      <c r="I4909" s="31"/>
      <c r="J4909" s="31"/>
    </row>
    <row r="4910" spans="7:10" s="29" customFormat="1" x14ac:dyDescent="0.2">
      <c r="G4910" s="31"/>
      <c r="H4910" s="31"/>
      <c r="I4910" s="31"/>
      <c r="J4910" s="31"/>
    </row>
    <row r="4911" spans="7:10" s="29" customFormat="1" x14ac:dyDescent="0.2">
      <c r="G4911" s="31"/>
      <c r="H4911" s="31"/>
      <c r="I4911" s="31"/>
      <c r="J4911" s="31"/>
    </row>
    <row r="4912" spans="7:10" s="29" customFormat="1" x14ac:dyDescent="0.2">
      <c r="G4912" s="31"/>
      <c r="H4912" s="31"/>
      <c r="I4912" s="31"/>
      <c r="J4912" s="31"/>
    </row>
    <row r="4913" spans="7:10" s="29" customFormat="1" x14ac:dyDescent="0.2">
      <c r="G4913" s="31"/>
      <c r="H4913" s="31"/>
      <c r="I4913" s="31"/>
      <c r="J4913" s="31"/>
    </row>
    <row r="4914" spans="7:10" s="29" customFormat="1" x14ac:dyDescent="0.2">
      <c r="G4914" s="31"/>
      <c r="H4914" s="31"/>
      <c r="I4914" s="31"/>
      <c r="J4914" s="31"/>
    </row>
    <row r="4915" spans="7:10" s="29" customFormat="1" x14ac:dyDescent="0.2">
      <c r="G4915" s="31"/>
      <c r="H4915" s="31"/>
      <c r="I4915" s="31"/>
      <c r="J4915" s="31"/>
    </row>
    <row r="4916" spans="7:10" s="29" customFormat="1" x14ac:dyDescent="0.2">
      <c r="G4916" s="31"/>
      <c r="H4916" s="31"/>
      <c r="I4916" s="31"/>
      <c r="J4916" s="31"/>
    </row>
    <row r="4917" spans="7:10" s="29" customFormat="1" x14ac:dyDescent="0.2">
      <c r="G4917" s="31"/>
      <c r="H4917" s="31"/>
      <c r="I4917" s="31"/>
      <c r="J4917" s="31"/>
    </row>
    <row r="4918" spans="7:10" s="29" customFormat="1" x14ac:dyDescent="0.2">
      <c r="G4918" s="31"/>
      <c r="H4918" s="31"/>
      <c r="I4918" s="31"/>
      <c r="J4918" s="31"/>
    </row>
    <row r="4919" spans="7:10" s="29" customFormat="1" x14ac:dyDescent="0.2">
      <c r="G4919" s="31"/>
      <c r="H4919" s="31"/>
      <c r="I4919" s="31"/>
      <c r="J4919" s="31"/>
    </row>
    <row r="4920" spans="7:10" s="29" customFormat="1" x14ac:dyDescent="0.2">
      <c r="G4920" s="31"/>
      <c r="H4920" s="31"/>
      <c r="I4920" s="31"/>
      <c r="J4920" s="31"/>
    </row>
    <row r="4921" spans="7:10" s="29" customFormat="1" x14ac:dyDescent="0.2">
      <c r="G4921" s="31"/>
      <c r="H4921" s="31"/>
      <c r="I4921" s="31"/>
      <c r="J4921" s="31"/>
    </row>
    <row r="4922" spans="7:10" s="29" customFormat="1" x14ac:dyDescent="0.2">
      <c r="G4922" s="31"/>
      <c r="H4922" s="31"/>
      <c r="I4922" s="31"/>
      <c r="J4922" s="31"/>
    </row>
    <row r="4923" spans="7:10" s="29" customFormat="1" x14ac:dyDescent="0.2">
      <c r="G4923" s="31"/>
      <c r="H4923" s="31"/>
      <c r="I4923" s="31"/>
      <c r="J4923" s="31"/>
    </row>
    <row r="4924" spans="7:10" s="29" customFormat="1" x14ac:dyDescent="0.2">
      <c r="G4924" s="31"/>
      <c r="H4924" s="31"/>
      <c r="I4924" s="31"/>
      <c r="J4924" s="31"/>
    </row>
    <row r="4925" spans="7:10" s="29" customFormat="1" x14ac:dyDescent="0.2">
      <c r="G4925" s="31"/>
      <c r="H4925" s="31"/>
      <c r="I4925" s="31"/>
      <c r="J4925" s="31"/>
    </row>
    <row r="4926" spans="7:10" s="29" customFormat="1" x14ac:dyDescent="0.2">
      <c r="G4926" s="31"/>
      <c r="H4926" s="31"/>
      <c r="I4926" s="31"/>
      <c r="J4926" s="31"/>
    </row>
    <row r="4927" spans="7:10" s="29" customFormat="1" x14ac:dyDescent="0.2">
      <c r="G4927" s="31"/>
      <c r="H4927" s="31"/>
      <c r="I4927" s="31"/>
      <c r="J4927" s="31"/>
    </row>
    <row r="4928" spans="7:10" s="29" customFormat="1" x14ac:dyDescent="0.2">
      <c r="G4928" s="31"/>
      <c r="H4928" s="31"/>
      <c r="I4928" s="31"/>
      <c r="J4928" s="31"/>
    </row>
    <row r="4929" spans="7:10" s="29" customFormat="1" x14ac:dyDescent="0.2">
      <c r="G4929" s="31"/>
      <c r="H4929" s="31"/>
      <c r="I4929" s="31"/>
      <c r="J4929" s="31"/>
    </row>
    <row r="4930" spans="7:10" s="29" customFormat="1" x14ac:dyDescent="0.2">
      <c r="G4930" s="31"/>
      <c r="H4930" s="31"/>
      <c r="I4930" s="31"/>
      <c r="J4930" s="31"/>
    </row>
    <row r="4931" spans="7:10" s="29" customFormat="1" x14ac:dyDescent="0.2">
      <c r="G4931" s="31"/>
      <c r="H4931" s="31"/>
      <c r="I4931" s="31"/>
      <c r="J4931" s="31"/>
    </row>
    <row r="4932" spans="7:10" s="29" customFormat="1" x14ac:dyDescent="0.2">
      <c r="G4932" s="31"/>
      <c r="H4932" s="31"/>
      <c r="I4932" s="31"/>
      <c r="J4932" s="31"/>
    </row>
    <row r="4933" spans="7:10" s="29" customFormat="1" x14ac:dyDescent="0.2">
      <c r="G4933" s="31"/>
      <c r="H4933" s="31"/>
      <c r="I4933" s="31"/>
      <c r="J4933" s="31"/>
    </row>
    <row r="4934" spans="7:10" s="29" customFormat="1" x14ac:dyDescent="0.2">
      <c r="G4934" s="31"/>
      <c r="H4934" s="31"/>
      <c r="I4934" s="31"/>
      <c r="J4934" s="31"/>
    </row>
    <row r="4935" spans="7:10" s="29" customFormat="1" x14ac:dyDescent="0.2">
      <c r="G4935" s="31"/>
      <c r="H4935" s="31"/>
      <c r="I4935" s="31"/>
      <c r="J4935" s="31"/>
    </row>
    <row r="4936" spans="7:10" s="29" customFormat="1" x14ac:dyDescent="0.2">
      <c r="G4936" s="31"/>
      <c r="H4936" s="31"/>
      <c r="I4936" s="31"/>
      <c r="J4936" s="31"/>
    </row>
    <row r="4937" spans="7:10" s="29" customFormat="1" x14ac:dyDescent="0.2">
      <c r="G4937" s="31"/>
      <c r="H4937" s="31"/>
      <c r="I4937" s="31"/>
      <c r="J4937" s="31"/>
    </row>
    <row r="4938" spans="7:10" s="29" customFormat="1" x14ac:dyDescent="0.2">
      <c r="G4938" s="31"/>
      <c r="H4938" s="31"/>
      <c r="I4938" s="31"/>
      <c r="J4938" s="31"/>
    </row>
    <row r="4939" spans="7:10" s="29" customFormat="1" x14ac:dyDescent="0.2">
      <c r="G4939" s="31"/>
      <c r="H4939" s="31"/>
      <c r="I4939" s="31"/>
      <c r="J4939" s="31"/>
    </row>
    <row r="4940" spans="7:10" s="29" customFormat="1" x14ac:dyDescent="0.2">
      <c r="G4940" s="31"/>
      <c r="H4940" s="31"/>
      <c r="I4940" s="31"/>
      <c r="J4940" s="31"/>
    </row>
    <row r="4941" spans="7:10" s="29" customFormat="1" x14ac:dyDescent="0.2">
      <c r="G4941" s="31"/>
      <c r="H4941" s="31"/>
      <c r="I4941" s="31"/>
      <c r="J4941" s="31"/>
    </row>
    <row r="4942" spans="7:10" s="29" customFormat="1" x14ac:dyDescent="0.2">
      <c r="G4942" s="31"/>
      <c r="H4942" s="31"/>
      <c r="I4942" s="31"/>
      <c r="J4942" s="31"/>
    </row>
    <row r="4943" spans="7:10" s="29" customFormat="1" x14ac:dyDescent="0.2">
      <c r="G4943" s="31"/>
      <c r="H4943" s="31"/>
      <c r="I4943" s="31"/>
      <c r="J4943" s="31"/>
    </row>
    <row r="4944" spans="7:10" s="29" customFormat="1" x14ac:dyDescent="0.2">
      <c r="G4944" s="31"/>
      <c r="H4944" s="31"/>
      <c r="I4944" s="31"/>
      <c r="J4944" s="31"/>
    </row>
    <row r="4945" spans="7:10" s="29" customFormat="1" x14ac:dyDescent="0.2">
      <c r="G4945" s="31"/>
      <c r="H4945" s="31"/>
      <c r="I4945" s="31"/>
      <c r="J4945" s="31"/>
    </row>
    <row r="4946" spans="7:10" s="29" customFormat="1" x14ac:dyDescent="0.2">
      <c r="G4946" s="31"/>
      <c r="H4946" s="31"/>
      <c r="I4946" s="31"/>
      <c r="J4946" s="31"/>
    </row>
    <row r="4947" spans="7:10" s="29" customFormat="1" x14ac:dyDescent="0.2">
      <c r="G4947" s="31"/>
      <c r="H4947" s="31"/>
      <c r="I4947" s="31"/>
      <c r="J4947" s="31"/>
    </row>
    <row r="4948" spans="7:10" s="29" customFormat="1" x14ac:dyDescent="0.2">
      <c r="G4948" s="31"/>
      <c r="H4948" s="31"/>
      <c r="I4948" s="31"/>
      <c r="J4948" s="31"/>
    </row>
    <row r="4949" spans="7:10" s="29" customFormat="1" x14ac:dyDescent="0.2">
      <c r="G4949" s="31"/>
      <c r="H4949" s="31"/>
      <c r="I4949" s="31"/>
      <c r="J4949" s="31"/>
    </row>
    <row r="4950" spans="7:10" s="29" customFormat="1" x14ac:dyDescent="0.2">
      <c r="G4950" s="31"/>
      <c r="H4950" s="31"/>
      <c r="I4950" s="31"/>
      <c r="J4950" s="31"/>
    </row>
    <row r="4951" spans="7:10" s="29" customFormat="1" x14ac:dyDescent="0.2">
      <c r="G4951" s="31"/>
      <c r="H4951" s="31"/>
      <c r="I4951" s="31"/>
      <c r="J4951" s="31"/>
    </row>
    <row r="4952" spans="7:10" s="29" customFormat="1" x14ac:dyDescent="0.2">
      <c r="G4952" s="31"/>
      <c r="H4952" s="31"/>
      <c r="I4952" s="31"/>
      <c r="J4952" s="31"/>
    </row>
    <row r="4953" spans="7:10" s="29" customFormat="1" x14ac:dyDescent="0.2">
      <c r="G4953" s="31"/>
      <c r="H4953" s="31"/>
      <c r="I4953" s="31"/>
      <c r="J4953" s="31"/>
    </row>
    <row r="4954" spans="7:10" s="29" customFormat="1" x14ac:dyDescent="0.2">
      <c r="G4954" s="31"/>
      <c r="H4954" s="31"/>
      <c r="I4954" s="31"/>
      <c r="J4954" s="31"/>
    </row>
    <row r="4955" spans="7:10" s="29" customFormat="1" x14ac:dyDescent="0.2">
      <c r="G4955" s="31"/>
      <c r="H4955" s="31"/>
      <c r="I4955" s="31"/>
      <c r="J4955" s="31"/>
    </row>
    <row r="4956" spans="7:10" s="29" customFormat="1" x14ac:dyDescent="0.2">
      <c r="G4956" s="31"/>
      <c r="H4956" s="31"/>
      <c r="I4956" s="31"/>
      <c r="J4956" s="31"/>
    </row>
    <row r="4957" spans="7:10" s="29" customFormat="1" x14ac:dyDescent="0.2">
      <c r="G4957" s="31"/>
      <c r="H4957" s="31"/>
      <c r="I4957" s="31"/>
      <c r="J4957" s="31"/>
    </row>
    <row r="4958" spans="7:10" s="29" customFormat="1" x14ac:dyDescent="0.2">
      <c r="G4958" s="31"/>
      <c r="H4958" s="31"/>
      <c r="I4958" s="31"/>
      <c r="J4958" s="31"/>
    </row>
    <row r="4959" spans="7:10" s="29" customFormat="1" x14ac:dyDescent="0.2">
      <c r="G4959" s="31"/>
      <c r="H4959" s="31"/>
      <c r="I4959" s="31"/>
      <c r="J4959" s="31"/>
    </row>
    <row r="4960" spans="7:10" s="29" customFormat="1" x14ac:dyDescent="0.2">
      <c r="G4960" s="31"/>
      <c r="H4960" s="31"/>
      <c r="I4960" s="31"/>
      <c r="J4960" s="31"/>
    </row>
    <row r="4961" spans="7:10" s="29" customFormat="1" x14ac:dyDescent="0.2">
      <c r="G4961" s="31"/>
      <c r="H4961" s="31"/>
      <c r="I4961" s="31"/>
      <c r="J4961" s="31"/>
    </row>
    <row r="4962" spans="7:10" s="29" customFormat="1" x14ac:dyDescent="0.2">
      <c r="G4962" s="31"/>
      <c r="H4962" s="31"/>
      <c r="I4962" s="31"/>
      <c r="J4962" s="31"/>
    </row>
    <row r="4963" spans="7:10" s="29" customFormat="1" x14ac:dyDescent="0.2">
      <c r="G4963" s="31"/>
      <c r="H4963" s="31"/>
      <c r="I4963" s="31"/>
      <c r="J4963" s="31"/>
    </row>
    <row r="4964" spans="7:10" s="29" customFormat="1" x14ac:dyDescent="0.2">
      <c r="G4964" s="31"/>
      <c r="H4964" s="31"/>
      <c r="I4964" s="31"/>
      <c r="J4964" s="31"/>
    </row>
    <row r="4965" spans="7:10" s="29" customFormat="1" x14ac:dyDescent="0.2">
      <c r="G4965" s="31"/>
      <c r="H4965" s="31"/>
      <c r="I4965" s="31"/>
      <c r="J4965" s="31"/>
    </row>
    <row r="4966" spans="7:10" s="29" customFormat="1" x14ac:dyDescent="0.2">
      <c r="G4966" s="31"/>
      <c r="H4966" s="31"/>
      <c r="I4966" s="31"/>
      <c r="J4966" s="31"/>
    </row>
    <row r="4967" spans="7:10" s="29" customFormat="1" x14ac:dyDescent="0.2">
      <c r="G4967" s="31"/>
      <c r="H4967" s="31"/>
      <c r="I4967" s="31"/>
      <c r="J4967" s="31"/>
    </row>
    <row r="4968" spans="7:10" s="29" customFormat="1" x14ac:dyDescent="0.2">
      <c r="G4968" s="31"/>
      <c r="H4968" s="31"/>
      <c r="I4968" s="31"/>
      <c r="J4968" s="31"/>
    </row>
    <row r="4969" spans="7:10" s="29" customFormat="1" x14ac:dyDescent="0.2">
      <c r="G4969" s="31"/>
      <c r="H4969" s="31"/>
      <c r="I4969" s="31"/>
      <c r="J4969" s="31"/>
    </row>
    <row r="4970" spans="7:10" s="29" customFormat="1" x14ac:dyDescent="0.2">
      <c r="G4970" s="31"/>
      <c r="H4970" s="31"/>
      <c r="I4970" s="31"/>
      <c r="J4970" s="31"/>
    </row>
    <row r="4971" spans="7:10" s="29" customFormat="1" x14ac:dyDescent="0.2">
      <c r="G4971" s="31"/>
      <c r="H4971" s="31"/>
      <c r="I4971" s="31"/>
      <c r="J4971" s="31"/>
    </row>
    <row r="4972" spans="7:10" s="29" customFormat="1" x14ac:dyDescent="0.2">
      <c r="G4972" s="31"/>
      <c r="H4972" s="31"/>
      <c r="I4972" s="31"/>
      <c r="J4972" s="31"/>
    </row>
    <row r="4973" spans="7:10" s="29" customFormat="1" x14ac:dyDescent="0.2">
      <c r="G4973" s="31"/>
      <c r="H4973" s="31"/>
      <c r="I4973" s="31"/>
      <c r="J4973" s="31"/>
    </row>
    <row r="4974" spans="7:10" s="29" customFormat="1" x14ac:dyDescent="0.2">
      <c r="G4974" s="31"/>
      <c r="H4974" s="31"/>
      <c r="I4974" s="31"/>
      <c r="J4974" s="31"/>
    </row>
    <row r="4975" spans="7:10" s="29" customFormat="1" x14ac:dyDescent="0.2">
      <c r="G4975" s="31"/>
      <c r="H4975" s="31"/>
      <c r="I4975" s="31"/>
      <c r="J4975" s="31"/>
    </row>
    <row r="4976" spans="7:10" s="29" customFormat="1" x14ac:dyDescent="0.2">
      <c r="G4976" s="31"/>
      <c r="H4976" s="31"/>
      <c r="I4976" s="31"/>
      <c r="J4976" s="31"/>
    </row>
    <row r="4977" spans="7:10" s="29" customFormat="1" x14ac:dyDescent="0.2">
      <c r="G4977" s="31"/>
      <c r="H4977" s="31"/>
      <c r="I4977" s="31"/>
      <c r="J4977" s="31"/>
    </row>
    <row r="4978" spans="7:10" s="29" customFormat="1" x14ac:dyDescent="0.2">
      <c r="G4978" s="31"/>
      <c r="H4978" s="31"/>
      <c r="I4978" s="31"/>
      <c r="J4978" s="31"/>
    </row>
    <row r="4979" spans="7:10" s="29" customFormat="1" x14ac:dyDescent="0.2">
      <c r="G4979" s="31"/>
      <c r="H4979" s="31"/>
      <c r="I4979" s="31"/>
      <c r="J4979" s="31"/>
    </row>
    <row r="4980" spans="7:10" s="29" customFormat="1" x14ac:dyDescent="0.2">
      <c r="G4980" s="31"/>
      <c r="H4980" s="31"/>
      <c r="I4980" s="31"/>
      <c r="J4980" s="31"/>
    </row>
    <row r="4981" spans="7:10" s="29" customFormat="1" x14ac:dyDescent="0.2">
      <c r="G4981" s="31"/>
      <c r="H4981" s="31"/>
      <c r="I4981" s="31"/>
      <c r="J4981" s="31"/>
    </row>
    <row r="4982" spans="7:10" s="29" customFormat="1" x14ac:dyDescent="0.2">
      <c r="G4982" s="31"/>
      <c r="H4982" s="31"/>
      <c r="I4982" s="31"/>
      <c r="J4982" s="31"/>
    </row>
    <row r="4983" spans="7:10" s="29" customFormat="1" x14ac:dyDescent="0.2">
      <c r="G4983" s="31"/>
      <c r="H4983" s="31"/>
      <c r="I4983" s="31"/>
      <c r="J4983" s="31"/>
    </row>
    <row r="4984" spans="7:10" s="29" customFormat="1" x14ac:dyDescent="0.2">
      <c r="G4984" s="31"/>
      <c r="H4984" s="31"/>
      <c r="I4984" s="31"/>
      <c r="J4984" s="31"/>
    </row>
    <row r="4985" spans="7:10" s="29" customFormat="1" x14ac:dyDescent="0.2">
      <c r="G4985" s="31"/>
      <c r="H4985" s="31"/>
      <c r="I4985" s="31"/>
      <c r="J4985" s="31"/>
    </row>
    <row r="4986" spans="7:10" s="29" customFormat="1" x14ac:dyDescent="0.2">
      <c r="G4986" s="31"/>
      <c r="H4986" s="31"/>
      <c r="I4986" s="31"/>
      <c r="J4986" s="31"/>
    </row>
    <row r="4987" spans="7:10" s="29" customFormat="1" x14ac:dyDescent="0.2">
      <c r="G4987" s="31"/>
      <c r="H4987" s="31"/>
      <c r="I4987" s="31"/>
      <c r="J4987" s="31"/>
    </row>
    <row r="4988" spans="7:10" s="29" customFormat="1" x14ac:dyDescent="0.2">
      <c r="G4988" s="31"/>
      <c r="H4988" s="31"/>
      <c r="I4988" s="31"/>
      <c r="J4988" s="31"/>
    </row>
    <row r="4989" spans="7:10" s="29" customFormat="1" x14ac:dyDescent="0.2">
      <c r="G4989" s="31"/>
      <c r="H4989" s="31"/>
      <c r="I4989" s="31"/>
      <c r="J4989" s="31"/>
    </row>
    <row r="4990" spans="7:10" s="29" customFormat="1" x14ac:dyDescent="0.2">
      <c r="G4990" s="31"/>
      <c r="H4990" s="31"/>
      <c r="I4990" s="31"/>
      <c r="J4990" s="31"/>
    </row>
    <row r="4991" spans="7:10" s="29" customFormat="1" x14ac:dyDescent="0.2">
      <c r="G4991" s="31"/>
      <c r="H4991" s="31"/>
      <c r="I4991" s="31"/>
      <c r="J4991" s="31"/>
    </row>
    <row r="4992" spans="7:10" s="29" customFormat="1" x14ac:dyDescent="0.2">
      <c r="G4992" s="31"/>
      <c r="H4992" s="31"/>
      <c r="I4992" s="31"/>
      <c r="J4992" s="31"/>
    </row>
    <row r="4993" spans="7:10" s="29" customFormat="1" x14ac:dyDescent="0.2">
      <c r="G4993" s="31"/>
      <c r="H4993" s="31"/>
      <c r="I4993" s="31"/>
      <c r="J4993" s="31"/>
    </row>
    <row r="4994" spans="7:10" s="29" customFormat="1" x14ac:dyDescent="0.2">
      <c r="G4994" s="31"/>
      <c r="H4994" s="31"/>
      <c r="I4994" s="31"/>
      <c r="J4994" s="31"/>
    </row>
    <row r="4995" spans="7:10" s="29" customFormat="1" x14ac:dyDescent="0.2">
      <c r="G4995" s="31"/>
      <c r="H4995" s="31"/>
      <c r="I4995" s="31"/>
      <c r="J4995" s="31"/>
    </row>
    <row r="4996" spans="7:10" s="29" customFormat="1" x14ac:dyDescent="0.2">
      <c r="G4996" s="31"/>
      <c r="H4996" s="31"/>
      <c r="I4996" s="31"/>
      <c r="J4996" s="31"/>
    </row>
    <row r="4997" spans="7:10" s="29" customFormat="1" x14ac:dyDescent="0.2">
      <c r="G4997" s="31"/>
      <c r="H4997" s="31"/>
      <c r="I4997" s="31"/>
      <c r="J4997" s="31"/>
    </row>
    <row r="4998" spans="7:10" s="29" customFormat="1" x14ac:dyDescent="0.2">
      <c r="G4998" s="31"/>
      <c r="H4998" s="31"/>
      <c r="I4998" s="31"/>
      <c r="J4998" s="31"/>
    </row>
    <row r="4999" spans="7:10" s="29" customFormat="1" x14ac:dyDescent="0.2">
      <c r="G4999" s="31"/>
      <c r="H4999" s="31"/>
      <c r="I4999" s="31"/>
      <c r="J4999" s="31"/>
    </row>
    <row r="5000" spans="7:10" s="29" customFormat="1" x14ac:dyDescent="0.2">
      <c r="G5000" s="31"/>
      <c r="H5000" s="31"/>
      <c r="I5000" s="31"/>
      <c r="J5000" s="31"/>
    </row>
    <row r="5001" spans="7:10" s="29" customFormat="1" x14ac:dyDescent="0.2">
      <c r="G5001" s="31"/>
      <c r="H5001" s="31"/>
      <c r="I5001" s="31"/>
      <c r="J5001" s="31"/>
    </row>
    <row r="5002" spans="7:10" s="29" customFormat="1" x14ac:dyDescent="0.2">
      <c r="G5002" s="31"/>
      <c r="H5002" s="31"/>
      <c r="I5002" s="31"/>
      <c r="J5002" s="31"/>
    </row>
    <row r="5003" spans="7:10" s="29" customFormat="1" x14ac:dyDescent="0.2">
      <c r="G5003" s="31"/>
      <c r="H5003" s="31"/>
      <c r="I5003" s="31"/>
      <c r="J5003" s="31"/>
    </row>
    <row r="5004" spans="7:10" s="29" customFormat="1" x14ac:dyDescent="0.2">
      <c r="G5004" s="31"/>
      <c r="H5004" s="31"/>
      <c r="I5004" s="31"/>
      <c r="J5004" s="31"/>
    </row>
    <row r="5005" spans="7:10" s="29" customFormat="1" x14ac:dyDescent="0.2">
      <c r="G5005" s="31"/>
      <c r="H5005" s="31"/>
      <c r="I5005" s="31"/>
      <c r="J5005" s="31"/>
    </row>
    <row r="5006" spans="7:10" s="29" customFormat="1" x14ac:dyDescent="0.2">
      <c r="G5006" s="31"/>
      <c r="H5006" s="31"/>
      <c r="I5006" s="31"/>
      <c r="J5006" s="31"/>
    </row>
    <row r="5007" spans="7:10" s="29" customFormat="1" x14ac:dyDescent="0.2">
      <c r="G5007" s="31"/>
      <c r="H5007" s="31"/>
      <c r="I5007" s="31"/>
      <c r="J5007" s="31"/>
    </row>
    <row r="5008" spans="7:10" s="29" customFormat="1" x14ac:dyDescent="0.2">
      <c r="G5008" s="31"/>
      <c r="H5008" s="31"/>
      <c r="I5008" s="31"/>
      <c r="J5008" s="31"/>
    </row>
    <row r="5009" spans="7:10" s="29" customFormat="1" x14ac:dyDescent="0.2">
      <c r="G5009" s="31"/>
      <c r="H5009" s="31"/>
      <c r="I5009" s="31"/>
      <c r="J5009" s="31"/>
    </row>
    <row r="5010" spans="7:10" s="29" customFormat="1" x14ac:dyDescent="0.2">
      <c r="G5010" s="31"/>
      <c r="H5010" s="31"/>
      <c r="I5010" s="31"/>
      <c r="J5010" s="31"/>
    </row>
    <row r="5011" spans="7:10" s="29" customFormat="1" x14ac:dyDescent="0.2">
      <c r="G5011" s="31"/>
      <c r="H5011" s="31"/>
      <c r="I5011" s="31"/>
      <c r="J5011" s="31"/>
    </row>
    <row r="5012" spans="7:10" s="29" customFormat="1" x14ac:dyDescent="0.2">
      <c r="G5012" s="31"/>
      <c r="H5012" s="31"/>
      <c r="I5012" s="31"/>
      <c r="J5012" s="31"/>
    </row>
    <row r="5013" spans="7:10" s="29" customFormat="1" x14ac:dyDescent="0.2">
      <c r="G5013" s="31"/>
      <c r="H5013" s="31"/>
      <c r="I5013" s="31"/>
      <c r="J5013" s="31"/>
    </row>
    <row r="5014" spans="7:10" s="29" customFormat="1" x14ac:dyDescent="0.2">
      <c r="G5014" s="31"/>
      <c r="H5014" s="31"/>
      <c r="I5014" s="31"/>
      <c r="J5014" s="31"/>
    </row>
    <row r="5015" spans="7:10" s="29" customFormat="1" x14ac:dyDescent="0.2">
      <c r="G5015" s="31"/>
      <c r="H5015" s="31"/>
      <c r="I5015" s="31"/>
      <c r="J5015" s="31"/>
    </row>
    <row r="5016" spans="7:10" s="29" customFormat="1" x14ac:dyDescent="0.2">
      <c r="G5016" s="31"/>
      <c r="H5016" s="31"/>
      <c r="I5016" s="31"/>
      <c r="J5016" s="31"/>
    </row>
    <row r="5017" spans="7:10" s="29" customFormat="1" x14ac:dyDescent="0.2">
      <c r="G5017" s="31"/>
      <c r="H5017" s="31"/>
      <c r="I5017" s="31"/>
      <c r="J5017" s="31"/>
    </row>
    <row r="5018" spans="7:10" s="29" customFormat="1" x14ac:dyDescent="0.2">
      <c r="G5018" s="31"/>
      <c r="H5018" s="31"/>
      <c r="I5018" s="31"/>
      <c r="J5018" s="31"/>
    </row>
    <row r="5019" spans="7:10" s="29" customFormat="1" x14ac:dyDescent="0.2">
      <c r="G5019" s="31"/>
      <c r="H5019" s="31"/>
      <c r="I5019" s="31"/>
      <c r="J5019" s="31"/>
    </row>
    <row r="5020" spans="7:10" s="29" customFormat="1" x14ac:dyDescent="0.2">
      <c r="G5020" s="31"/>
      <c r="H5020" s="31"/>
      <c r="I5020" s="31"/>
      <c r="J5020" s="31"/>
    </row>
    <row r="5021" spans="7:10" s="29" customFormat="1" x14ac:dyDescent="0.2">
      <c r="G5021" s="31"/>
      <c r="H5021" s="31"/>
      <c r="I5021" s="31"/>
      <c r="J5021" s="31"/>
    </row>
    <row r="5022" spans="7:10" s="29" customFormat="1" x14ac:dyDescent="0.2">
      <c r="G5022" s="31"/>
      <c r="H5022" s="31"/>
      <c r="I5022" s="31"/>
      <c r="J5022" s="31"/>
    </row>
    <row r="5023" spans="7:10" s="29" customFormat="1" x14ac:dyDescent="0.2">
      <c r="G5023" s="31"/>
      <c r="H5023" s="31"/>
      <c r="I5023" s="31"/>
      <c r="J5023" s="31"/>
    </row>
    <row r="5024" spans="7:10" s="29" customFormat="1" x14ac:dyDescent="0.2">
      <c r="G5024" s="31"/>
      <c r="H5024" s="31"/>
      <c r="I5024" s="31"/>
      <c r="J5024" s="31"/>
    </row>
    <row r="5025" spans="7:10" s="29" customFormat="1" x14ac:dyDescent="0.2">
      <c r="G5025" s="31"/>
      <c r="H5025" s="31"/>
      <c r="I5025" s="31"/>
      <c r="J5025" s="31"/>
    </row>
    <row r="5026" spans="7:10" s="29" customFormat="1" x14ac:dyDescent="0.2">
      <c r="G5026" s="31"/>
      <c r="H5026" s="31"/>
      <c r="I5026" s="31"/>
      <c r="J5026" s="31"/>
    </row>
    <row r="5027" spans="7:10" s="29" customFormat="1" x14ac:dyDescent="0.2">
      <c r="G5027" s="31"/>
      <c r="H5027" s="31"/>
      <c r="I5027" s="31"/>
      <c r="J5027" s="31"/>
    </row>
    <row r="5028" spans="7:10" s="29" customFormat="1" x14ac:dyDescent="0.2">
      <c r="G5028" s="31"/>
      <c r="H5028" s="31"/>
      <c r="I5028" s="31"/>
      <c r="J5028" s="31"/>
    </row>
    <row r="5029" spans="7:10" s="29" customFormat="1" x14ac:dyDescent="0.2">
      <c r="G5029" s="31"/>
      <c r="H5029" s="31"/>
      <c r="I5029" s="31"/>
      <c r="J5029" s="31"/>
    </row>
    <row r="5030" spans="7:10" s="29" customFormat="1" x14ac:dyDescent="0.2">
      <c r="G5030" s="31"/>
      <c r="H5030" s="31"/>
      <c r="I5030" s="31"/>
      <c r="J5030" s="31"/>
    </row>
    <row r="5031" spans="7:10" s="29" customFormat="1" x14ac:dyDescent="0.2">
      <c r="G5031" s="31"/>
      <c r="H5031" s="31"/>
      <c r="I5031" s="31"/>
      <c r="J5031" s="31"/>
    </row>
    <row r="5032" spans="7:10" s="29" customFormat="1" x14ac:dyDescent="0.2">
      <c r="G5032" s="31"/>
      <c r="H5032" s="31"/>
      <c r="I5032" s="31"/>
      <c r="J5032" s="31"/>
    </row>
    <row r="5033" spans="7:10" s="29" customFormat="1" x14ac:dyDescent="0.2">
      <c r="G5033" s="31"/>
      <c r="H5033" s="31"/>
      <c r="I5033" s="31"/>
      <c r="J5033" s="31"/>
    </row>
    <row r="5034" spans="7:10" s="29" customFormat="1" x14ac:dyDescent="0.2">
      <c r="G5034" s="31"/>
      <c r="H5034" s="31"/>
      <c r="I5034" s="31"/>
      <c r="J5034" s="31"/>
    </row>
    <row r="5035" spans="7:10" s="29" customFormat="1" x14ac:dyDescent="0.2">
      <c r="G5035" s="31"/>
      <c r="H5035" s="31"/>
      <c r="I5035" s="31"/>
      <c r="J5035" s="31"/>
    </row>
    <row r="5036" spans="7:10" s="29" customFormat="1" x14ac:dyDescent="0.2">
      <c r="G5036" s="31"/>
      <c r="H5036" s="31"/>
      <c r="I5036" s="31"/>
      <c r="J5036" s="31"/>
    </row>
    <row r="5037" spans="7:10" s="29" customFormat="1" x14ac:dyDescent="0.2">
      <c r="G5037" s="31"/>
      <c r="H5037" s="31"/>
      <c r="I5037" s="31"/>
      <c r="J5037" s="31"/>
    </row>
    <row r="5038" spans="7:10" s="29" customFormat="1" x14ac:dyDescent="0.2">
      <c r="G5038" s="31"/>
      <c r="H5038" s="31"/>
      <c r="I5038" s="31"/>
      <c r="J5038" s="31"/>
    </row>
    <row r="5039" spans="7:10" s="29" customFormat="1" x14ac:dyDescent="0.2">
      <c r="G5039" s="31"/>
      <c r="H5039" s="31"/>
      <c r="I5039" s="31"/>
      <c r="J5039" s="31"/>
    </row>
    <row r="5040" spans="7:10" s="29" customFormat="1" x14ac:dyDescent="0.2">
      <c r="G5040" s="31"/>
      <c r="H5040" s="31"/>
      <c r="I5040" s="31"/>
      <c r="J5040" s="31"/>
    </row>
    <row r="5041" spans="7:10" s="29" customFormat="1" x14ac:dyDescent="0.2">
      <c r="G5041" s="31"/>
      <c r="H5041" s="31"/>
      <c r="I5041" s="31"/>
      <c r="J5041" s="31"/>
    </row>
    <row r="5042" spans="7:10" s="29" customFormat="1" x14ac:dyDescent="0.2">
      <c r="G5042" s="31"/>
      <c r="H5042" s="31"/>
      <c r="I5042" s="31"/>
      <c r="J5042" s="31"/>
    </row>
    <row r="5043" spans="7:10" s="29" customFormat="1" x14ac:dyDescent="0.2">
      <c r="G5043" s="31"/>
      <c r="H5043" s="31"/>
      <c r="I5043" s="31"/>
      <c r="J5043" s="31"/>
    </row>
    <row r="5044" spans="7:10" s="29" customFormat="1" x14ac:dyDescent="0.2">
      <c r="G5044" s="31"/>
      <c r="H5044" s="31"/>
      <c r="I5044" s="31"/>
      <c r="J5044" s="31"/>
    </row>
    <row r="5045" spans="7:10" s="29" customFormat="1" x14ac:dyDescent="0.2">
      <c r="G5045" s="31"/>
      <c r="H5045" s="31"/>
      <c r="I5045" s="31"/>
      <c r="J5045" s="31"/>
    </row>
    <row r="5046" spans="7:10" s="29" customFormat="1" x14ac:dyDescent="0.2">
      <c r="G5046" s="31"/>
      <c r="H5046" s="31"/>
      <c r="I5046" s="31"/>
      <c r="J5046" s="31"/>
    </row>
    <row r="5047" spans="7:10" s="29" customFormat="1" x14ac:dyDescent="0.2">
      <c r="G5047" s="31"/>
      <c r="H5047" s="31"/>
      <c r="I5047" s="31"/>
      <c r="J5047" s="31"/>
    </row>
    <row r="5048" spans="7:10" s="29" customFormat="1" x14ac:dyDescent="0.2">
      <c r="G5048" s="31"/>
      <c r="H5048" s="31"/>
      <c r="I5048" s="31"/>
      <c r="J5048" s="31"/>
    </row>
    <row r="5049" spans="7:10" s="29" customFormat="1" x14ac:dyDescent="0.2">
      <c r="G5049" s="31"/>
      <c r="H5049" s="31"/>
      <c r="I5049" s="31"/>
      <c r="J5049" s="31"/>
    </row>
    <row r="5050" spans="7:10" s="29" customFormat="1" x14ac:dyDescent="0.2">
      <c r="G5050" s="31"/>
      <c r="H5050" s="31"/>
      <c r="I5050" s="31"/>
      <c r="J5050" s="31"/>
    </row>
    <row r="5051" spans="7:10" s="29" customFormat="1" x14ac:dyDescent="0.2">
      <c r="G5051" s="31"/>
      <c r="H5051" s="31"/>
      <c r="I5051" s="31"/>
      <c r="J5051" s="31"/>
    </row>
    <row r="5052" spans="7:10" s="29" customFormat="1" x14ac:dyDescent="0.2">
      <c r="G5052" s="31"/>
      <c r="H5052" s="31"/>
      <c r="I5052" s="31"/>
      <c r="J5052" s="31"/>
    </row>
    <row r="5053" spans="7:10" s="29" customFormat="1" x14ac:dyDescent="0.2">
      <c r="G5053" s="31"/>
      <c r="H5053" s="31"/>
      <c r="I5053" s="31"/>
      <c r="J5053" s="31"/>
    </row>
    <row r="5054" spans="7:10" s="29" customFormat="1" x14ac:dyDescent="0.2">
      <c r="G5054" s="31"/>
      <c r="H5054" s="31"/>
      <c r="I5054" s="31"/>
      <c r="J5054" s="31"/>
    </row>
    <row r="5055" spans="7:10" s="29" customFormat="1" x14ac:dyDescent="0.2">
      <c r="G5055" s="31"/>
      <c r="H5055" s="31"/>
      <c r="I5055" s="31"/>
      <c r="J5055" s="31"/>
    </row>
    <row r="5056" spans="7:10" s="29" customFormat="1" x14ac:dyDescent="0.2">
      <c r="G5056" s="31"/>
      <c r="H5056" s="31"/>
      <c r="I5056" s="31"/>
      <c r="J5056" s="31"/>
    </row>
    <row r="5057" spans="7:10" s="29" customFormat="1" x14ac:dyDescent="0.2">
      <c r="G5057" s="31"/>
      <c r="H5057" s="31"/>
      <c r="I5057" s="31"/>
      <c r="J5057" s="31"/>
    </row>
    <row r="5058" spans="7:10" s="29" customFormat="1" x14ac:dyDescent="0.2">
      <c r="G5058" s="31"/>
      <c r="H5058" s="31"/>
      <c r="I5058" s="31"/>
      <c r="J5058" s="31"/>
    </row>
    <row r="5059" spans="7:10" s="29" customFormat="1" x14ac:dyDescent="0.2">
      <c r="G5059" s="31"/>
      <c r="H5059" s="31"/>
      <c r="I5059" s="31"/>
      <c r="J5059" s="31"/>
    </row>
    <row r="5060" spans="7:10" s="29" customFormat="1" x14ac:dyDescent="0.2">
      <c r="G5060" s="31"/>
      <c r="H5060" s="31"/>
      <c r="I5060" s="31"/>
      <c r="J5060" s="31"/>
    </row>
    <row r="5061" spans="7:10" s="29" customFormat="1" x14ac:dyDescent="0.2">
      <c r="G5061" s="31"/>
      <c r="H5061" s="31"/>
      <c r="I5061" s="31"/>
      <c r="J5061" s="31"/>
    </row>
    <row r="5062" spans="7:10" s="29" customFormat="1" x14ac:dyDescent="0.2">
      <c r="G5062" s="31"/>
      <c r="H5062" s="31"/>
      <c r="I5062" s="31"/>
      <c r="J5062" s="31"/>
    </row>
    <row r="5063" spans="7:10" s="29" customFormat="1" x14ac:dyDescent="0.2">
      <c r="G5063" s="31"/>
      <c r="H5063" s="31"/>
      <c r="I5063" s="31"/>
      <c r="J5063" s="31"/>
    </row>
    <row r="5064" spans="7:10" s="29" customFormat="1" x14ac:dyDescent="0.2">
      <c r="G5064" s="31"/>
      <c r="H5064" s="31"/>
      <c r="I5064" s="31"/>
      <c r="J5064" s="31"/>
    </row>
    <row r="5065" spans="7:10" s="29" customFormat="1" x14ac:dyDescent="0.2">
      <c r="G5065" s="31"/>
      <c r="H5065" s="31"/>
      <c r="I5065" s="31"/>
      <c r="J5065" s="31"/>
    </row>
    <row r="5066" spans="7:10" s="29" customFormat="1" x14ac:dyDescent="0.2">
      <c r="G5066" s="31"/>
      <c r="H5066" s="31"/>
      <c r="I5066" s="31"/>
      <c r="J5066" s="31"/>
    </row>
    <row r="5067" spans="7:10" s="29" customFormat="1" x14ac:dyDescent="0.2">
      <c r="G5067" s="31"/>
      <c r="H5067" s="31"/>
      <c r="I5067" s="31"/>
      <c r="J5067" s="31"/>
    </row>
    <row r="5068" spans="7:10" s="29" customFormat="1" x14ac:dyDescent="0.2">
      <c r="G5068" s="31"/>
      <c r="H5068" s="31"/>
      <c r="I5068" s="31"/>
      <c r="J5068" s="31"/>
    </row>
    <row r="5069" spans="7:10" s="29" customFormat="1" x14ac:dyDescent="0.2">
      <c r="G5069" s="31"/>
      <c r="H5069" s="31"/>
      <c r="I5069" s="31"/>
      <c r="J5069" s="31"/>
    </row>
    <row r="5070" spans="7:10" s="29" customFormat="1" x14ac:dyDescent="0.2">
      <c r="G5070" s="31"/>
      <c r="H5070" s="31"/>
      <c r="I5070" s="31"/>
      <c r="J5070" s="31"/>
    </row>
    <row r="5071" spans="7:10" s="29" customFormat="1" x14ac:dyDescent="0.2">
      <c r="G5071" s="31"/>
      <c r="H5071" s="31"/>
      <c r="I5071" s="31"/>
      <c r="J5071" s="31"/>
    </row>
    <row r="5072" spans="7:10" s="29" customFormat="1" x14ac:dyDescent="0.2">
      <c r="G5072" s="31"/>
      <c r="H5072" s="31"/>
      <c r="I5072" s="31"/>
      <c r="J5072" s="31"/>
    </row>
    <row r="5073" spans="7:10" s="29" customFormat="1" x14ac:dyDescent="0.2">
      <c r="G5073" s="31"/>
      <c r="H5073" s="31"/>
      <c r="I5073" s="31"/>
      <c r="J5073" s="31"/>
    </row>
    <row r="5074" spans="7:10" s="29" customFormat="1" x14ac:dyDescent="0.2">
      <c r="G5074" s="31"/>
      <c r="H5074" s="31"/>
      <c r="I5074" s="31"/>
      <c r="J5074" s="31"/>
    </row>
    <row r="5075" spans="7:10" s="29" customFormat="1" x14ac:dyDescent="0.2">
      <c r="G5075" s="31"/>
      <c r="H5075" s="31"/>
      <c r="I5075" s="31"/>
      <c r="J5075" s="31"/>
    </row>
    <row r="5076" spans="7:10" s="29" customFormat="1" x14ac:dyDescent="0.2">
      <c r="G5076" s="31"/>
      <c r="H5076" s="31"/>
      <c r="I5076" s="31"/>
      <c r="J5076" s="31"/>
    </row>
    <row r="5077" spans="7:10" s="29" customFormat="1" x14ac:dyDescent="0.2">
      <c r="G5077" s="31"/>
      <c r="H5077" s="31"/>
      <c r="I5077" s="31"/>
      <c r="J5077" s="31"/>
    </row>
    <row r="5078" spans="7:10" s="29" customFormat="1" x14ac:dyDescent="0.2">
      <c r="G5078" s="31"/>
      <c r="H5078" s="31"/>
      <c r="I5078" s="31"/>
      <c r="J5078" s="31"/>
    </row>
    <row r="5079" spans="7:10" s="29" customFormat="1" x14ac:dyDescent="0.2">
      <c r="G5079" s="31"/>
      <c r="H5079" s="31"/>
      <c r="I5079" s="31"/>
      <c r="J5079" s="31"/>
    </row>
    <row r="5080" spans="7:10" s="29" customFormat="1" x14ac:dyDescent="0.2">
      <c r="G5080" s="31"/>
      <c r="H5080" s="31"/>
      <c r="I5080" s="31"/>
      <c r="J5080" s="31"/>
    </row>
    <row r="5081" spans="7:10" s="29" customFormat="1" x14ac:dyDescent="0.2">
      <c r="G5081" s="31"/>
      <c r="H5081" s="31"/>
      <c r="I5081" s="31"/>
      <c r="J5081" s="31"/>
    </row>
    <row r="5082" spans="7:10" s="29" customFormat="1" x14ac:dyDescent="0.2">
      <c r="G5082" s="31"/>
      <c r="H5082" s="31"/>
      <c r="I5082" s="31"/>
      <c r="J5082" s="31"/>
    </row>
    <row r="5083" spans="7:10" s="29" customFormat="1" x14ac:dyDescent="0.2">
      <c r="G5083" s="31"/>
      <c r="H5083" s="31"/>
      <c r="I5083" s="31"/>
      <c r="J5083" s="31"/>
    </row>
    <row r="5084" spans="7:10" s="29" customFormat="1" x14ac:dyDescent="0.2">
      <c r="G5084" s="31"/>
      <c r="H5084" s="31"/>
      <c r="I5084" s="31"/>
      <c r="J5084" s="31"/>
    </row>
    <row r="5085" spans="7:10" s="29" customFormat="1" x14ac:dyDescent="0.2">
      <c r="G5085" s="31"/>
      <c r="H5085" s="31"/>
      <c r="I5085" s="31"/>
      <c r="J5085" s="31"/>
    </row>
    <row r="5086" spans="7:10" s="29" customFormat="1" x14ac:dyDescent="0.2">
      <c r="G5086" s="31"/>
      <c r="H5086" s="31"/>
      <c r="I5086" s="31"/>
      <c r="J5086" s="31"/>
    </row>
    <row r="5087" spans="7:10" s="29" customFormat="1" x14ac:dyDescent="0.2">
      <c r="G5087" s="31"/>
      <c r="H5087" s="31"/>
      <c r="I5087" s="31"/>
      <c r="J5087" s="31"/>
    </row>
    <row r="5088" spans="7:10" s="29" customFormat="1" x14ac:dyDescent="0.2">
      <c r="G5088" s="31"/>
      <c r="H5088" s="31"/>
      <c r="I5088" s="31"/>
      <c r="J5088" s="31"/>
    </row>
    <row r="5089" spans="7:10" s="29" customFormat="1" x14ac:dyDescent="0.2">
      <c r="G5089" s="31"/>
      <c r="H5089" s="31"/>
      <c r="I5089" s="31"/>
      <c r="J5089" s="31"/>
    </row>
    <row r="5090" spans="7:10" s="29" customFormat="1" x14ac:dyDescent="0.2">
      <c r="G5090" s="31"/>
      <c r="H5090" s="31"/>
      <c r="I5090" s="31"/>
      <c r="J5090" s="31"/>
    </row>
    <row r="5091" spans="7:10" s="29" customFormat="1" x14ac:dyDescent="0.2">
      <c r="G5091" s="31"/>
      <c r="H5091" s="31"/>
      <c r="I5091" s="31"/>
      <c r="J5091" s="31"/>
    </row>
    <row r="5092" spans="7:10" s="29" customFormat="1" x14ac:dyDescent="0.2">
      <c r="G5092" s="31"/>
      <c r="H5092" s="31"/>
      <c r="I5092" s="31"/>
      <c r="J5092" s="31"/>
    </row>
    <row r="5093" spans="7:10" s="29" customFormat="1" x14ac:dyDescent="0.2">
      <c r="G5093" s="31"/>
      <c r="H5093" s="31"/>
      <c r="I5093" s="31"/>
      <c r="J5093" s="31"/>
    </row>
    <row r="5094" spans="7:10" s="29" customFormat="1" x14ac:dyDescent="0.2">
      <c r="G5094" s="31"/>
      <c r="H5094" s="31"/>
      <c r="I5094" s="31"/>
      <c r="J5094" s="31"/>
    </row>
    <row r="5095" spans="7:10" s="29" customFormat="1" x14ac:dyDescent="0.2">
      <c r="G5095" s="31"/>
      <c r="H5095" s="31"/>
      <c r="I5095" s="31"/>
      <c r="J5095" s="31"/>
    </row>
    <row r="5096" spans="7:10" s="29" customFormat="1" x14ac:dyDescent="0.2">
      <c r="G5096" s="31"/>
      <c r="H5096" s="31"/>
      <c r="I5096" s="31"/>
      <c r="J5096" s="31"/>
    </row>
    <row r="5097" spans="7:10" s="29" customFormat="1" x14ac:dyDescent="0.2">
      <c r="G5097" s="31"/>
      <c r="H5097" s="31"/>
      <c r="I5097" s="31"/>
      <c r="J5097" s="31"/>
    </row>
    <row r="5098" spans="7:10" s="29" customFormat="1" x14ac:dyDescent="0.2">
      <c r="G5098" s="31"/>
      <c r="H5098" s="31"/>
      <c r="I5098" s="31"/>
      <c r="J5098" s="31"/>
    </row>
    <row r="5099" spans="7:10" s="29" customFormat="1" x14ac:dyDescent="0.2">
      <c r="G5099" s="31"/>
      <c r="H5099" s="31"/>
      <c r="I5099" s="31"/>
      <c r="J5099" s="31"/>
    </row>
    <row r="5100" spans="7:10" s="29" customFormat="1" x14ac:dyDescent="0.2">
      <c r="G5100" s="31"/>
      <c r="H5100" s="31"/>
      <c r="I5100" s="31"/>
      <c r="J5100" s="31"/>
    </row>
    <row r="5101" spans="7:10" s="29" customFormat="1" x14ac:dyDescent="0.2">
      <c r="G5101" s="31"/>
      <c r="H5101" s="31"/>
      <c r="I5101" s="31"/>
      <c r="J5101" s="31"/>
    </row>
    <row r="5102" spans="7:10" s="29" customFormat="1" x14ac:dyDescent="0.2">
      <c r="G5102" s="31"/>
      <c r="H5102" s="31"/>
      <c r="I5102" s="31"/>
      <c r="J5102" s="31"/>
    </row>
    <row r="5103" spans="7:10" s="29" customFormat="1" x14ac:dyDescent="0.2">
      <c r="G5103" s="31"/>
      <c r="H5103" s="31"/>
      <c r="I5103" s="31"/>
      <c r="J5103" s="31"/>
    </row>
    <row r="5104" spans="7:10" s="29" customFormat="1" x14ac:dyDescent="0.2">
      <c r="G5104" s="31"/>
      <c r="H5104" s="31"/>
      <c r="I5104" s="31"/>
      <c r="J5104" s="31"/>
    </row>
    <row r="5105" spans="7:10" s="29" customFormat="1" x14ac:dyDescent="0.2">
      <c r="G5105" s="31"/>
      <c r="H5105" s="31"/>
      <c r="I5105" s="31"/>
      <c r="J5105" s="31"/>
    </row>
    <row r="5106" spans="7:10" s="29" customFormat="1" x14ac:dyDescent="0.2">
      <c r="G5106" s="31"/>
      <c r="H5106" s="31"/>
      <c r="I5106" s="31"/>
      <c r="J5106" s="31"/>
    </row>
    <row r="5107" spans="7:10" s="29" customFormat="1" x14ac:dyDescent="0.2">
      <c r="G5107" s="31"/>
      <c r="H5107" s="31"/>
      <c r="I5107" s="31"/>
      <c r="J5107" s="31"/>
    </row>
    <row r="5108" spans="7:10" s="29" customFormat="1" x14ac:dyDescent="0.2">
      <c r="G5108" s="31"/>
      <c r="H5108" s="31"/>
      <c r="I5108" s="31"/>
      <c r="J5108" s="31"/>
    </row>
    <row r="5109" spans="7:10" s="29" customFormat="1" x14ac:dyDescent="0.2">
      <c r="G5109" s="31"/>
      <c r="H5109" s="31"/>
      <c r="I5109" s="31"/>
      <c r="J5109" s="31"/>
    </row>
    <row r="5110" spans="7:10" s="29" customFormat="1" x14ac:dyDescent="0.2">
      <c r="G5110" s="31"/>
      <c r="H5110" s="31"/>
      <c r="I5110" s="31"/>
      <c r="J5110" s="31"/>
    </row>
    <row r="5111" spans="7:10" s="29" customFormat="1" x14ac:dyDescent="0.2">
      <c r="G5111" s="31"/>
      <c r="H5111" s="31"/>
      <c r="I5111" s="31"/>
      <c r="J5111" s="31"/>
    </row>
    <row r="5112" spans="7:10" s="29" customFormat="1" x14ac:dyDescent="0.2">
      <c r="G5112" s="31"/>
      <c r="H5112" s="31"/>
      <c r="I5112" s="31"/>
      <c r="J5112" s="31"/>
    </row>
    <row r="5113" spans="7:10" s="29" customFormat="1" x14ac:dyDescent="0.2">
      <c r="G5113" s="31"/>
      <c r="H5113" s="31"/>
      <c r="I5113" s="31"/>
      <c r="J5113" s="31"/>
    </row>
    <row r="5114" spans="7:10" s="29" customFormat="1" x14ac:dyDescent="0.2">
      <c r="G5114" s="31"/>
      <c r="H5114" s="31"/>
      <c r="I5114" s="31"/>
      <c r="J5114" s="31"/>
    </row>
    <row r="5115" spans="7:10" s="29" customFormat="1" x14ac:dyDescent="0.2">
      <c r="G5115" s="31"/>
      <c r="H5115" s="31"/>
      <c r="I5115" s="31"/>
      <c r="J5115" s="31"/>
    </row>
    <row r="5116" spans="7:10" s="29" customFormat="1" x14ac:dyDescent="0.2">
      <c r="G5116" s="31"/>
      <c r="H5116" s="31"/>
      <c r="I5116" s="31"/>
      <c r="J5116" s="31"/>
    </row>
    <row r="5117" spans="7:10" s="29" customFormat="1" x14ac:dyDescent="0.2">
      <c r="G5117" s="31"/>
      <c r="H5117" s="31"/>
      <c r="I5117" s="31"/>
      <c r="J5117" s="31"/>
    </row>
    <row r="5118" spans="7:10" s="29" customFormat="1" x14ac:dyDescent="0.2">
      <c r="G5118" s="31"/>
      <c r="H5118" s="31"/>
      <c r="I5118" s="31"/>
      <c r="J5118" s="31"/>
    </row>
    <row r="5119" spans="7:10" s="29" customFormat="1" x14ac:dyDescent="0.2">
      <c r="G5119" s="31"/>
      <c r="H5119" s="31"/>
      <c r="I5119" s="31"/>
      <c r="J5119" s="31"/>
    </row>
    <row r="5120" spans="7:10" s="29" customFormat="1" x14ac:dyDescent="0.2">
      <c r="G5120" s="31"/>
      <c r="H5120" s="31"/>
      <c r="I5120" s="31"/>
      <c r="J5120" s="31"/>
    </row>
    <row r="5121" spans="7:10" s="29" customFormat="1" x14ac:dyDescent="0.2">
      <c r="G5121" s="31"/>
      <c r="H5121" s="31"/>
      <c r="I5121" s="31"/>
      <c r="J5121" s="31"/>
    </row>
    <row r="5122" spans="7:10" s="29" customFormat="1" x14ac:dyDescent="0.2">
      <c r="G5122" s="31"/>
      <c r="H5122" s="31"/>
      <c r="I5122" s="31"/>
      <c r="J5122" s="31"/>
    </row>
    <row r="5123" spans="7:10" s="29" customFormat="1" x14ac:dyDescent="0.2">
      <c r="G5123" s="31"/>
      <c r="H5123" s="31"/>
      <c r="I5123" s="31"/>
      <c r="J5123" s="31"/>
    </row>
    <row r="5124" spans="7:10" s="29" customFormat="1" x14ac:dyDescent="0.2">
      <c r="G5124" s="31"/>
      <c r="H5124" s="31"/>
      <c r="I5124" s="31"/>
      <c r="J5124" s="31"/>
    </row>
    <row r="5125" spans="7:10" s="29" customFormat="1" x14ac:dyDescent="0.2">
      <c r="G5125" s="31"/>
      <c r="H5125" s="31"/>
      <c r="I5125" s="31"/>
      <c r="J5125" s="31"/>
    </row>
    <row r="5126" spans="7:10" s="29" customFormat="1" x14ac:dyDescent="0.2">
      <c r="G5126" s="31"/>
      <c r="H5126" s="31"/>
      <c r="I5126" s="31"/>
      <c r="J5126" s="31"/>
    </row>
    <row r="5127" spans="7:10" s="29" customFormat="1" x14ac:dyDescent="0.2">
      <c r="G5127" s="31"/>
      <c r="H5127" s="31"/>
      <c r="I5127" s="31"/>
      <c r="J5127" s="31"/>
    </row>
    <row r="5128" spans="7:10" s="29" customFormat="1" x14ac:dyDescent="0.2">
      <c r="G5128" s="31"/>
      <c r="H5128" s="31"/>
      <c r="I5128" s="31"/>
      <c r="J5128" s="31"/>
    </row>
    <row r="5129" spans="7:10" s="29" customFormat="1" x14ac:dyDescent="0.2">
      <c r="G5129" s="31"/>
      <c r="H5129" s="31"/>
      <c r="I5129" s="31"/>
      <c r="J5129" s="31"/>
    </row>
    <row r="5130" spans="7:10" s="29" customFormat="1" x14ac:dyDescent="0.2">
      <c r="G5130" s="31"/>
      <c r="H5130" s="31"/>
      <c r="I5130" s="31"/>
      <c r="J5130" s="31"/>
    </row>
    <row r="5131" spans="7:10" s="29" customFormat="1" x14ac:dyDescent="0.2">
      <c r="G5131" s="31"/>
      <c r="H5131" s="31"/>
      <c r="I5131" s="31"/>
      <c r="J5131" s="31"/>
    </row>
    <row r="5132" spans="7:10" s="29" customFormat="1" x14ac:dyDescent="0.2">
      <c r="G5132" s="31"/>
      <c r="H5132" s="31"/>
      <c r="I5132" s="31"/>
      <c r="J5132" s="31"/>
    </row>
    <row r="5133" spans="7:10" s="29" customFormat="1" x14ac:dyDescent="0.2">
      <c r="G5133" s="31"/>
      <c r="H5133" s="31"/>
      <c r="I5133" s="31"/>
      <c r="J5133" s="31"/>
    </row>
    <row r="5134" spans="7:10" s="29" customFormat="1" x14ac:dyDescent="0.2">
      <c r="G5134" s="31"/>
      <c r="H5134" s="31"/>
      <c r="I5134" s="31"/>
      <c r="J5134" s="31"/>
    </row>
    <row r="5135" spans="7:10" s="29" customFormat="1" x14ac:dyDescent="0.2">
      <c r="G5135" s="31"/>
      <c r="H5135" s="31"/>
      <c r="I5135" s="31"/>
      <c r="J5135" s="31"/>
    </row>
    <row r="5136" spans="7:10" s="29" customFormat="1" x14ac:dyDescent="0.2">
      <c r="G5136" s="31"/>
      <c r="H5136" s="31"/>
      <c r="I5136" s="31"/>
      <c r="J5136" s="31"/>
    </row>
    <row r="5137" spans="7:10" s="29" customFormat="1" x14ac:dyDescent="0.2">
      <c r="G5137" s="31"/>
      <c r="H5137" s="31"/>
      <c r="I5137" s="31"/>
      <c r="J5137" s="31"/>
    </row>
    <row r="5138" spans="7:10" s="29" customFormat="1" x14ac:dyDescent="0.2">
      <c r="G5138" s="31"/>
      <c r="H5138" s="31"/>
      <c r="I5138" s="31"/>
      <c r="J5138" s="31"/>
    </row>
    <row r="5139" spans="7:10" s="29" customFormat="1" x14ac:dyDescent="0.2">
      <c r="G5139" s="31"/>
      <c r="H5139" s="31"/>
      <c r="I5139" s="31"/>
      <c r="J5139" s="31"/>
    </row>
    <row r="5140" spans="7:10" s="29" customFormat="1" x14ac:dyDescent="0.2">
      <c r="G5140" s="31"/>
      <c r="H5140" s="31"/>
      <c r="I5140" s="31"/>
      <c r="J5140" s="31"/>
    </row>
    <row r="5141" spans="7:10" s="29" customFormat="1" x14ac:dyDescent="0.2">
      <c r="G5141" s="31"/>
      <c r="H5141" s="31"/>
      <c r="I5141" s="31"/>
      <c r="J5141" s="31"/>
    </row>
    <row r="5142" spans="7:10" s="29" customFormat="1" x14ac:dyDescent="0.2">
      <c r="G5142" s="31"/>
      <c r="H5142" s="31"/>
      <c r="I5142" s="31"/>
      <c r="J5142" s="31"/>
    </row>
    <row r="5143" spans="7:10" s="29" customFormat="1" x14ac:dyDescent="0.2">
      <c r="G5143" s="31"/>
      <c r="H5143" s="31"/>
      <c r="I5143" s="31"/>
      <c r="J5143" s="31"/>
    </row>
    <row r="5144" spans="7:10" s="29" customFormat="1" x14ac:dyDescent="0.2">
      <c r="G5144" s="31"/>
      <c r="H5144" s="31"/>
      <c r="I5144" s="31"/>
      <c r="J5144" s="31"/>
    </row>
    <row r="5145" spans="7:10" s="29" customFormat="1" x14ac:dyDescent="0.2">
      <c r="G5145" s="31"/>
      <c r="H5145" s="31"/>
      <c r="I5145" s="31"/>
      <c r="J5145" s="31"/>
    </row>
    <row r="5146" spans="7:10" s="29" customFormat="1" x14ac:dyDescent="0.2">
      <c r="G5146" s="31"/>
      <c r="H5146" s="31"/>
      <c r="I5146" s="31"/>
      <c r="J5146" s="31"/>
    </row>
    <row r="5147" spans="7:10" s="29" customFormat="1" x14ac:dyDescent="0.2">
      <c r="G5147" s="31"/>
      <c r="H5147" s="31"/>
      <c r="I5147" s="31"/>
      <c r="J5147" s="31"/>
    </row>
    <row r="5148" spans="7:10" s="29" customFormat="1" x14ac:dyDescent="0.2">
      <c r="G5148" s="31"/>
      <c r="H5148" s="31"/>
      <c r="I5148" s="31"/>
      <c r="J5148" s="31"/>
    </row>
    <row r="5149" spans="7:10" s="29" customFormat="1" x14ac:dyDescent="0.2">
      <c r="G5149" s="31"/>
      <c r="H5149" s="31"/>
      <c r="I5149" s="31"/>
      <c r="J5149" s="31"/>
    </row>
    <row r="5150" spans="7:10" s="29" customFormat="1" x14ac:dyDescent="0.2">
      <c r="G5150" s="31"/>
      <c r="H5150" s="31"/>
      <c r="I5150" s="31"/>
      <c r="J5150" s="31"/>
    </row>
    <row r="5151" spans="7:10" s="29" customFormat="1" x14ac:dyDescent="0.2">
      <c r="G5151" s="31"/>
      <c r="H5151" s="31"/>
      <c r="I5151" s="31"/>
      <c r="J5151" s="31"/>
    </row>
    <row r="5152" spans="7:10" s="29" customFormat="1" x14ac:dyDescent="0.2">
      <c r="G5152" s="31"/>
      <c r="H5152" s="31"/>
      <c r="I5152" s="31"/>
      <c r="J5152" s="31"/>
    </row>
    <row r="5153" spans="7:10" s="29" customFormat="1" x14ac:dyDescent="0.2">
      <c r="G5153" s="31"/>
      <c r="H5153" s="31"/>
      <c r="I5153" s="31"/>
      <c r="J5153" s="31"/>
    </row>
    <row r="5154" spans="7:10" s="29" customFormat="1" x14ac:dyDescent="0.2">
      <c r="G5154" s="31"/>
      <c r="H5154" s="31"/>
      <c r="I5154" s="31"/>
      <c r="J5154" s="31"/>
    </row>
    <row r="5155" spans="7:10" s="29" customFormat="1" x14ac:dyDescent="0.2">
      <c r="G5155" s="31"/>
      <c r="H5155" s="31"/>
      <c r="I5155" s="31"/>
      <c r="J5155" s="31"/>
    </row>
    <row r="5156" spans="7:10" s="29" customFormat="1" x14ac:dyDescent="0.2">
      <c r="G5156" s="31"/>
      <c r="H5156" s="31"/>
      <c r="I5156" s="31"/>
      <c r="J5156" s="31"/>
    </row>
    <row r="5157" spans="7:10" s="29" customFormat="1" x14ac:dyDescent="0.2">
      <c r="G5157" s="31"/>
      <c r="H5157" s="31"/>
      <c r="I5157" s="31"/>
      <c r="J5157" s="31"/>
    </row>
    <row r="5158" spans="7:10" s="29" customFormat="1" x14ac:dyDescent="0.2">
      <c r="G5158" s="31"/>
      <c r="H5158" s="31"/>
      <c r="I5158" s="31"/>
      <c r="J5158" s="31"/>
    </row>
    <row r="5159" spans="7:10" s="29" customFormat="1" x14ac:dyDescent="0.2">
      <c r="G5159" s="31"/>
      <c r="H5159" s="31"/>
      <c r="I5159" s="31"/>
      <c r="J5159" s="31"/>
    </row>
    <row r="5160" spans="7:10" s="29" customFormat="1" x14ac:dyDescent="0.2">
      <c r="G5160" s="31"/>
      <c r="H5160" s="31"/>
      <c r="I5160" s="31"/>
      <c r="J5160" s="31"/>
    </row>
    <row r="5161" spans="7:10" s="29" customFormat="1" x14ac:dyDescent="0.2">
      <c r="G5161" s="31"/>
      <c r="H5161" s="31"/>
      <c r="I5161" s="31"/>
      <c r="J5161" s="31"/>
    </row>
    <row r="5162" spans="7:10" s="29" customFormat="1" x14ac:dyDescent="0.2">
      <c r="G5162" s="31"/>
      <c r="H5162" s="31"/>
      <c r="I5162" s="31"/>
      <c r="J5162" s="31"/>
    </row>
    <row r="5163" spans="7:10" s="29" customFormat="1" x14ac:dyDescent="0.2">
      <c r="G5163" s="31"/>
      <c r="H5163" s="31"/>
      <c r="I5163" s="31"/>
      <c r="J5163" s="31"/>
    </row>
    <row r="5164" spans="7:10" s="29" customFormat="1" x14ac:dyDescent="0.2">
      <c r="G5164" s="31"/>
      <c r="H5164" s="31"/>
      <c r="I5164" s="31"/>
      <c r="J5164" s="31"/>
    </row>
    <row r="5165" spans="7:10" s="29" customFormat="1" x14ac:dyDescent="0.2">
      <c r="G5165" s="31"/>
      <c r="H5165" s="31"/>
      <c r="I5165" s="31"/>
      <c r="J5165" s="31"/>
    </row>
    <row r="5166" spans="7:10" s="29" customFormat="1" x14ac:dyDescent="0.2">
      <c r="G5166" s="31"/>
      <c r="H5166" s="31"/>
      <c r="I5166" s="31"/>
      <c r="J5166" s="31"/>
    </row>
    <row r="5167" spans="7:10" s="29" customFormat="1" x14ac:dyDescent="0.2">
      <c r="G5167" s="31"/>
      <c r="H5167" s="31"/>
      <c r="I5167" s="31"/>
      <c r="J5167" s="31"/>
    </row>
    <row r="5168" spans="7:10" s="29" customFormat="1" x14ac:dyDescent="0.2">
      <c r="G5168" s="31"/>
      <c r="H5168" s="31"/>
      <c r="I5168" s="31"/>
      <c r="J5168" s="31"/>
    </row>
    <row r="5169" spans="7:10" s="29" customFormat="1" x14ac:dyDescent="0.2">
      <c r="G5169" s="31"/>
      <c r="H5169" s="31"/>
      <c r="I5169" s="31"/>
      <c r="J5169" s="31"/>
    </row>
    <row r="5170" spans="7:10" s="29" customFormat="1" x14ac:dyDescent="0.2">
      <c r="G5170" s="31"/>
      <c r="H5170" s="31"/>
      <c r="I5170" s="31"/>
      <c r="J5170" s="31"/>
    </row>
    <row r="5171" spans="7:10" s="29" customFormat="1" x14ac:dyDescent="0.2">
      <c r="G5171" s="31"/>
      <c r="H5171" s="31"/>
      <c r="I5171" s="31"/>
      <c r="J5171" s="31"/>
    </row>
    <row r="5172" spans="7:10" s="29" customFormat="1" x14ac:dyDescent="0.2">
      <c r="G5172" s="31"/>
      <c r="H5172" s="31"/>
      <c r="I5172" s="31"/>
      <c r="J5172" s="31"/>
    </row>
    <row r="5173" spans="7:10" s="29" customFormat="1" x14ac:dyDescent="0.2">
      <c r="G5173" s="31"/>
      <c r="H5173" s="31"/>
      <c r="I5173" s="31"/>
      <c r="J5173" s="31"/>
    </row>
    <row r="5174" spans="7:10" s="29" customFormat="1" x14ac:dyDescent="0.2">
      <c r="G5174" s="31"/>
      <c r="H5174" s="31"/>
      <c r="I5174" s="31"/>
      <c r="J5174" s="31"/>
    </row>
    <row r="5175" spans="7:10" s="29" customFormat="1" x14ac:dyDescent="0.2">
      <c r="G5175" s="31"/>
      <c r="H5175" s="31"/>
      <c r="I5175" s="31"/>
      <c r="J5175" s="31"/>
    </row>
    <row r="5176" spans="7:10" s="29" customFormat="1" x14ac:dyDescent="0.2">
      <c r="G5176" s="31"/>
      <c r="H5176" s="31"/>
      <c r="I5176" s="31"/>
      <c r="J5176" s="31"/>
    </row>
    <row r="5177" spans="7:10" s="29" customFormat="1" x14ac:dyDescent="0.2">
      <c r="G5177" s="31"/>
      <c r="H5177" s="31"/>
      <c r="I5177" s="31"/>
      <c r="J5177" s="31"/>
    </row>
    <row r="5178" spans="7:10" s="29" customFormat="1" x14ac:dyDescent="0.2">
      <c r="G5178" s="31"/>
      <c r="H5178" s="31"/>
      <c r="I5178" s="31"/>
      <c r="J5178" s="31"/>
    </row>
    <row r="5179" spans="7:10" s="29" customFormat="1" x14ac:dyDescent="0.2">
      <c r="G5179" s="31"/>
      <c r="H5179" s="31"/>
      <c r="I5179" s="31"/>
      <c r="J5179" s="31"/>
    </row>
    <row r="5180" spans="7:10" s="29" customFormat="1" x14ac:dyDescent="0.2">
      <c r="G5180" s="31"/>
      <c r="H5180" s="31"/>
      <c r="I5180" s="31"/>
      <c r="J5180" s="31"/>
    </row>
    <row r="5181" spans="7:10" s="29" customFormat="1" x14ac:dyDescent="0.2">
      <c r="G5181" s="31"/>
      <c r="H5181" s="31"/>
      <c r="I5181" s="31"/>
      <c r="J5181" s="31"/>
    </row>
    <row r="5182" spans="7:10" s="29" customFormat="1" x14ac:dyDescent="0.2">
      <c r="G5182" s="31"/>
      <c r="H5182" s="31"/>
      <c r="I5182" s="31"/>
      <c r="J5182" s="31"/>
    </row>
    <row r="5183" spans="7:10" s="29" customFormat="1" x14ac:dyDescent="0.2">
      <c r="G5183" s="31"/>
      <c r="H5183" s="31"/>
      <c r="I5183" s="31"/>
      <c r="J5183" s="31"/>
    </row>
    <row r="5184" spans="7:10" s="29" customFormat="1" x14ac:dyDescent="0.2">
      <c r="G5184" s="31"/>
      <c r="H5184" s="31"/>
      <c r="I5184" s="31"/>
      <c r="J5184" s="31"/>
    </row>
    <row r="5185" spans="7:10" s="29" customFormat="1" x14ac:dyDescent="0.2">
      <c r="G5185" s="31"/>
      <c r="H5185" s="31"/>
      <c r="I5185" s="31"/>
      <c r="J5185" s="31"/>
    </row>
    <row r="5186" spans="7:10" s="29" customFormat="1" x14ac:dyDescent="0.2">
      <c r="G5186" s="31"/>
      <c r="H5186" s="31"/>
      <c r="I5186" s="31"/>
      <c r="J5186" s="31"/>
    </row>
    <row r="5187" spans="7:10" s="29" customFormat="1" x14ac:dyDescent="0.2">
      <c r="G5187" s="31"/>
      <c r="H5187" s="31"/>
      <c r="I5187" s="31"/>
      <c r="J5187" s="31"/>
    </row>
    <row r="5188" spans="7:10" s="29" customFormat="1" x14ac:dyDescent="0.2">
      <c r="G5188" s="31"/>
      <c r="H5188" s="31"/>
      <c r="I5188" s="31"/>
      <c r="J5188" s="31"/>
    </row>
    <row r="5189" spans="7:10" s="29" customFormat="1" x14ac:dyDescent="0.2">
      <c r="G5189" s="31"/>
      <c r="H5189" s="31"/>
      <c r="I5189" s="31"/>
      <c r="J5189" s="31"/>
    </row>
    <row r="5190" spans="7:10" s="29" customFormat="1" x14ac:dyDescent="0.2">
      <c r="G5190" s="31"/>
      <c r="H5190" s="31"/>
      <c r="I5190" s="31"/>
      <c r="J5190" s="31"/>
    </row>
    <row r="5191" spans="7:10" s="29" customFormat="1" x14ac:dyDescent="0.2">
      <c r="G5191" s="31"/>
      <c r="H5191" s="31"/>
      <c r="I5191" s="31"/>
      <c r="J5191" s="31"/>
    </row>
    <row r="5192" spans="7:10" s="29" customFormat="1" x14ac:dyDescent="0.2">
      <c r="G5192" s="31"/>
      <c r="H5192" s="31"/>
      <c r="I5192" s="31"/>
      <c r="J5192" s="31"/>
    </row>
    <row r="5193" spans="7:10" s="29" customFormat="1" x14ac:dyDescent="0.2">
      <c r="G5193" s="31"/>
      <c r="H5193" s="31"/>
      <c r="I5193" s="31"/>
      <c r="J5193" s="31"/>
    </row>
    <row r="5194" spans="7:10" s="29" customFormat="1" x14ac:dyDescent="0.2">
      <c r="G5194" s="31"/>
      <c r="H5194" s="31"/>
      <c r="I5194" s="31"/>
      <c r="J5194" s="31"/>
    </row>
    <row r="5195" spans="7:10" s="29" customFormat="1" x14ac:dyDescent="0.2">
      <c r="G5195" s="31"/>
      <c r="H5195" s="31"/>
      <c r="I5195" s="31"/>
      <c r="J5195" s="31"/>
    </row>
    <row r="5196" spans="7:10" s="29" customFormat="1" x14ac:dyDescent="0.2">
      <c r="G5196" s="31"/>
      <c r="H5196" s="31"/>
      <c r="I5196" s="31"/>
      <c r="J5196" s="31"/>
    </row>
    <row r="5197" spans="7:10" s="29" customFormat="1" x14ac:dyDescent="0.2">
      <c r="G5197" s="31"/>
      <c r="H5197" s="31"/>
      <c r="I5197" s="31"/>
      <c r="J5197" s="31"/>
    </row>
    <row r="5198" spans="7:10" s="29" customFormat="1" x14ac:dyDescent="0.2">
      <c r="G5198" s="31"/>
      <c r="H5198" s="31"/>
      <c r="I5198" s="31"/>
      <c r="J5198" s="31"/>
    </row>
    <row r="5199" spans="7:10" s="29" customFormat="1" x14ac:dyDescent="0.2">
      <c r="G5199" s="31"/>
      <c r="H5199" s="31"/>
      <c r="I5199" s="31"/>
      <c r="J5199" s="31"/>
    </row>
    <row r="5200" spans="7:10" s="29" customFormat="1" x14ac:dyDescent="0.2">
      <c r="G5200" s="31"/>
      <c r="H5200" s="31"/>
      <c r="I5200" s="31"/>
      <c r="J5200" s="31"/>
    </row>
    <row r="5201" spans="7:10" s="29" customFormat="1" x14ac:dyDescent="0.2">
      <c r="G5201" s="31"/>
      <c r="H5201" s="31"/>
      <c r="I5201" s="31"/>
      <c r="J5201" s="31"/>
    </row>
    <row r="5202" spans="7:10" s="29" customFormat="1" x14ac:dyDescent="0.2">
      <c r="G5202" s="31"/>
      <c r="H5202" s="31"/>
      <c r="I5202" s="31"/>
      <c r="J5202" s="31"/>
    </row>
    <row r="5203" spans="7:10" s="29" customFormat="1" x14ac:dyDescent="0.2">
      <c r="G5203" s="31"/>
      <c r="H5203" s="31"/>
      <c r="I5203" s="31"/>
      <c r="J5203" s="31"/>
    </row>
    <row r="5204" spans="7:10" s="29" customFormat="1" x14ac:dyDescent="0.2">
      <c r="G5204" s="31"/>
      <c r="H5204" s="31"/>
      <c r="I5204" s="31"/>
      <c r="J5204" s="31"/>
    </row>
    <row r="5205" spans="7:10" s="29" customFormat="1" x14ac:dyDescent="0.2">
      <c r="G5205" s="31"/>
      <c r="H5205" s="31"/>
      <c r="I5205" s="31"/>
      <c r="J5205" s="31"/>
    </row>
    <row r="5206" spans="7:10" s="29" customFormat="1" x14ac:dyDescent="0.2">
      <c r="G5206" s="31"/>
      <c r="H5206" s="31"/>
      <c r="I5206" s="31"/>
      <c r="J5206" s="31"/>
    </row>
    <row r="5207" spans="7:10" s="29" customFormat="1" x14ac:dyDescent="0.2">
      <c r="G5207" s="31"/>
      <c r="H5207" s="31"/>
      <c r="I5207" s="31"/>
      <c r="J5207" s="31"/>
    </row>
    <row r="5208" spans="7:10" s="29" customFormat="1" x14ac:dyDescent="0.2">
      <c r="G5208" s="31"/>
      <c r="H5208" s="31"/>
      <c r="I5208" s="31"/>
      <c r="J5208" s="31"/>
    </row>
    <row r="5209" spans="7:10" s="29" customFormat="1" x14ac:dyDescent="0.2">
      <c r="G5209" s="31"/>
      <c r="H5209" s="31"/>
      <c r="I5209" s="31"/>
      <c r="J5209" s="31"/>
    </row>
    <row r="5210" spans="7:10" s="29" customFormat="1" x14ac:dyDescent="0.2">
      <c r="G5210" s="31"/>
      <c r="H5210" s="31"/>
      <c r="I5210" s="31"/>
      <c r="J5210" s="31"/>
    </row>
    <row r="5211" spans="7:10" s="29" customFormat="1" x14ac:dyDescent="0.2">
      <c r="G5211" s="31"/>
      <c r="H5211" s="31"/>
      <c r="I5211" s="31"/>
      <c r="J5211" s="31"/>
    </row>
    <row r="5212" spans="7:10" s="29" customFormat="1" x14ac:dyDescent="0.2">
      <c r="G5212" s="31"/>
      <c r="H5212" s="31"/>
      <c r="I5212" s="31"/>
      <c r="J5212" s="31"/>
    </row>
    <row r="5213" spans="7:10" s="29" customFormat="1" x14ac:dyDescent="0.2">
      <c r="G5213" s="31"/>
      <c r="H5213" s="31"/>
      <c r="I5213" s="31"/>
      <c r="J5213" s="31"/>
    </row>
    <row r="5214" spans="7:10" s="29" customFormat="1" x14ac:dyDescent="0.2">
      <c r="G5214" s="31"/>
      <c r="H5214" s="31"/>
      <c r="I5214" s="31"/>
      <c r="J5214" s="31"/>
    </row>
    <row r="5215" spans="7:10" s="29" customFormat="1" x14ac:dyDescent="0.2">
      <c r="G5215" s="31"/>
      <c r="H5215" s="31"/>
      <c r="I5215" s="31"/>
      <c r="J5215" s="31"/>
    </row>
    <row r="5216" spans="7:10" s="29" customFormat="1" x14ac:dyDescent="0.2">
      <c r="G5216" s="31"/>
      <c r="H5216" s="31"/>
      <c r="I5216" s="31"/>
      <c r="J5216" s="31"/>
    </row>
    <row r="5217" spans="7:10" s="29" customFormat="1" x14ac:dyDescent="0.2">
      <c r="G5217" s="31"/>
      <c r="H5217" s="31"/>
      <c r="I5217" s="31"/>
      <c r="J5217" s="31"/>
    </row>
    <row r="5218" spans="7:10" s="29" customFormat="1" x14ac:dyDescent="0.2">
      <c r="G5218" s="31"/>
      <c r="H5218" s="31"/>
      <c r="I5218" s="31"/>
      <c r="J5218" s="31"/>
    </row>
    <row r="5219" spans="7:10" s="29" customFormat="1" x14ac:dyDescent="0.2">
      <c r="G5219" s="31"/>
      <c r="H5219" s="31"/>
      <c r="I5219" s="31"/>
      <c r="J5219" s="31"/>
    </row>
    <row r="5220" spans="7:10" s="29" customFormat="1" x14ac:dyDescent="0.2">
      <c r="G5220" s="31"/>
      <c r="H5220" s="31"/>
      <c r="I5220" s="31"/>
      <c r="J5220" s="31"/>
    </row>
    <row r="5221" spans="7:10" s="29" customFormat="1" x14ac:dyDescent="0.2">
      <c r="G5221" s="31"/>
      <c r="H5221" s="31"/>
      <c r="I5221" s="31"/>
      <c r="J5221" s="31"/>
    </row>
    <row r="5222" spans="7:10" s="29" customFormat="1" x14ac:dyDescent="0.2">
      <c r="G5222" s="31"/>
      <c r="H5222" s="31"/>
      <c r="I5222" s="31"/>
      <c r="J5222" s="31"/>
    </row>
    <row r="5223" spans="7:10" s="29" customFormat="1" x14ac:dyDescent="0.2">
      <c r="G5223" s="31"/>
      <c r="H5223" s="31"/>
      <c r="I5223" s="31"/>
      <c r="J5223" s="31"/>
    </row>
    <row r="5224" spans="7:10" s="29" customFormat="1" x14ac:dyDescent="0.2">
      <c r="G5224" s="31"/>
      <c r="H5224" s="31"/>
      <c r="I5224" s="31"/>
      <c r="J5224" s="31"/>
    </row>
    <row r="5225" spans="7:10" s="29" customFormat="1" x14ac:dyDescent="0.2">
      <c r="G5225" s="31"/>
      <c r="H5225" s="31"/>
      <c r="I5225" s="31"/>
      <c r="J5225" s="31"/>
    </row>
    <row r="5226" spans="7:10" s="29" customFormat="1" x14ac:dyDescent="0.2">
      <c r="G5226" s="31"/>
      <c r="H5226" s="31"/>
      <c r="I5226" s="31"/>
      <c r="J5226" s="31"/>
    </row>
    <row r="5227" spans="7:10" s="29" customFormat="1" x14ac:dyDescent="0.2">
      <c r="G5227" s="31"/>
      <c r="H5227" s="31"/>
      <c r="I5227" s="31"/>
      <c r="J5227" s="31"/>
    </row>
    <row r="5228" spans="7:10" s="29" customFormat="1" x14ac:dyDescent="0.2">
      <c r="G5228" s="31"/>
      <c r="H5228" s="31"/>
      <c r="I5228" s="31"/>
      <c r="J5228" s="31"/>
    </row>
    <row r="5229" spans="7:10" s="29" customFormat="1" x14ac:dyDescent="0.2">
      <c r="G5229" s="31"/>
      <c r="H5229" s="31"/>
      <c r="I5229" s="31"/>
      <c r="J5229" s="31"/>
    </row>
    <row r="5230" spans="7:10" s="29" customFormat="1" x14ac:dyDescent="0.2">
      <c r="G5230" s="31"/>
      <c r="H5230" s="31"/>
      <c r="I5230" s="31"/>
      <c r="J5230" s="31"/>
    </row>
    <row r="5231" spans="7:10" s="29" customFormat="1" x14ac:dyDescent="0.2">
      <c r="G5231" s="31"/>
      <c r="H5231" s="31"/>
      <c r="I5231" s="31"/>
      <c r="J5231" s="31"/>
    </row>
    <row r="5232" spans="7:10" s="29" customFormat="1" x14ac:dyDescent="0.2">
      <c r="G5232" s="31"/>
      <c r="H5232" s="31"/>
      <c r="I5232" s="31"/>
      <c r="J5232" s="31"/>
    </row>
    <row r="5233" spans="7:10" s="29" customFormat="1" x14ac:dyDescent="0.2">
      <c r="G5233" s="31"/>
      <c r="H5233" s="31"/>
      <c r="I5233" s="31"/>
      <c r="J5233" s="31"/>
    </row>
    <row r="5234" spans="7:10" s="29" customFormat="1" x14ac:dyDescent="0.2">
      <c r="G5234" s="31"/>
      <c r="H5234" s="31"/>
      <c r="I5234" s="31"/>
      <c r="J5234" s="31"/>
    </row>
    <row r="5235" spans="7:10" s="29" customFormat="1" x14ac:dyDescent="0.2">
      <c r="G5235" s="31"/>
      <c r="H5235" s="31"/>
      <c r="I5235" s="31"/>
      <c r="J5235" s="31"/>
    </row>
    <row r="5236" spans="7:10" s="29" customFormat="1" x14ac:dyDescent="0.2">
      <c r="G5236" s="31"/>
      <c r="H5236" s="31"/>
      <c r="I5236" s="31"/>
      <c r="J5236" s="31"/>
    </row>
    <row r="5237" spans="7:10" s="29" customFormat="1" x14ac:dyDescent="0.2">
      <c r="G5237" s="31"/>
      <c r="H5237" s="31"/>
      <c r="I5237" s="31"/>
      <c r="J5237" s="31"/>
    </row>
    <row r="5238" spans="7:10" s="29" customFormat="1" x14ac:dyDescent="0.2">
      <c r="G5238" s="31"/>
      <c r="H5238" s="31"/>
      <c r="I5238" s="31"/>
      <c r="J5238" s="31"/>
    </row>
    <row r="5239" spans="7:10" s="29" customFormat="1" x14ac:dyDescent="0.2">
      <c r="G5239" s="31"/>
      <c r="H5239" s="31"/>
      <c r="I5239" s="31"/>
      <c r="J5239" s="31"/>
    </row>
    <row r="5240" spans="7:10" s="29" customFormat="1" x14ac:dyDescent="0.2">
      <c r="G5240" s="31"/>
      <c r="H5240" s="31"/>
      <c r="I5240" s="31"/>
      <c r="J5240" s="31"/>
    </row>
    <row r="5241" spans="7:10" s="29" customFormat="1" x14ac:dyDescent="0.2">
      <c r="G5241" s="31"/>
      <c r="H5241" s="31"/>
      <c r="I5241" s="31"/>
      <c r="J5241" s="31"/>
    </row>
    <row r="5242" spans="7:10" s="29" customFormat="1" x14ac:dyDescent="0.2">
      <c r="G5242" s="31"/>
      <c r="H5242" s="31"/>
      <c r="I5242" s="31"/>
      <c r="J5242" s="31"/>
    </row>
    <row r="5243" spans="7:10" s="29" customFormat="1" x14ac:dyDescent="0.2">
      <c r="G5243" s="31"/>
      <c r="H5243" s="31"/>
      <c r="I5243" s="31"/>
      <c r="J5243" s="31"/>
    </row>
    <row r="5244" spans="7:10" s="29" customFormat="1" x14ac:dyDescent="0.2">
      <c r="G5244" s="31"/>
      <c r="H5244" s="31"/>
      <c r="I5244" s="31"/>
      <c r="J5244" s="31"/>
    </row>
    <row r="5245" spans="7:10" s="29" customFormat="1" x14ac:dyDescent="0.2">
      <c r="G5245" s="31"/>
      <c r="H5245" s="31"/>
      <c r="I5245" s="31"/>
      <c r="J5245" s="31"/>
    </row>
    <row r="5246" spans="7:10" s="29" customFormat="1" x14ac:dyDescent="0.2">
      <c r="G5246" s="31"/>
      <c r="H5246" s="31"/>
      <c r="I5246" s="31"/>
      <c r="J5246" s="31"/>
    </row>
    <row r="5247" spans="7:10" s="29" customFormat="1" x14ac:dyDescent="0.2">
      <c r="G5247" s="31"/>
      <c r="H5247" s="31"/>
      <c r="I5247" s="31"/>
      <c r="J5247" s="31"/>
    </row>
    <row r="5248" spans="7:10" s="29" customFormat="1" x14ac:dyDescent="0.2">
      <c r="G5248" s="31"/>
      <c r="H5248" s="31"/>
      <c r="I5248" s="31"/>
      <c r="J5248" s="31"/>
    </row>
    <row r="5249" spans="7:10" s="29" customFormat="1" x14ac:dyDescent="0.2">
      <c r="G5249" s="31"/>
      <c r="H5249" s="31"/>
      <c r="I5249" s="31"/>
      <c r="J5249" s="31"/>
    </row>
    <row r="5250" spans="7:10" s="29" customFormat="1" x14ac:dyDescent="0.2">
      <c r="G5250" s="31"/>
      <c r="H5250" s="31"/>
      <c r="I5250" s="31"/>
      <c r="J5250" s="31"/>
    </row>
    <row r="5251" spans="7:10" s="29" customFormat="1" x14ac:dyDescent="0.2">
      <c r="G5251" s="31"/>
      <c r="H5251" s="31"/>
      <c r="I5251" s="31"/>
      <c r="J5251" s="31"/>
    </row>
    <row r="5252" spans="7:10" s="29" customFormat="1" x14ac:dyDescent="0.2">
      <c r="G5252" s="31"/>
      <c r="H5252" s="31"/>
      <c r="I5252" s="31"/>
      <c r="J5252" s="31"/>
    </row>
    <row r="5253" spans="7:10" s="29" customFormat="1" x14ac:dyDescent="0.2">
      <c r="G5253" s="31"/>
      <c r="H5253" s="31"/>
      <c r="I5253" s="31"/>
      <c r="J5253" s="31"/>
    </row>
    <row r="5254" spans="7:10" s="29" customFormat="1" x14ac:dyDescent="0.2">
      <c r="G5254" s="31"/>
      <c r="H5254" s="31"/>
      <c r="I5254" s="31"/>
      <c r="J5254" s="31"/>
    </row>
    <row r="5255" spans="7:10" s="29" customFormat="1" x14ac:dyDescent="0.2">
      <c r="G5255" s="31"/>
      <c r="H5255" s="31"/>
      <c r="I5255" s="31"/>
      <c r="J5255" s="31"/>
    </row>
    <row r="5256" spans="7:10" s="29" customFormat="1" x14ac:dyDescent="0.2">
      <c r="G5256" s="31"/>
      <c r="H5256" s="31"/>
      <c r="I5256" s="31"/>
      <c r="J5256" s="31"/>
    </row>
    <row r="5257" spans="7:10" s="29" customFormat="1" x14ac:dyDescent="0.2">
      <c r="G5257" s="31"/>
      <c r="H5257" s="31"/>
      <c r="I5257" s="31"/>
      <c r="J5257" s="31"/>
    </row>
    <row r="5258" spans="7:10" s="29" customFormat="1" x14ac:dyDescent="0.2">
      <c r="G5258" s="31"/>
      <c r="H5258" s="31"/>
      <c r="I5258" s="31"/>
      <c r="J5258" s="31"/>
    </row>
    <row r="5259" spans="7:10" s="29" customFormat="1" x14ac:dyDescent="0.2">
      <c r="G5259" s="31"/>
      <c r="H5259" s="31"/>
      <c r="I5259" s="31"/>
      <c r="J5259" s="31"/>
    </row>
    <row r="5260" spans="7:10" s="29" customFormat="1" x14ac:dyDescent="0.2">
      <c r="G5260" s="31"/>
      <c r="H5260" s="31"/>
      <c r="I5260" s="31"/>
      <c r="J5260" s="31"/>
    </row>
    <row r="5261" spans="7:10" s="29" customFormat="1" x14ac:dyDescent="0.2">
      <c r="G5261" s="31"/>
      <c r="H5261" s="31"/>
      <c r="I5261" s="31"/>
      <c r="J5261" s="31"/>
    </row>
    <row r="5262" spans="7:10" s="29" customFormat="1" x14ac:dyDescent="0.2">
      <c r="G5262" s="31"/>
      <c r="H5262" s="31"/>
      <c r="I5262" s="31"/>
      <c r="J5262" s="31"/>
    </row>
    <row r="5263" spans="7:10" s="29" customFormat="1" x14ac:dyDescent="0.2">
      <c r="G5263" s="31"/>
      <c r="H5263" s="31"/>
      <c r="I5263" s="31"/>
      <c r="J5263" s="31"/>
    </row>
    <row r="5264" spans="7:10" s="29" customFormat="1" x14ac:dyDescent="0.2">
      <c r="G5264" s="31"/>
      <c r="H5264" s="31"/>
      <c r="I5264" s="31"/>
      <c r="J5264" s="31"/>
    </row>
    <row r="5265" spans="7:10" s="29" customFormat="1" x14ac:dyDescent="0.2">
      <c r="G5265" s="31"/>
      <c r="H5265" s="31"/>
      <c r="I5265" s="31"/>
      <c r="J5265" s="31"/>
    </row>
    <row r="5266" spans="7:10" s="29" customFormat="1" x14ac:dyDescent="0.2">
      <c r="G5266" s="31"/>
      <c r="H5266" s="31"/>
      <c r="I5266" s="31"/>
      <c r="J5266" s="31"/>
    </row>
    <row r="5267" spans="7:10" s="29" customFormat="1" x14ac:dyDescent="0.2">
      <c r="G5267" s="31"/>
      <c r="H5267" s="31"/>
      <c r="I5267" s="31"/>
      <c r="J5267" s="31"/>
    </row>
    <row r="5268" spans="7:10" s="29" customFormat="1" x14ac:dyDescent="0.2">
      <c r="G5268" s="31"/>
      <c r="H5268" s="31"/>
      <c r="I5268" s="31"/>
      <c r="J5268" s="31"/>
    </row>
    <row r="5269" spans="7:10" s="29" customFormat="1" x14ac:dyDescent="0.2">
      <c r="G5269" s="31"/>
      <c r="H5269" s="31"/>
      <c r="I5269" s="31"/>
      <c r="J5269" s="31"/>
    </row>
    <row r="5270" spans="7:10" s="29" customFormat="1" x14ac:dyDescent="0.2">
      <c r="G5270" s="31"/>
      <c r="H5270" s="31"/>
      <c r="I5270" s="31"/>
      <c r="J5270" s="31"/>
    </row>
    <row r="5271" spans="7:10" s="29" customFormat="1" x14ac:dyDescent="0.2">
      <c r="G5271" s="31"/>
      <c r="H5271" s="31"/>
      <c r="I5271" s="31"/>
      <c r="J5271" s="31"/>
    </row>
    <row r="5272" spans="7:10" s="29" customFormat="1" x14ac:dyDescent="0.2">
      <c r="G5272" s="31"/>
      <c r="H5272" s="31"/>
      <c r="I5272" s="31"/>
      <c r="J5272" s="31"/>
    </row>
    <row r="5273" spans="7:10" s="29" customFormat="1" x14ac:dyDescent="0.2">
      <c r="G5273" s="31"/>
      <c r="H5273" s="31"/>
      <c r="I5273" s="31"/>
      <c r="J5273" s="31"/>
    </row>
    <row r="5274" spans="7:10" s="29" customFormat="1" x14ac:dyDescent="0.2">
      <c r="G5274" s="31"/>
      <c r="H5274" s="31"/>
      <c r="I5274" s="31"/>
      <c r="J5274" s="31"/>
    </row>
    <row r="5275" spans="7:10" s="29" customFormat="1" x14ac:dyDescent="0.2">
      <c r="G5275" s="31"/>
      <c r="H5275" s="31"/>
      <c r="I5275" s="31"/>
      <c r="J5275" s="31"/>
    </row>
    <row r="5276" spans="7:10" s="29" customFormat="1" x14ac:dyDescent="0.2">
      <c r="G5276" s="31"/>
      <c r="H5276" s="31"/>
      <c r="I5276" s="31"/>
      <c r="J5276" s="31"/>
    </row>
    <row r="5277" spans="7:10" s="29" customFormat="1" x14ac:dyDescent="0.2">
      <c r="G5277" s="31"/>
      <c r="H5277" s="31"/>
      <c r="I5277" s="31"/>
      <c r="J5277" s="31"/>
    </row>
    <row r="5278" spans="7:10" s="29" customFormat="1" x14ac:dyDescent="0.2">
      <c r="G5278" s="31"/>
      <c r="H5278" s="31"/>
      <c r="I5278" s="31"/>
      <c r="J5278" s="31"/>
    </row>
    <row r="5279" spans="7:10" s="29" customFormat="1" x14ac:dyDescent="0.2">
      <c r="G5279" s="31"/>
      <c r="H5279" s="31"/>
      <c r="I5279" s="31"/>
      <c r="J5279" s="31"/>
    </row>
    <row r="5280" spans="7:10" s="29" customFormat="1" x14ac:dyDescent="0.2">
      <c r="G5280" s="31"/>
      <c r="H5280" s="31"/>
      <c r="I5280" s="31"/>
      <c r="J5280" s="31"/>
    </row>
    <row r="5281" spans="7:10" s="29" customFormat="1" x14ac:dyDescent="0.2">
      <c r="G5281" s="31"/>
      <c r="H5281" s="31"/>
      <c r="I5281" s="31"/>
      <c r="J5281" s="31"/>
    </row>
    <row r="5282" spans="7:10" s="29" customFormat="1" x14ac:dyDescent="0.2">
      <c r="G5282" s="31"/>
      <c r="H5282" s="31"/>
      <c r="I5282" s="31"/>
      <c r="J5282" s="31"/>
    </row>
    <row r="5283" spans="7:10" s="29" customFormat="1" x14ac:dyDescent="0.2">
      <c r="G5283" s="31"/>
      <c r="H5283" s="31"/>
      <c r="I5283" s="31"/>
      <c r="J5283" s="31"/>
    </row>
    <row r="5284" spans="7:10" s="29" customFormat="1" x14ac:dyDescent="0.2">
      <c r="G5284" s="31"/>
      <c r="H5284" s="31"/>
      <c r="I5284" s="31"/>
      <c r="J5284" s="31"/>
    </row>
    <row r="5285" spans="7:10" s="29" customFormat="1" x14ac:dyDescent="0.2">
      <c r="G5285" s="31"/>
      <c r="H5285" s="31"/>
      <c r="I5285" s="31"/>
      <c r="J5285" s="31"/>
    </row>
    <row r="5286" spans="7:10" s="29" customFormat="1" x14ac:dyDescent="0.2">
      <c r="G5286" s="31"/>
      <c r="H5286" s="31"/>
      <c r="I5286" s="31"/>
      <c r="J5286" s="31"/>
    </row>
    <row r="5287" spans="7:10" s="29" customFormat="1" x14ac:dyDescent="0.2">
      <c r="G5287" s="31"/>
      <c r="H5287" s="31"/>
      <c r="I5287" s="31"/>
      <c r="J5287" s="31"/>
    </row>
    <row r="5288" spans="7:10" s="29" customFormat="1" x14ac:dyDescent="0.2">
      <c r="G5288" s="31"/>
      <c r="H5288" s="31"/>
      <c r="I5288" s="31"/>
      <c r="J5288" s="31"/>
    </row>
    <row r="5289" spans="7:10" s="29" customFormat="1" x14ac:dyDescent="0.2">
      <c r="G5289" s="31"/>
      <c r="H5289" s="31"/>
      <c r="I5289" s="31"/>
      <c r="J5289" s="31"/>
    </row>
    <row r="5290" spans="7:10" s="29" customFormat="1" x14ac:dyDescent="0.2">
      <c r="G5290" s="31"/>
      <c r="H5290" s="31"/>
      <c r="I5290" s="31"/>
      <c r="J5290" s="31"/>
    </row>
    <row r="5291" spans="7:10" s="29" customFormat="1" x14ac:dyDescent="0.2">
      <c r="G5291" s="31"/>
      <c r="H5291" s="31"/>
      <c r="I5291" s="31"/>
      <c r="J5291" s="31"/>
    </row>
    <row r="5292" spans="7:10" s="29" customFormat="1" x14ac:dyDescent="0.2">
      <c r="G5292" s="31"/>
      <c r="H5292" s="31"/>
      <c r="I5292" s="31"/>
      <c r="J5292" s="31"/>
    </row>
    <row r="5293" spans="7:10" s="29" customFormat="1" x14ac:dyDescent="0.2">
      <c r="G5293" s="31"/>
      <c r="H5293" s="31"/>
      <c r="I5293" s="31"/>
      <c r="J5293" s="31"/>
    </row>
    <row r="5294" spans="7:10" s="29" customFormat="1" x14ac:dyDescent="0.2">
      <c r="G5294" s="31"/>
      <c r="H5294" s="31"/>
      <c r="I5294" s="31"/>
      <c r="J5294" s="31"/>
    </row>
    <row r="5295" spans="7:10" s="29" customFormat="1" x14ac:dyDescent="0.2">
      <c r="G5295" s="31"/>
      <c r="H5295" s="31"/>
      <c r="I5295" s="31"/>
      <c r="J5295" s="31"/>
    </row>
    <row r="5296" spans="7:10" s="29" customFormat="1" x14ac:dyDescent="0.2">
      <c r="G5296" s="31"/>
      <c r="H5296" s="31"/>
      <c r="I5296" s="31"/>
      <c r="J5296" s="31"/>
    </row>
    <row r="5297" spans="7:10" s="29" customFormat="1" x14ac:dyDescent="0.2">
      <c r="G5297" s="31"/>
      <c r="H5297" s="31"/>
      <c r="I5297" s="31"/>
      <c r="J5297" s="31"/>
    </row>
    <row r="5298" spans="7:10" s="29" customFormat="1" x14ac:dyDescent="0.2">
      <c r="G5298" s="31"/>
      <c r="H5298" s="31"/>
      <c r="I5298" s="31"/>
      <c r="J5298" s="31"/>
    </row>
    <row r="5299" spans="7:10" s="29" customFormat="1" x14ac:dyDescent="0.2">
      <c r="G5299" s="31"/>
      <c r="H5299" s="31"/>
      <c r="I5299" s="31"/>
      <c r="J5299" s="31"/>
    </row>
    <row r="5300" spans="7:10" s="29" customFormat="1" x14ac:dyDescent="0.2">
      <c r="G5300" s="31"/>
      <c r="H5300" s="31"/>
      <c r="I5300" s="31"/>
      <c r="J5300" s="31"/>
    </row>
    <row r="5301" spans="7:10" s="29" customFormat="1" x14ac:dyDescent="0.2">
      <c r="G5301" s="31"/>
      <c r="H5301" s="31"/>
      <c r="I5301" s="31"/>
      <c r="J5301" s="31"/>
    </row>
    <row r="5302" spans="7:10" s="29" customFormat="1" x14ac:dyDescent="0.2">
      <c r="G5302" s="31"/>
      <c r="H5302" s="31"/>
      <c r="I5302" s="31"/>
      <c r="J5302" s="31"/>
    </row>
    <row r="5303" spans="7:10" s="29" customFormat="1" x14ac:dyDescent="0.2">
      <c r="G5303" s="31"/>
      <c r="H5303" s="31"/>
      <c r="I5303" s="31"/>
      <c r="J5303" s="31"/>
    </row>
    <row r="5304" spans="7:10" s="29" customFormat="1" x14ac:dyDescent="0.2">
      <c r="G5304" s="31"/>
      <c r="H5304" s="31"/>
      <c r="I5304" s="31"/>
      <c r="J5304" s="31"/>
    </row>
    <row r="5305" spans="7:10" s="29" customFormat="1" x14ac:dyDescent="0.2">
      <c r="G5305" s="31"/>
      <c r="H5305" s="31"/>
      <c r="I5305" s="31"/>
      <c r="J5305" s="31"/>
    </row>
    <row r="5306" spans="7:10" s="29" customFormat="1" x14ac:dyDescent="0.2">
      <c r="G5306" s="31"/>
      <c r="H5306" s="31"/>
      <c r="I5306" s="31"/>
      <c r="J5306" s="31"/>
    </row>
    <row r="5307" spans="7:10" s="29" customFormat="1" x14ac:dyDescent="0.2">
      <c r="G5307" s="31"/>
      <c r="H5307" s="31"/>
      <c r="I5307" s="31"/>
      <c r="J5307" s="31"/>
    </row>
    <row r="5308" spans="7:10" s="29" customFormat="1" x14ac:dyDescent="0.2">
      <c r="G5308" s="31"/>
      <c r="H5308" s="31"/>
      <c r="I5308" s="31"/>
      <c r="J5308" s="31"/>
    </row>
    <row r="5309" spans="7:10" s="29" customFormat="1" x14ac:dyDescent="0.2">
      <c r="G5309" s="31"/>
      <c r="H5309" s="31"/>
      <c r="I5309" s="31"/>
      <c r="J5309" s="31"/>
    </row>
    <row r="5310" spans="7:10" s="29" customFormat="1" x14ac:dyDescent="0.2">
      <c r="G5310" s="31"/>
      <c r="H5310" s="31"/>
      <c r="I5310" s="31"/>
      <c r="J5310" s="31"/>
    </row>
    <row r="5311" spans="7:10" s="29" customFormat="1" x14ac:dyDescent="0.2">
      <c r="G5311" s="31"/>
      <c r="H5311" s="31"/>
      <c r="I5311" s="31"/>
      <c r="J5311" s="31"/>
    </row>
    <row r="5312" spans="7:10" s="29" customFormat="1" x14ac:dyDescent="0.2">
      <c r="G5312" s="31"/>
      <c r="H5312" s="31"/>
      <c r="I5312" s="31"/>
      <c r="J5312" s="31"/>
    </row>
    <row r="5313" spans="7:10" s="29" customFormat="1" x14ac:dyDescent="0.2">
      <c r="G5313" s="31"/>
      <c r="H5313" s="31"/>
      <c r="I5313" s="31"/>
      <c r="J5313" s="31"/>
    </row>
    <row r="5314" spans="7:10" s="29" customFormat="1" x14ac:dyDescent="0.2">
      <c r="G5314" s="31"/>
      <c r="H5314" s="31"/>
      <c r="I5314" s="31"/>
      <c r="J5314" s="31"/>
    </row>
    <row r="5315" spans="7:10" s="29" customFormat="1" x14ac:dyDescent="0.2">
      <c r="G5315" s="31"/>
      <c r="H5315" s="31"/>
      <c r="I5315" s="31"/>
      <c r="J5315" s="31"/>
    </row>
    <row r="5316" spans="7:10" s="29" customFormat="1" x14ac:dyDescent="0.2">
      <c r="G5316" s="31"/>
      <c r="H5316" s="31"/>
      <c r="I5316" s="31"/>
      <c r="J5316" s="31"/>
    </row>
    <row r="5317" spans="7:10" s="29" customFormat="1" x14ac:dyDescent="0.2">
      <c r="G5317" s="31"/>
      <c r="H5317" s="31"/>
      <c r="I5317" s="31"/>
      <c r="J5317" s="31"/>
    </row>
    <row r="5318" spans="7:10" s="29" customFormat="1" x14ac:dyDescent="0.2">
      <c r="G5318" s="31"/>
      <c r="H5318" s="31"/>
      <c r="I5318" s="31"/>
      <c r="J5318" s="31"/>
    </row>
    <row r="5319" spans="7:10" s="29" customFormat="1" x14ac:dyDescent="0.2">
      <c r="G5319" s="31"/>
      <c r="H5319" s="31"/>
      <c r="I5319" s="31"/>
      <c r="J5319" s="31"/>
    </row>
    <row r="5320" spans="7:10" s="29" customFormat="1" x14ac:dyDescent="0.2">
      <c r="G5320" s="31"/>
      <c r="H5320" s="31"/>
      <c r="I5320" s="31"/>
      <c r="J5320" s="31"/>
    </row>
    <row r="5321" spans="7:10" s="29" customFormat="1" x14ac:dyDescent="0.2">
      <c r="G5321" s="31"/>
      <c r="H5321" s="31"/>
      <c r="I5321" s="31"/>
      <c r="J5321" s="31"/>
    </row>
    <row r="5322" spans="7:10" s="29" customFormat="1" x14ac:dyDescent="0.2">
      <c r="G5322" s="31"/>
      <c r="H5322" s="31"/>
      <c r="I5322" s="31"/>
      <c r="J5322" s="31"/>
    </row>
    <row r="5323" spans="7:10" s="29" customFormat="1" x14ac:dyDescent="0.2">
      <c r="G5323" s="31"/>
      <c r="H5323" s="31"/>
      <c r="I5323" s="31"/>
      <c r="J5323" s="31"/>
    </row>
    <row r="5324" spans="7:10" s="29" customFormat="1" x14ac:dyDescent="0.2">
      <c r="G5324" s="31"/>
      <c r="H5324" s="31"/>
      <c r="I5324" s="31"/>
      <c r="J5324" s="31"/>
    </row>
    <row r="5325" spans="7:10" s="29" customFormat="1" x14ac:dyDescent="0.2">
      <c r="G5325" s="31"/>
      <c r="H5325" s="31"/>
      <c r="I5325" s="31"/>
      <c r="J5325" s="31"/>
    </row>
    <row r="5326" spans="7:10" s="29" customFormat="1" x14ac:dyDescent="0.2">
      <c r="G5326" s="31"/>
      <c r="H5326" s="31"/>
      <c r="I5326" s="31"/>
      <c r="J5326" s="31"/>
    </row>
    <row r="5327" spans="7:10" s="29" customFormat="1" x14ac:dyDescent="0.2">
      <c r="G5327" s="31"/>
      <c r="H5327" s="31"/>
      <c r="I5327" s="31"/>
      <c r="J5327" s="31"/>
    </row>
    <row r="5328" spans="7:10" s="29" customFormat="1" x14ac:dyDescent="0.2">
      <c r="G5328" s="31"/>
      <c r="H5328" s="31"/>
      <c r="I5328" s="31"/>
      <c r="J5328" s="31"/>
    </row>
    <row r="5329" spans="7:10" s="29" customFormat="1" x14ac:dyDescent="0.2">
      <c r="G5329" s="31"/>
      <c r="H5329" s="31"/>
      <c r="I5329" s="31"/>
      <c r="J5329" s="31"/>
    </row>
    <row r="5330" spans="7:10" s="29" customFormat="1" x14ac:dyDescent="0.2">
      <c r="G5330" s="31"/>
      <c r="H5330" s="31"/>
      <c r="I5330" s="31"/>
      <c r="J5330" s="31"/>
    </row>
    <row r="5331" spans="7:10" s="29" customFormat="1" x14ac:dyDescent="0.2">
      <c r="G5331" s="31"/>
      <c r="H5331" s="31"/>
      <c r="I5331" s="31"/>
      <c r="J5331" s="31"/>
    </row>
    <row r="5332" spans="7:10" s="29" customFormat="1" x14ac:dyDescent="0.2">
      <c r="G5332" s="31"/>
      <c r="H5332" s="31"/>
      <c r="I5332" s="31"/>
      <c r="J5332" s="31"/>
    </row>
    <row r="5333" spans="7:10" s="29" customFormat="1" x14ac:dyDescent="0.2">
      <c r="G5333" s="31"/>
      <c r="H5333" s="31"/>
      <c r="I5333" s="31"/>
      <c r="J5333" s="31"/>
    </row>
    <row r="5334" spans="7:10" s="29" customFormat="1" x14ac:dyDescent="0.2">
      <c r="G5334" s="31"/>
      <c r="H5334" s="31"/>
      <c r="I5334" s="31"/>
      <c r="J5334" s="31"/>
    </row>
    <row r="5335" spans="7:10" s="29" customFormat="1" x14ac:dyDescent="0.2">
      <c r="G5335" s="31"/>
      <c r="H5335" s="31"/>
      <c r="I5335" s="31"/>
      <c r="J5335" s="31"/>
    </row>
    <row r="5336" spans="7:10" s="29" customFormat="1" x14ac:dyDescent="0.2">
      <c r="G5336" s="31"/>
      <c r="H5336" s="31"/>
      <c r="I5336" s="31"/>
      <c r="J5336" s="31"/>
    </row>
    <row r="5337" spans="7:10" s="29" customFormat="1" x14ac:dyDescent="0.2">
      <c r="G5337" s="31"/>
      <c r="H5337" s="31"/>
      <c r="I5337" s="31"/>
      <c r="J5337" s="31"/>
    </row>
    <row r="5338" spans="7:10" s="29" customFormat="1" x14ac:dyDescent="0.2">
      <c r="G5338" s="31"/>
      <c r="H5338" s="31"/>
      <c r="I5338" s="31"/>
      <c r="J5338" s="31"/>
    </row>
    <row r="5339" spans="7:10" s="29" customFormat="1" x14ac:dyDescent="0.2">
      <c r="G5339" s="31"/>
      <c r="H5339" s="31"/>
      <c r="I5339" s="31"/>
      <c r="J5339" s="31"/>
    </row>
    <row r="5340" spans="7:10" s="29" customFormat="1" x14ac:dyDescent="0.2">
      <c r="G5340" s="31"/>
      <c r="H5340" s="31"/>
      <c r="I5340" s="31"/>
      <c r="J5340" s="31"/>
    </row>
    <row r="5341" spans="7:10" s="29" customFormat="1" x14ac:dyDescent="0.2">
      <c r="G5341" s="31"/>
      <c r="H5341" s="31"/>
      <c r="I5341" s="31"/>
      <c r="J5341" s="31"/>
    </row>
    <row r="5342" spans="7:10" s="29" customFormat="1" x14ac:dyDescent="0.2">
      <c r="G5342" s="31"/>
      <c r="H5342" s="31"/>
      <c r="I5342" s="31"/>
      <c r="J5342" s="31"/>
    </row>
    <row r="5343" spans="7:10" s="29" customFormat="1" x14ac:dyDescent="0.2">
      <c r="G5343" s="31"/>
      <c r="H5343" s="31"/>
      <c r="I5343" s="31"/>
      <c r="J5343" s="31"/>
    </row>
    <row r="5344" spans="7:10" s="29" customFormat="1" x14ac:dyDescent="0.2">
      <c r="G5344" s="31"/>
      <c r="H5344" s="31"/>
      <c r="I5344" s="31"/>
      <c r="J5344" s="31"/>
    </row>
    <row r="5345" spans="7:10" s="29" customFormat="1" x14ac:dyDescent="0.2">
      <c r="G5345" s="31"/>
      <c r="H5345" s="31"/>
      <c r="I5345" s="31"/>
      <c r="J5345" s="31"/>
    </row>
    <row r="5346" spans="7:10" s="29" customFormat="1" x14ac:dyDescent="0.2">
      <c r="G5346" s="31"/>
      <c r="H5346" s="31"/>
      <c r="I5346" s="31"/>
      <c r="J5346" s="31"/>
    </row>
    <row r="5347" spans="7:10" s="29" customFormat="1" x14ac:dyDescent="0.2">
      <c r="G5347" s="31"/>
      <c r="H5347" s="31"/>
      <c r="I5347" s="31"/>
      <c r="J5347" s="31"/>
    </row>
    <row r="5348" spans="7:10" s="29" customFormat="1" x14ac:dyDescent="0.2">
      <c r="G5348" s="31"/>
      <c r="H5348" s="31"/>
      <c r="I5348" s="31"/>
      <c r="J5348" s="31"/>
    </row>
    <row r="5349" spans="7:10" s="29" customFormat="1" x14ac:dyDescent="0.2">
      <c r="G5349" s="31"/>
      <c r="H5349" s="31"/>
      <c r="I5349" s="31"/>
      <c r="J5349" s="31"/>
    </row>
    <row r="5350" spans="7:10" s="29" customFormat="1" x14ac:dyDescent="0.2">
      <c r="G5350" s="31"/>
      <c r="H5350" s="31"/>
      <c r="I5350" s="31"/>
      <c r="J5350" s="31"/>
    </row>
    <row r="5351" spans="7:10" s="29" customFormat="1" x14ac:dyDescent="0.2">
      <c r="G5351" s="31"/>
      <c r="H5351" s="31"/>
      <c r="I5351" s="31"/>
      <c r="J5351" s="31"/>
    </row>
    <row r="5352" spans="7:10" s="29" customFormat="1" x14ac:dyDescent="0.2">
      <c r="G5352" s="31"/>
      <c r="H5352" s="31"/>
      <c r="I5352" s="31"/>
      <c r="J5352" s="31"/>
    </row>
    <row r="5353" spans="7:10" s="29" customFormat="1" x14ac:dyDescent="0.2">
      <c r="G5353" s="31"/>
      <c r="H5353" s="31"/>
      <c r="I5353" s="31"/>
      <c r="J5353" s="31"/>
    </row>
    <row r="5354" spans="7:10" s="29" customFormat="1" x14ac:dyDescent="0.2">
      <c r="G5354" s="31"/>
      <c r="H5354" s="31"/>
      <c r="I5354" s="31"/>
      <c r="J5354" s="31"/>
    </row>
    <row r="5355" spans="7:10" s="29" customFormat="1" x14ac:dyDescent="0.2">
      <c r="G5355" s="31"/>
      <c r="H5355" s="31"/>
      <c r="I5355" s="31"/>
      <c r="J5355" s="31"/>
    </row>
    <row r="5356" spans="7:10" s="29" customFormat="1" x14ac:dyDescent="0.2">
      <c r="G5356" s="31"/>
      <c r="H5356" s="31"/>
      <c r="I5356" s="31"/>
      <c r="J5356" s="31"/>
    </row>
    <row r="5357" spans="7:10" s="29" customFormat="1" x14ac:dyDescent="0.2">
      <c r="G5357" s="31"/>
      <c r="H5357" s="31"/>
      <c r="I5357" s="31"/>
      <c r="J5357" s="31"/>
    </row>
    <row r="5358" spans="7:10" s="29" customFormat="1" x14ac:dyDescent="0.2">
      <c r="G5358" s="31"/>
      <c r="H5358" s="31"/>
      <c r="I5358" s="31"/>
      <c r="J5358" s="31"/>
    </row>
    <row r="5359" spans="7:10" s="29" customFormat="1" x14ac:dyDescent="0.2">
      <c r="G5359" s="31"/>
      <c r="H5359" s="31"/>
      <c r="I5359" s="31"/>
      <c r="J5359" s="31"/>
    </row>
    <row r="5360" spans="7:10" s="29" customFormat="1" x14ac:dyDescent="0.2">
      <c r="G5360" s="31"/>
      <c r="H5360" s="31"/>
      <c r="I5360" s="31"/>
      <c r="J5360" s="31"/>
    </row>
    <row r="5361" spans="7:10" s="29" customFormat="1" x14ac:dyDescent="0.2">
      <c r="G5361" s="31"/>
      <c r="H5361" s="31"/>
      <c r="I5361" s="31"/>
      <c r="J5361" s="31"/>
    </row>
    <row r="5362" spans="7:10" s="29" customFormat="1" x14ac:dyDescent="0.2">
      <c r="G5362" s="31"/>
      <c r="H5362" s="31"/>
      <c r="I5362" s="31"/>
      <c r="J5362" s="31"/>
    </row>
    <row r="5363" spans="7:10" s="29" customFormat="1" x14ac:dyDescent="0.2">
      <c r="G5363" s="31"/>
      <c r="H5363" s="31"/>
      <c r="I5363" s="31"/>
      <c r="J5363" s="31"/>
    </row>
    <row r="5364" spans="7:10" s="29" customFormat="1" x14ac:dyDescent="0.2">
      <c r="G5364" s="31"/>
      <c r="H5364" s="31"/>
      <c r="I5364" s="31"/>
      <c r="J5364" s="31"/>
    </row>
    <row r="5365" spans="7:10" s="29" customFormat="1" x14ac:dyDescent="0.2">
      <c r="G5365" s="31"/>
      <c r="H5365" s="31"/>
      <c r="I5365" s="31"/>
      <c r="J5365" s="31"/>
    </row>
    <row r="5366" spans="7:10" s="29" customFormat="1" x14ac:dyDescent="0.2">
      <c r="G5366" s="31"/>
      <c r="H5366" s="31"/>
      <c r="I5366" s="31"/>
      <c r="J5366" s="31"/>
    </row>
    <row r="5367" spans="7:10" s="29" customFormat="1" x14ac:dyDescent="0.2">
      <c r="G5367" s="31"/>
      <c r="H5367" s="31"/>
      <c r="I5367" s="31"/>
      <c r="J5367" s="31"/>
    </row>
    <row r="5368" spans="7:10" s="29" customFormat="1" x14ac:dyDescent="0.2">
      <c r="G5368" s="31"/>
      <c r="H5368" s="31"/>
      <c r="I5368" s="31"/>
      <c r="J5368" s="31"/>
    </row>
    <row r="5369" spans="7:10" s="29" customFormat="1" x14ac:dyDescent="0.2">
      <c r="G5369" s="31"/>
      <c r="H5369" s="31"/>
      <c r="I5369" s="31"/>
      <c r="J5369" s="31"/>
    </row>
    <row r="5370" spans="7:10" s="29" customFormat="1" x14ac:dyDescent="0.2">
      <c r="G5370" s="31"/>
      <c r="H5370" s="31"/>
      <c r="I5370" s="31"/>
      <c r="J5370" s="31"/>
    </row>
    <row r="5371" spans="7:10" s="29" customFormat="1" x14ac:dyDescent="0.2">
      <c r="G5371" s="31"/>
      <c r="H5371" s="31"/>
      <c r="I5371" s="31"/>
      <c r="J5371" s="31"/>
    </row>
    <row r="5372" spans="7:10" s="29" customFormat="1" x14ac:dyDescent="0.2">
      <c r="G5372" s="31"/>
      <c r="H5372" s="31"/>
      <c r="I5372" s="31"/>
      <c r="J5372" s="31"/>
    </row>
    <row r="5373" spans="7:10" s="29" customFormat="1" x14ac:dyDescent="0.2">
      <c r="G5373" s="31"/>
      <c r="H5373" s="31"/>
      <c r="I5373" s="31"/>
      <c r="J5373" s="31"/>
    </row>
    <row r="5374" spans="7:10" s="29" customFormat="1" x14ac:dyDescent="0.2">
      <c r="G5374" s="31"/>
      <c r="H5374" s="31"/>
      <c r="I5374" s="31"/>
      <c r="J5374" s="31"/>
    </row>
    <row r="5375" spans="7:10" s="29" customFormat="1" x14ac:dyDescent="0.2">
      <c r="G5375" s="31"/>
      <c r="H5375" s="31"/>
      <c r="I5375" s="31"/>
      <c r="J5375" s="31"/>
    </row>
    <row r="5376" spans="7:10" s="29" customFormat="1" x14ac:dyDescent="0.2">
      <c r="G5376" s="31"/>
      <c r="H5376" s="31"/>
      <c r="I5376" s="31"/>
      <c r="J5376" s="31"/>
    </row>
    <row r="5377" spans="7:10" s="29" customFormat="1" x14ac:dyDescent="0.2">
      <c r="G5377" s="31"/>
      <c r="H5377" s="31"/>
      <c r="I5377" s="31"/>
      <c r="J5377" s="31"/>
    </row>
    <row r="5378" spans="7:10" s="29" customFormat="1" x14ac:dyDescent="0.2">
      <c r="G5378" s="31"/>
      <c r="H5378" s="31"/>
      <c r="I5378" s="31"/>
      <c r="J5378" s="31"/>
    </row>
    <row r="5379" spans="7:10" s="29" customFormat="1" x14ac:dyDescent="0.2">
      <c r="G5379" s="31"/>
      <c r="H5379" s="31"/>
      <c r="I5379" s="31"/>
      <c r="J5379" s="31"/>
    </row>
    <row r="5380" spans="7:10" s="29" customFormat="1" x14ac:dyDescent="0.2">
      <c r="G5380" s="31"/>
      <c r="H5380" s="31"/>
      <c r="I5380" s="31"/>
      <c r="J5380" s="31"/>
    </row>
    <row r="5381" spans="7:10" s="29" customFormat="1" x14ac:dyDescent="0.2">
      <c r="G5381" s="31"/>
      <c r="H5381" s="31"/>
      <c r="I5381" s="31"/>
      <c r="J5381" s="31"/>
    </row>
    <row r="5382" spans="7:10" s="29" customFormat="1" x14ac:dyDescent="0.2">
      <c r="G5382" s="31"/>
      <c r="H5382" s="31"/>
      <c r="I5382" s="31"/>
      <c r="J5382" s="31"/>
    </row>
    <row r="5383" spans="7:10" s="29" customFormat="1" x14ac:dyDescent="0.2">
      <c r="G5383" s="31"/>
      <c r="H5383" s="31"/>
      <c r="I5383" s="31"/>
      <c r="J5383" s="31"/>
    </row>
    <row r="5384" spans="7:10" s="29" customFormat="1" x14ac:dyDescent="0.2">
      <c r="G5384" s="31"/>
      <c r="H5384" s="31"/>
      <c r="I5384" s="31"/>
      <c r="J5384" s="31"/>
    </row>
    <row r="5385" spans="7:10" s="29" customFormat="1" x14ac:dyDescent="0.2">
      <c r="G5385" s="31"/>
      <c r="H5385" s="31"/>
      <c r="I5385" s="31"/>
      <c r="J5385" s="31"/>
    </row>
    <row r="5386" spans="7:10" s="29" customFormat="1" x14ac:dyDescent="0.2">
      <c r="G5386" s="31"/>
      <c r="H5386" s="31"/>
      <c r="I5386" s="31"/>
      <c r="J5386" s="31"/>
    </row>
    <row r="5387" spans="7:10" s="29" customFormat="1" x14ac:dyDescent="0.2">
      <c r="G5387" s="31"/>
      <c r="H5387" s="31"/>
      <c r="I5387" s="31"/>
      <c r="J5387" s="31"/>
    </row>
    <row r="5388" spans="7:10" s="29" customFormat="1" x14ac:dyDescent="0.2">
      <c r="G5388" s="31"/>
      <c r="H5388" s="31"/>
      <c r="I5388" s="31"/>
      <c r="J5388" s="31"/>
    </row>
    <row r="5389" spans="7:10" s="29" customFormat="1" x14ac:dyDescent="0.2">
      <c r="G5389" s="31"/>
      <c r="H5389" s="31"/>
      <c r="I5389" s="31"/>
      <c r="J5389" s="31"/>
    </row>
    <row r="5390" spans="7:10" s="29" customFormat="1" x14ac:dyDescent="0.2">
      <c r="G5390" s="31"/>
      <c r="H5390" s="31"/>
      <c r="I5390" s="31"/>
      <c r="J5390" s="31"/>
    </row>
    <row r="5391" spans="7:10" s="29" customFormat="1" x14ac:dyDescent="0.2">
      <c r="G5391" s="31"/>
      <c r="H5391" s="31"/>
      <c r="I5391" s="31"/>
      <c r="J5391" s="31"/>
    </row>
    <row r="5392" spans="7:10" s="29" customFormat="1" x14ac:dyDescent="0.2">
      <c r="G5392" s="31"/>
      <c r="H5392" s="31"/>
      <c r="I5392" s="31"/>
      <c r="J5392" s="31"/>
    </row>
    <row r="5393" spans="7:10" s="29" customFormat="1" x14ac:dyDescent="0.2">
      <c r="G5393" s="31"/>
      <c r="H5393" s="31"/>
      <c r="I5393" s="31"/>
      <c r="J5393" s="31"/>
    </row>
    <row r="5394" spans="7:10" s="29" customFormat="1" x14ac:dyDescent="0.2">
      <c r="G5394" s="31"/>
      <c r="H5394" s="31"/>
      <c r="I5394" s="31"/>
      <c r="J5394" s="31"/>
    </row>
    <row r="5395" spans="7:10" s="29" customFormat="1" x14ac:dyDescent="0.2">
      <c r="G5395" s="31"/>
      <c r="H5395" s="31"/>
      <c r="I5395" s="31"/>
      <c r="J5395" s="31"/>
    </row>
    <row r="5396" spans="7:10" s="29" customFormat="1" x14ac:dyDescent="0.2">
      <c r="G5396" s="31"/>
      <c r="H5396" s="31"/>
      <c r="I5396" s="31"/>
      <c r="J5396" s="31"/>
    </row>
    <row r="5397" spans="7:10" s="29" customFormat="1" x14ac:dyDescent="0.2">
      <c r="G5397" s="31"/>
      <c r="H5397" s="31"/>
      <c r="I5397" s="31"/>
      <c r="J5397" s="31"/>
    </row>
    <row r="5398" spans="7:10" s="29" customFormat="1" x14ac:dyDescent="0.2">
      <c r="G5398" s="31"/>
      <c r="H5398" s="31"/>
      <c r="I5398" s="31"/>
      <c r="J5398" s="31"/>
    </row>
    <row r="5399" spans="7:10" s="29" customFormat="1" x14ac:dyDescent="0.2">
      <c r="G5399" s="31"/>
      <c r="H5399" s="31"/>
      <c r="I5399" s="31"/>
      <c r="J5399" s="31"/>
    </row>
    <row r="5400" spans="7:10" s="29" customFormat="1" x14ac:dyDescent="0.2">
      <c r="G5400" s="31"/>
      <c r="H5400" s="31"/>
      <c r="I5400" s="31"/>
      <c r="J5400" s="31"/>
    </row>
    <row r="5401" spans="7:10" s="29" customFormat="1" x14ac:dyDescent="0.2">
      <c r="G5401" s="31"/>
      <c r="H5401" s="31"/>
      <c r="I5401" s="31"/>
      <c r="J5401" s="31"/>
    </row>
    <row r="5402" spans="7:10" s="29" customFormat="1" x14ac:dyDescent="0.2">
      <c r="G5402" s="31"/>
      <c r="H5402" s="31"/>
      <c r="I5402" s="31"/>
      <c r="J5402" s="31"/>
    </row>
    <row r="5403" spans="7:10" s="29" customFormat="1" x14ac:dyDescent="0.2">
      <c r="G5403" s="31"/>
      <c r="H5403" s="31"/>
      <c r="I5403" s="31"/>
      <c r="J5403" s="31"/>
    </row>
    <row r="5404" spans="7:10" s="29" customFormat="1" x14ac:dyDescent="0.2">
      <c r="G5404" s="31"/>
      <c r="H5404" s="31"/>
      <c r="I5404" s="31"/>
      <c r="J5404" s="31"/>
    </row>
    <row r="5405" spans="7:10" s="29" customFormat="1" x14ac:dyDescent="0.2">
      <c r="G5405" s="31"/>
      <c r="H5405" s="31"/>
      <c r="I5405" s="31"/>
      <c r="J5405" s="31"/>
    </row>
    <row r="5406" spans="7:10" s="29" customFormat="1" x14ac:dyDescent="0.2">
      <c r="G5406" s="31"/>
      <c r="H5406" s="31"/>
      <c r="I5406" s="31"/>
      <c r="J5406" s="31"/>
    </row>
    <row r="5407" spans="7:10" s="29" customFormat="1" x14ac:dyDescent="0.2">
      <c r="G5407" s="31"/>
      <c r="H5407" s="31"/>
      <c r="I5407" s="31"/>
      <c r="J5407" s="31"/>
    </row>
    <row r="5408" spans="7:10" s="29" customFormat="1" x14ac:dyDescent="0.2">
      <c r="G5408" s="31"/>
      <c r="H5408" s="31"/>
      <c r="I5408" s="31"/>
      <c r="J5408" s="31"/>
    </row>
    <row r="5409" spans="7:10" s="29" customFormat="1" x14ac:dyDescent="0.2">
      <c r="G5409" s="31"/>
      <c r="H5409" s="31"/>
      <c r="I5409" s="31"/>
      <c r="J5409" s="31"/>
    </row>
    <row r="5410" spans="7:10" s="29" customFormat="1" x14ac:dyDescent="0.2">
      <c r="G5410" s="31"/>
      <c r="H5410" s="31"/>
      <c r="I5410" s="31"/>
      <c r="J5410" s="31"/>
    </row>
    <row r="5411" spans="7:10" s="29" customFormat="1" x14ac:dyDescent="0.2">
      <c r="G5411" s="31"/>
      <c r="H5411" s="31"/>
      <c r="I5411" s="31"/>
      <c r="J5411" s="31"/>
    </row>
    <row r="5412" spans="7:10" s="29" customFormat="1" x14ac:dyDescent="0.2">
      <c r="G5412" s="31"/>
      <c r="H5412" s="31"/>
      <c r="I5412" s="31"/>
      <c r="J5412" s="31"/>
    </row>
    <row r="5413" spans="7:10" s="29" customFormat="1" x14ac:dyDescent="0.2">
      <c r="G5413" s="31"/>
      <c r="H5413" s="31"/>
      <c r="I5413" s="31"/>
      <c r="J5413" s="31"/>
    </row>
    <row r="5414" spans="7:10" s="29" customFormat="1" x14ac:dyDescent="0.2">
      <c r="G5414" s="31"/>
      <c r="H5414" s="31"/>
      <c r="I5414" s="31"/>
      <c r="J5414" s="31"/>
    </row>
    <row r="5415" spans="7:10" s="29" customFormat="1" x14ac:dyDescent="0.2">
      <c r="G5415" s="31"/>
      <c r="H5415" s="31"/>
      <c r="I5415" s="31"/>
      <c r="J5415" s="31"/>
    </row>
    <row r="5416" spans="7:10" s="29" customFormat="1" x14ac:dyDescent="0.2">
      <c r="G5416" s="31"/>
      <c r="H5416" s="31"/>
      <c r="I5416" s="31"/>
      <c r="J5416" s="31"/>
    </row>
    <row r="5417" spans="7:10" s="29" customFormat="1" x14ac:dyDescent="0.2">
      <c r="G5417" s="31"/>
      <c r="H5417" s="31"/>
      <c r="I5417" s="31"/>
      <c r="J5417" s="31"/>
    </row>
    <row r="5418" spans="7:10" s="29" customFormat="1" x14ac:dyDescent="0.2">
      <c r="G5418" s="31"/>
      <c r="H5418" s="31"/>
      <c r="I5418" s="31"/>
      <c r="J5418" s="31"/>
    </row>
    <row r="5419" spans="7:10" s="29" customFormat="1" x14ac:dyDescent="0.2">
      <c r="G5419" s="31"/>
      <c r="H5419" s="31"/>
      <c r="I5419" s="31"/>
      <c r="J5419" s="31"/>
    </row>
    <row r="5420" spans="7:10" s="29" customFormat="1" x14ac:dyDescent="0.2">
      <c r="G5420" s="31"/>
      <c r="H5420" s="31"/>
      <c r="I5420" s="31"/>
      <c r="J5420" s="31"/>
    </row>
    <row r="5421" spans="7:10" s="29" customFormat="1" x14ac:dyDescent="0.2">
      <c r="G5421" s="31"/>
      <c r="H5421" s="31"/>
      <c r="I5421" s="31"/>
      <c r="J5421" s="31"/>
    </row>
    <row r="5422" spans="7:10" s="29" customFormat="1" x14ac:dyDescent="0.2">
      <c r="G5422" s="31"/>
      <c r="H5422" s="31"/>
      <c r="I5422" s="31"/>
      <c r="J5422" s="31"/>
    </row>
    <row r="5423" spans="7:10" s="29" customFormat="1" x14ac:dyDescent="0.2">
      <c r="G5423" s="31"/>
      <c r="H5423" s="31"/>
      <c r="I5423" s="31"/>
      <c r="J5423" s="31"/>
    </row>
    <row r="5424" spans="7:10" s="29" customFormat="1" x14ac:dyDescent="0.2">
      <c r="G5424" s="31"/>
      <c r="H5424" s="31"/>
      <c r="I5424" s="31"/>
      <c r="J5424" s="31"/>
    </row>
    <row r="5425" spans="7:10" s="29" customFormat="1" x14ac:dyDescent="0.2">
      <c r="G5425" s="31"/>
      <c r="H5425" s="31"/>
      <c r="I5425" s="31"/>
      <c r="J5425" s="31"/>
    </row>
    <row r="5426" spans="7:10" s="29" customFormat="1" x14ac:dyDescent="0.2">
      <c r="G5426" s="31"/>
      <c r="H5426" s="31"/>
      <c r="I5426" s="31"/>
      <c r="J5426" s="31"/>
    </row>
    <row r="5427" spans="7:10" s="29" customFormat="1" x14ac:dyDescent="0.2">
      <c r="G5427" s="31"/>
      <c r="H5427" s="31"/>
      <c r="I5427" s="31"/>
      <c r="J5427" s="31"/>
    </row>
    <row r="5428" spans="7:10" s="29" customFormat="1" x14ac:dyDescent="0.2">
      <c r="G5428" s="31"/>
      <c r="H5428" s="31"/>
      <c r="I5428" s="31"/>
      <c r="J5428" s="31"/>
    </row>
    <row r="5429" spans="7:10" s="29" customFormat="1" x14ac:dyDescent="0.2">
      <c r="G5429" s="31"/>
      <c r="H5429" s="31"/>
      <c r="I5429" s="31"/>
      <c r="J5429" s="31"/>
    </row>
    <row r="5430" spans="7:10" s="29" customFormat="1" x14ac:dyDescent="0.2">
      <c r="G5430" s="31"/>
      <c r="H5430" s="31"/>
      <c r="I5430" s="31"/>
      <c r="J5430" s="31"/>
    </row>
    <row r="5431" spans="7:10" s="29" customFormat="1" x14ac:dyDescent="0.2">
      <c r="G5431" s="31"/>
      <c r="H5431" s="31"/>
      <c r="I5431" s="31"/>
      <c r="J5431" s="31"/>
    </row>
    <row r="5432" spans="7:10" s="29" customFormat="1" x14ac:dyDescent="0.2">
      <c r="G5432" s="31"/>
      <c r="H5432" s="31"/>
      <c r="I5432" s="31"/>
      <c r="J5432" s="31"/>
    </row>
    <row r="5433" spans="7:10" s="29" customFormat="1" x14ac:dyDescent="0.2">
      <c r="G5433" s="31"/>
      <c r="H5433" s="31"/>
      <c r="I5433" s="31"/>
      <c r="J5433" s="31"/>
    </row>
    <row r="5434" spans="7:10" s="29" customFormat="1" x14ac:dyDescent="0.2">
      <c r="G5434" s="31"/>
      <c r="H5434" s="31"/>
      <c r="I5434" s="31"/>
      <c r="J5434" s="31"/>
    </row>
    <row r="5435" spans="7:10" s="29" customFormat="1" x14ac:dyDescent="0.2">
      <c r="G5435" s="31"/>
      <c r="H5435" s="31"/>
      <c r="I5435" s="31"/>
      <c r="J5435" s="31"/>
    </row>
    <row r="5436" spans="7:10" s="29" customFormat="1" x14ac:dyDescent="0.2">
      <c r="G5436" s="31"/>
      <c r="H5436" s="31"/>
      <c r="I5436" s="31"/>
      <c r="J5436" s="31"/>
    </row>
    <row r="5437" spans="7:10" s="29" customFormat="1" x14ac:dyDescent="0.2">
      <c r="G5437" s="31"/>
      <c r="H5437" s="31"/>
      <c r="I5437" s="31"/>
      <c r="J5437" s="31"/>
    </row>
    <row r="5438" spans="7:10" s="29" customFormat="1" x14ac:dyDescent="0.2">
      <c r="G5438" s="31"/>
      <c r="H5438" s="31"/>
      <c r="I5438" s="31"/>
      <c r="J5438" s="31"/>
    </row>
    <row r="5439" spans="7:10" s="29" customFormat="1" x14ac:dyDescent="0.2">
      <c r="G5439" s="31"/>
      <c r="H5439" s="31"/>
      <c r="I5439" s="31"/>
      <c r="J5439" s="31"/>
    </row>
    <row r="5440" spans="7:10" s="29" customFormat="1" x14ac:dyDescent="0.2">
      <c r="G5440" s="31"/>
      <c r="H5440" s="31"/>
      <c r="I5440" s="31"/>
      <c r="J5440" s="31"/>
    </row>
    <row r="5441" spans="7:10" s="29" customFormat="1" x14ac:dyDescent="0.2">
      <c r="G5441" s="31"/>
      <c r="H5441" s="31"/>
      <c r="I5441" s="31"/>
      <c r="J5441" s="31"/>
    </row>
    <row r="5442" spans="7:10" s="29" customFormat="1" x14ac:dyDescent="0.2">
      <c r="G5442" s="31"/>
      <c r="H5442" s="31"/>
      <c r="I5442" s="31"/>
      <c r="J5442" s="31"/>
    </row>
    <row r="5443" spans="7:10" s="29" customFormat="1" x14ac:dyDescent="0.2">
      <c r="G5443" s="31"/>
      <c r="H5443" s="31"/>
      <c r="I5443" s="31"/>
      <c r="J5443" s="31"/>
    </row>
    <row r="5444" spans="7:10" s="29" customFormat="1" x14ac:dyDescent="0.2">
      <c r="G5444" s="31"/>
      <c r="H5444" s="31"/>
      <c r="I5444" s="31"/>
      <c r="J5444" s="31"/>
    </row>
    <row r="5445" spans="7:10" s="29" customFormat="1" x14ac:dyDescent="0.2">
      <c r="G5445" s="31"/>
      <c r="H5445" s="31"/>
      <c r="I5445" s="31"/>
      <c r="J5445" s="31"/>
    </row>
    <row r="5446" spans="7:10" s="29" customFormat="1" x14ac:dyDescent="0.2">
      <c r="G5446" s="31"/>
      <c r="H5446" s="31"/>
      <c r="I5446" s="31"/>
      <c r="J5446" s="31"/>
    </row>
    <row r="5447" spans="7:10" s="29" customFormat="1" x14ac:dyDescent="0.2">
      <c r="G5447" s="31"/>
      <c r="H5447" s="31"/>
      <c r="I5447" s="31"/>
      <c r="J5447" s="31"/>
    </row>
    <row r="5448" spans="7:10" s="29" customFormat="1" x14ac:dyDescent="0.2">
      <c r="G5448" s="31"/>
      <c r="H5448" s="31"/>
      <c r="I5448" s="31"/>
      <c r="J5448" s="31"/>
    </row>
    <row r="5449" spans="7:10" s="29" customFormat="1" x14ac:dyDescent="0.2">
      <c r="G5449" s="31"/>
      <c r="H5449" s="31"/>
      <c r="I5449" s="31"/>
      <c r="J5449" s="31"/>
    </row>
    <row r="5450" spans="7:10" s="29" customFormat="1" x14ac:dyDescent="0.2">
      <c r="G5450" s="31"/>
      <c r="H5450" s="31"/>
      <c r="I5450" s="31"/>
      <c r="J5450" s="31"/>
    </row>
    <row r="5451" spans="7:10" s="29" customFormat="1" x14ac:dyDescent="0.2">
      <c r="G5451" s="31"/>
      <c r="H5451" s="31"/>
      <c r="I5451" s="31"/>
      <c r="J5451" s="31"/>
    </row>
    <row r="5452" spans="7:10" s="29" customFormat="1" x14ac:dyDescent="0.2">
      <c r="G5452" s="31"/>
      <c r="H5452" s="31"/>
      <c r="I5452" s="31"/>
      <c r="J5452" s="31"/>
    </row>
    <row r="5453" spans="7:10" s="29" customFormat="1" x14ac:dyDescent="0.2">
      <c r="G5453" s="31"/>
      <c r="H5453" s="31"/>
      <c r="I5453" s="31"/>
      <c r="J5453" s="31"/>
    </row>
    <row r="5454" spans="7:10" s="29" customFormat="1" x14ac:dyDescent="0.2">
      <c r="G5454" s="31"/>
      <c r="H5454" s="31"/>
      <c r="I5454" s="31"/>
      <c r="J5454" s="31"/>
    </row>
    <row r="5455" spans="7:10" s="29" customFormat="1" x14ac:dyDescent="0.2">
      <c r="G5455" s="31"/>
      <c r="H5455" s="31"/>
      <c r="I5455" s="31"/>
      <c r="J5455" s="31"/>
    </row>
    <row r="5456" spans="7:10" s="29" customFormat="1" x14ac:dyDescent="0.2">
      <c r="G5456" s="31"/>
      <c r="H5456" s="31"/>
      <c r="I5456" s="31"/>
      <c r="J5456" s="31"/>
    </row>
    <row r="5457" spans="7:10" s="29" customFormat="1" x14ac:dyDescent="0.2">
      <c r="G5457" s="31"/>
      <c r="H5457" s="31"/>
      <c r="I5457" s="31"/>
      <c r="J5457" s="31"/>
    </row>
    <row r="5458" spans="7:10" s="29" customFormat="1" x14ac:dyDescent="0.2">
      <c r="G5458" s="31"/>
      <c r="H5458" s="31"/>
      <c r="I5458" s="31"/>
      <c r="J5458" s="31"/>
    </row>
    <row r="5459" spans="7:10" s="29" customFormat="1" x14ac:dyDescent="0.2">
      <c r="G5459" s="31"/>
      <c r="H5459" s="31"/>
      <c r="I5459" s="31"/>
      <c r="J5459" s="31"/>
    </row>
    <row r="5460" spans="7:10" s="29" customFormat="1" x14ac:dyDescent="0.2">
      <c r="G5460" s="31"/>
      <c r="H5460" s="31"/>
      <c r="I5460" s="31"/>
      <c r="J5460" s="31"/>
    </row>
    <row r="5461" spans="7:10" s="29" customFormat="1" x14ac:dyDescent="0.2">
      <c r="G5461" s="31"/>
      <c r="H5461" s="31"/>
      <c r="I5461" s="31"/>
      <c r="J5461" s="31"/>
    </row>
    <row r="5462" spans="7:10" s="29" customFormat="1" x14ac:dyDescent="0.2">
      <c r="G5462" s="31"/>
      <c r="H5462" s="31"/>
      <c r="I5462" s="31"/>
      <c r="J5462" s="31"/>
    </row>
    <row r="5463" spans="7:10" s="29" customFormat="1" x14ac:dyDescent="0.2">
      <c r="G5463" s="31"/>
      <c r="H5463" s="31"/>
      <c r="I5463" s="31"/>
      <c r="J5463" s="31"/>
    </row>
    <row r="5464" spans="7:10" s="29" customFormat="1" x14ac:dyDescent="0.2">
      <c r="G5464" s="31"/>
      <c r="H5464" s="31"/>
      <c r="I5464" s="31"/>
      <c r="J5464" s="31"/>
    </row>
    <row r="5465" spans="7:10" s="29" customFormat="1" x14ac:dyDescent="0.2">
      <c r="G5465" s="31"/>
      <c r="H5465" s="31"/>
      <c r="I5465" s="31"/>
      <c r="J5465" s="31"/>
    </row>
    <row r="5466" spans="7:10" s="29" customFormat="1" x14ac:dyDescent="0.2">
      <c r="G5466" s="31"/>
      <c r="H5466" s="31"/>
      <c r="I5466" s="31"/>
      <c r="J5466" s="31"/>
    </row>
    <row r="5467" spans="7:10" s="29" customFormat="1" x14ac:dyDescent="0.2">
      <c r="G5467" s="31"/>
      <c r="H5467" s="31"/>
      <c r="I5467" s="31"/>
      <c r="J5467" s="31"/>
    </row>
    <row r="5468" spans="7:10" s="29" customFormat="1" x14ac:dyDescent="0.2">
      <c r="G5468" s="31"/>
      <c r="H5468" s="31"/>
      <c r="I5468" s="31"/>
      <c r="J5468" s="31"/>
    </row>
    <row r="5469" spans="7:10" s="29" customFormat="1" x14ac:dyDescent="0.2">
      <c r="G5469" s="31"/>
      <c r="H5469" s="31"/>
      <c r="I5469" s="31"/>
      <c r="J5469" s="31"/>
    </row>
    <row r="5470" spans="7:10" s="29" customFormat="1" x14ac:dyDescent="0.2">
      <c r="G5470" s="31"/>
      <c r="H5470" s="31"/>
      <c r="I5470" s="31"/>
      <c r="J5470" s="31"/>
    </row>
    <row r="5471" spans="7:10" s="29" customFormat="1" x14ac:dyDescent="0.2">
      <c r="G5471" s="31"/>
      <c r="H5471" s="31"/>
      <c r="I5471" s="31"/>
      <c r="J5471" s="31"/>
    </row>
    <row r="5472" spans="7:10" s="29" customFormat="1" x14ac:dyDescent="0.2">
      <c r="G5472" s="31"/>
      <c r="H5472" s="31"/>
      <c r="I5472" s="31"/>
      <c r="J5472" s="31"/>
    </row>
    <row r="5473" spans="7:10" s="29" customFormat="1" x14ac:dyDescent="0.2">
      <c r="G5473" s="31"/>
      <c r="H5473" s="31"/>
      <c r="I5473" s="31"/>
      <c r="J5473" s="31"/>
    </row>
    <row r="5474" spans="7:10" s="29" customFormat="1" x14ac:dyDescent="0.2">
      <c r="G5474" s="31"/>
      <c r="H5474" s="31"/>
      <c r="I5474" s="31"/>
      <c r="J5474" s="31"/>
    </row>
    <row r="5475" spans="7:10" s="29" customFormat="1" x14ac:dyDescent="0.2">
      <c r="G5475" s="31"/>
      <c r="H5475" s="31"/>
      <c r="I5475" s="31"/>
      <c r="J5475" s="31"/>
    </row>
    <row r="5476" spans="7:10" s="29" customFormat="1" x14ac:dyDescent="0.2">
      <c r="G5476" s="31"/>
      <c r="H5476" s="31"/>
      <c r="I5476" s="31"/>
      <c r="J5476" s="31"/>
    </row>
    <row r="5477" spans="7:10" s="29" customFormat="1" x14ac:dyDescent="0.2">
      <c r="G5477" s="31"/>
      <c r="H5477" s="31"/>
      <c r="I5477" s="31"/>
      <c r="J5477" s="31"/>
    </row>
    <row r="5478" spans="7:10" s="29" customFormat="1" x14ac:dyDescent="0.2">
      <c r="G5478" s="31"/>
      <c r="H5478" s="31"/>
      <c r="I5478" s="31"/>
      <c r="J5478" s="31"/>
    </row>
    <row r="5479" spans="7:10" s="29" customFormat="1" x14ac:dyDescent="0.2">
      <c r="G5479" s="31"/>
      <c r="H5479" s="31"/>
      <c r="I5479" s="31"/>
      <c r="J5479" s="31"/>
    </row>
    <row r="5480" spans="7:10" s="29" customFormat="1" x14ac:dyDescent="0.2">
      <c r="G5480" s="31"/>
      <c r="H5480" s="31"/>
      <c r="I5480" s="31"/>
      <c r="J5480" s="31"/>
    </row>
    <row r="5481" spans="7:10" s="29" customFormat="1" x14ac:dyDescent="0.2">
      <c r="G5481" s="31"/>
      <c r="H5481" s="31"/>
      <c r="I5481" s="31"/>
      <c r="J5481" s="31"/>
    </row>
    <row r="5482" spans="7:10" s="29" customFormat="1" x14ac:dyDescent="0.2">
      <c r="G5482" s="31"/>
      <c r="H5482" s="31"/>
      <c r="I5482" s="31"/>
      <c r="J5482" s="31"/>
    </row>
    <row r="5483" spans="7:10" s="29" customFormat="1" x14ac:dyDescent="0.2">
      <c r="G5483" s="31"/>
      <c r="H5483" s="31"/>
      <c r="I5483" s="31"/>
      <c r="J5483" s="31"/>
    </row>
    <row r="5484" spans="7:10" s="29" customFormat="1" x14ac:dyDescent="0.2">
      <c r="G5484" s="31"/>
      <c r="H5484" s="31"/>
      <c r="I5484" s="31"/>
      <c r="J5484" s="31"/>
    </row>
    <row r="5485" spans="7:10" s="29" customFormat="1" x14ac:dyDescent="0.2">
      <c r="G5485" s="31"/>
      <c r="H5485" s="31"/>
      <c r="I5485" s="31"/>
      <c r="J5485" s="31"/>
    </row>
    <row r="5486" spans="7:10" s="29" customFormat="1" x14ac:dyDescent="0.2">
      <c r="G5486" s="31"/>
      <c r="H5486" s="31"/>
      <c r="I5486" s="31"/>
      <c r="J5486" s="31"/>
    </row>
    <row r="5487" spans="7:10" s="29" customFormat="1" x14ac:dyDescent="0.2">
      <c r="G5487" s="31"/>
      <c r="H5487" s="31"/>
      <c r="I5487" s="31"/>
      <c r="J5487" s="31"/>
    </row>
    <row r="5488" spans="7:10" s="29" customFormat="1" x14ac:dyDescent="0.2">
      <c r="G5488" s="31"/>
      <c r="H5488" s="31"/>
      <c r="I5488" s="31"/>
      <c r="J5488" s="31"/>
    </row>
    <row r="5489" spans="7:10" s="29" customFormat="1" x14ac:dyDescent="0.2">
      <c r="G5489" s="31"/>
      <c r="H5489" s="31"/>
      <c r="I5489" s="31"/>
      <c r="J5489" s="31"/>
    </row>
    <row r="5490" spans="7:10" s="29" customFormat="1" x14ac:dyDescent="0.2">
      <c r="G5490" s="31"/>
      <c r="H5490" s="31"/>
      <c r="I5490" s="31"/>
      <c r="J5490" s="31"/>
    </row>
    <row r="5491" spans="7:10" s="29" customFormat="1" x14ac:dyDescent="0.2">
      <c r="G5491" s="31"/>
      <c r="H5491" s="31"/>
      <c r="I5491" s="31"/>
      <c r="J5491" s="31"/>
    </row>
    <row r="5492" spans="7:10" s="29" customFormat="1" x14ac:dyDescent="0.2">
      <c r="G5492" s="31"/>
      <c r="H5492" s="31"/>
      <c r="I5492" s="31"/>
      <c r="J5492" s="31"/>
    </row>
    <row r="5493" spans="7:10" s="29" customFormat="1" x14ac:dyDescent="0.2">
      <c r="G5493" s="31"/>
      <c r="H5493" s="31"/>
      <c r="I5493" s="31"/>
      <c r="J5493" s="31"/>
    </row>
    <row r="5494" spans="7:10" s="29" customFormat="1" x14ac:dyDescent="0.2">
      <c r="G5494" s="31"/>
      <c r="H5494" s="31"/>
      <c r="I5494" s="31"/>
      <c r="J5494" s="31"/>
    </row>
    <row r="5495" spans="7:10" s="29" customFormat="1" x14ac:dyDescent="0.2">
      <c r="G5495" s="31"/>
      <c r="H5495" s="31"/>
      <c r="I5495" s="31"/>
      <c r="J5495" s="31"/>
    </row>
    <row r="5496" spans="7:10" s="29" customFormat="1" x14ac:dyDescent="0.2">
      <c r="G5496" s="31"/>
      <c r="H5496" s="31"/>
      <c r="I5496" s="31"/>
      <c r="J5496" s="31"/>
    </row>
    <row r="5497" spans="7:10" s="29" customFormat="1" x14ac:dyDescent="0.2">
      <c r="G5497" s="31"/>
      <c r="H5497" s="31"/>
      <c r="I5497" s="31"/>
      <c r="J5497" s="31"/>
    </row>
    <row r="5498" spans="7:10" s="29" customFormat="1" x14ac:dyDescent="0.2">
      <c r="G5498" s="31"/>
      <c r="H5498" s="31"/>
      <c r="I5498" s="31"/>
      <c r="J5498" s="31"/>
    </row>
    <row r="5499" spans="7:10" s="29" customFormat="1" x14ac:dyDescent="0.2">
      <c r="G5499" s="31"/>
      <c r="H5499" s="31"/>
      <c r="I5499" s="31"/>
      <c r="J5499" s="31"/>
    </row>
    <row r="5500" spans="7:10" s="29" customFormat="1" x14ac:dyDescent="0.2">
      <c r="G5500" s="31"/>
      <c r="H5500" s="31"/>
      <c r="I5500" s="31"/>
      <c r="J5500" s="31"/>
    </row>
    <row r="5501" spans="7:10" s="29" customFormat="1" x14ac:dyDescent="0.2">
      <c r="G5501" s="31"/>
      <c r="H5501" s="31"/>
      <c r="I5501" s="31"/>
      <c r="J5501" s="31"/>
    </row>
    <row r="5502" spans="7:10" s="29" customFormat="1" x14ac:dyDescent="0.2">
      <c r="G5502" s="31"/>
      <c r="H5502" s="31"/>
      <c r="I5502" s="31"/>
      <c r="J5502" s="31"/>
    </row>
    <row r="5503" spans="7:10" s="29" customFormat="1" x14ac:dyDescent="0.2">
      <c r="G5503" s="31"/>
      <c r="H5503" s="31"/>
      <c r="I5503" s="31"/>
      <c r="J5503" s="31"/>
    </row>
    <row r="5504" spans="7:10" s="29" customFormat="1" x14ac:dyDescent="0.2">
      <c r="G5504" s="31"/>
      <c r="H5504" s="31"/>
      <c r="I5504" s="31"/>
      <c r="J5504" s="31"/>
    </row>
    <row r="5505" spans="7:10" s="29" customFormat="1" x14ac:dyDescent="0.2">
      <c r="G5505" s="31"/>
      <c r="H5505" s="31"/>
      <c r="I5505" s="31"/>
      <c r="J5505" s="31"/>
    </row>
    <row r="5506" spans="7:10" s="29" customFormat="1" x14ac:dyDescent="0.2">
      <c r="G5506" s="31"/>
      <c r="H5506" s="31"/>
      <c r="I5506" s="31"/>
      <c r="J5506" s="31"/>
    </row>
    <row r="5507" spans="7:10" s="29" customFormat="1" x14ac:dyDescent="0.2">
      <c r="G5507" s="31"/>
      <c r="H5507" s="31"/>
      <c r="I5507" s="31"/>
      <c r="J5507" s="31"/>
    </row>
    <row r="5508" spans="7:10" s="29" customFormat="1" x14ac:dyDescent="0.2">
      <c r="G5508" s="31"/>
      <c r="H5508" s="31"/>
      <c r="I5508" s="31"/>
      <c r="J5508" s="31"/>
    </row>
    <row r="5509" spans="7:10" s="29" customFormat="1" x14ac:dyDescent="0.2">
      <c r="G5509" s="31"/>
      <c r="H5509" s="31"/>
      <c r="I5509" s="31"/>
      <c r="J5509" s="31"/>
    </row>
    <row r="5510" spans="7:10" s="29" customFormat="1" x14ac:dyDescent="0.2">
      <c r="G5510" s="31"/>
      <c r="H5510" s="31"/>
      <c r="I5510" s="31"/>
      <c r="J5510" s="31"/>
    </row>
    <row r="5511" spans="7:10" s="29" customFormat="1" x14ac:dyDescent="0.2">
      <c r="G5511" s="31"/>
      <c r="H5511" s="31"/>
      <c r="I5511" s="31"/>
      <c r="J5511" s="31"/>
    </row>
    <row r="5512" spans="7:10" s="29" customFormat="1" x14ac:dyDescent="0.2">
      <c r="G5512" s="31"/>
      <c r="H5512" s="31"/>
      <c r="I5512" s="31"/>
      <c r="J5512" s="31"/>
    </row>
    <row r="5513" spans="7:10" s="29" customFormat="1" x14ac:dyDescent="0.2">
      <c r="G5513" s="31"/>
      <c r="H5513" s="31"/>
      <c r="I5513" s="31"/>
      <c r="J5513" s="31"/>
    </row>
    <row r="5514" spans="7:10" s="29" customFormat="1" x14ac:dyDescent="0.2">
      <c r="G5514" s="31"/>
      <c r="H5514" s="31"/>
      <c r="I5514" s="31"/>
      <c r="J5514" s="31"/>
    </row>
    <row r="5515" spans="7:10" s="29" customFormat="1" x14ac:dyDescent="0.2">
      <c r="G5515" s="31"/>
      <c r="H5515" s="31"/>
      <c r="I5515" s="31"/>
      <c r="J5515" s="31"/>
    </row>
    <row r="5516" spans="7:10" s="29" customFormat="1" x14ac:dyDescent="0.2">
      <c r="G5516" s="31"/>
      <c r="H5516" s="31"/>
      <c r="I5516" s="31"/>
      <c r="J5516" s="31"/>
    </row>
    <row r="5517" spans="7:10" s="29" customFormat="1" x14ac:dyDescent="0.2">
      <c r="G5517" s="31"/>
      <c r="H5517" s="31"/>
      <c r="I5517" s="31"/>
      <c r="J5517" s="31"/>
    </row>
    <row r="5518" spans="7:10" s="29" customFormat="1" x14ac:dyDescent="0.2">
      <c r="G5518" s="31"/>
      <c r="H5518" s="31"/>
      <c r="I5518" s="31"/>
      <c r="J5518" s="31"/>
    </row>
    <row r="5519" spans="7:10" s="29" customFormat="1" x14ac:dyDescent="0.2">
      <c r="G5519" s="31"/>
      <c r="H5519" s="31"/>
      <c r="I5519" s="31"/>
      <c r="J5519" s="31"/>
    </row>
    <row r="5520" spans="7:10" s="29" customFormat="1" x14ac:dyDescent="0.2">
      <c r="G5520" s="31"/>
      <c r="H5520" s="31"/>
      <c r="I5520" s="31"/>
      <c r="J5520" s="31"/>
    </row>
    <row r="5521" spans="7:10" s="29" customFormat="1" x14ac:dyDescent="0.2">
      <c r="G5521" s="31"/>
      <c r="H5521" s="31"/>
      <c r="I5521" s="31"/>
      <c r="J5521" s="31"/>
    </row>
    <row r="5522" spans="7:10" s="29" customFormat="1" x14ac:dyDescent="0.2">
      <c r="G5522" s="31"/>
      <c r="H5522" s="31"/>
      <c r="I5522" s="31"/>
      <c r="J5522" s="31"/>
    </row>
    <row r="5523" spans="7:10" s="29" customFormat="1" x14ac:dyDescent="0.2">
      <c r="G5523" s="31"/>
      <c r="H5523" s="31"/>
      <c r="I5523" s="31"/>
      <c r="J5523" s="31"/>
    </row>
    <row r="5524" spans="7:10" s="29" customFormat="1" x14ac:dyDescent="0.2">
      <c r="G5524" s="31"/>
      <c r="H5524" s="31"/>
      <c r="I5524" s="31"/>
      <c r="J5524" s="31"/>
    </row>
    <row r="5525" spans="7:10" s="29" customFormat="1" x14ac:dyDescent="0.2">
      <c r="G5525" s="31"/>
      <c r="H5525" s="31"/>
      <c r="I5525" s="31"/>
      <c r="J5525" s="31"/>
    </row>
    <row r="5526" spans="7:10" s="29" customFormat="1" x14ac:dyDescent="0.2">
      <c r="G5526" s="31"/>
      <c r="H5526" s="31"/>
      <c r="I5526" s="31"/>
      <c r="J5526" s="31"/>
    </row>
    <row r="5527" spans="7:10" s="29" customFormat="1" x14ac:dyDescent="0.2">
      <c r="G5527" s="31"/>
      <c r="H5527" s="31"/>
      <c r="I5527" s="31"/>
      <c r="J5527" s="31"/>
    </row>
    <row r="5528" spans="7:10" s="29" customFormat="1" x14ac:dyDescent="0.2">
      <c r="G5528" s="31"/>
      <c r="H5528" s="31"/>
      <c r="I5528" s="31"/>
      <c r="J5528" s="31"/>
    </row>
    <row r="5529" spans="7:10" s="29" customFormat="1" x14ac:dyDescent="0.2">
      <c r="G5529" s="31"/>
      <c r="H5529" s="31"/>
      <c r="I5529" s="31"/>
      <c r="J5529" s="31"/>
    </row>
    <row r="5530" spans="7:10" s="29" customFormat="1" x14ac:dyDescent="0.2">
      <c r="G5530" s="31"/>
      <c r="H5530" s="31"/>
      <c r="I5530" s="31"/>
      <c r="J5530" s="31"/>
    </row>
    <row r="5531" spans="7:10" s="29" customFormat="1" x14ac:dyDescent="0.2">
      <c r="G5531" s="31"/>
      <c r="H5531" s="31"/>
      <c r="I5531" s="31"/>
      <c r="J5531" s="31"/>
    </row>
    <row r="5532" spans="7:10" s="29" customFormat="1" x14ac:dyDescent="0.2">
      <c r="G5532" s="31"/>
      <c r="H5532" s="31"/>
      <c r="I5532" s="31"/>
      <c r="J5532" s="31"/>
    </row>
    <row r="5533" spans="7:10" s="29" customFormat="1" x14ac:dyDescent="0.2">
      <c r="G5533" s="31"/>
      <c r="H5533" s="31"/>
      <c r="I5533" s="31"/>
      <c r="J5533" s="31"/>
    </row>
    <row r="5534" spans="7:10" s="29" customFormat="1" x14ac:dyDescent="0.2">
      <c r="G5534" s="31"/>
      <c r="H5534" s="31"/>
      <c r="I5534" s="31"/>
      <c r="J5534" s="31"/>
    </row>
    <row r="5535" spans="7:10" s="29" customFormat="1" x14ac:dyDescent="0.2">
      <c r="G5535" s="31"/>
      <c r="H5535" s="31"/>
      <c r="I5535" s="31"/>
      <c r="J5535" s="31"/>
    </row>
    <row r="5536" spans="7:10" s="29" customFormat="1" x14ac:dyDescent="0.2">
      <c r="G5536" s="31"/>
      <c r="H5536" s="31"/>
      <c r="I5536" s="31"/>
      <c r="J5536" s="31"/>
    </row>
    <row r="5537" spans="7:10" s="29" customFormat="1" x14ac:dyDescent="0.2">
      <c r="G5537" s="31"/>
      <c r="H5537" s="31"/>
      <c r="I5537" s="31"/>
      <c r="J5537" s="31"/>
    </row>
    <row r="5538" spans="7:10" s="29" customFormat="1" x14ac:dyDescent="0.2">
      <c r="G5538" s="31"/>
      <c r="H5538" s="31"/>
      <c r="I5538" s="31"/>
      <c r="J5538" s="31"/>
    </row>
    <row r="5539" spans="7:10" s="29" customFormat="1" x14ac:dyDescent="0.2">
      <c r="G5539" s="31"/>
      <c r="H5539" s="31"/>
      <c r="I5539" s="31"/>
      <c r="J5539" s="31"/>
    </row>
    <row r="5540" spans="7:10" s="29" customFormat="1" x14ac:dyDescent="0.2">
      <c r="G5540" s="31"/>
      <c r="H5540" s="31"/>
      <c r="I5540" s="31"/>
      <c r="J5540" s="31"/>
    </row>
    <row r="5541" spans="7:10" s="29" customFormat="1" x14ac:dyDescent="0.2">
      <c r="G5541" s="31"/>
      <c r="H5541" s="31"/>
      <c r="I5541" s="31"/>
      <c r="J5541" s="31"/>
    </row>
    <row r="5542" spans="7:10" s="29" customFormat="1" x14ac:dyDescent="0.2">
      <c r="G5542" s="31"/>
      <c r="H5542" s="31"/>
      <c r="I5542" s="31"/>
      <c r="J5542" s="31"/>
    </row>
    <row r="5543" spans="7:10" s="29" customFormat="1" x14ac:dyDescent="0.2">
      <c r="G5543" s="31"/>
      <c r="H5543" s="31"/>
      <c r="I5543" s="31"/>
      <c r="J5543" s="31"/>
    </row>
    <row r="5544" spans="7:10" s="29" customFormat="1" x14ac:dyDescent="0.2">
      <c r="G5544" s="31"/>
      <c r="H5544" s="31"/>
      <c r="I5544" s="31"/>
      <c r="J5544" s="31"/>
    </row>
    <row r="5545" spans="7:10" s="29" customFormat="1" x14ac:dyDescent="0.2">
      <c r="G5545" s="31"/>
      <c r="H5545" s="31"/>
      <c r="I5545" s="31"/>
      <c r="J5545" s="31"/>
    </row>
    <row r="5546" spans="7:10" s="29" customFormat="1" x14ac:dyDescent="0.2">
      <c r="G5546" s="31"/>
      <c r="H5546" s="31"/>
      <c r="I5546" s="31"/>
      <c r="J5546" s="31"/>
    </row>
    <row r="5547" spans="7:10" s="29" customFormat="1" x14ac:dyDescent="0.2">
      <c r="G5547" s="31"/>
      <c r="H5547" s="31"/>
      <c r="I5547" s="31"/>
      <c r="J5547" s="31"/>
    </row>
    <row r="5548" spans="7:10" s="29" customFormat="1" x14ac:dyDescent="0.2">
      <c r="G5548" s="31"/>
      <c r="H5548" s="31"/>
      <c r="I5548" s="31"/>
      <c r="J5548" s="31"/>
    </row>
    <row r="5549" spans="7:10" s="29" customFormat="1" x14ac:dyDescent="0.2">
      <c r="G5549" s="31"/>
      <c r="H5549" s="31"/>
      <c r="I5549" s="31"/>
      <c r="J5549" s="31"/>
    </row>
    <row r="5550" spans="7:10" s="29" customFormat="1" x14ac:dyDescent="0.2">
      <c r="G5550" s="31"/>
      <c r="H5550" s="31"/>
      <c r="I5550" s="31"/>
      <c r="J5550" s="31"/>
    </row>
    <row r="5551" spans="7:10" s="29" customFormat="1" x14ac:dyDescent="0.2">
      <c r="G5551" s="31"/>
      <c r="H5551" s="31"/>
      <c r="I5551" s="31"/>
      <c r="J5551" s="31"/>
    </row>
    <row r="5552" spans="7:10" s="29" customFormat="1" x14ac:dyDescent="0.2">
      <c r="G5552" s="31"/>
      <c r="H5552" s="31"/>
      <c r="I5552" s="31"/>
      <c r="J5552" s="31"/>
    </row>
    <row r="5553" spans="7:10" s="29" customFormat="1" x14ac:dyDescent="0.2">
      <c r="G5553" s="31"/>
      <c r="H5553" s="31"/>
      <c r="I5553" s="31"/>
      <c r="J5553" s="31"/>
    </row>
    <row r="5554" spans="7:10" s="29" customFormat="1" x14ac:dyDescent="0.2">
      <c r="G5554" s="31"/>
      <c r="H5554" s="31"/>
      <c r="I5554" s="31"/>
      <c r="J5554" s="31"/>
    </row>
    <row r="5555" spans="7:10" s="29" customFormat="1" x14ac:dyDescent="0.2">
      <c r="G5555" s="31"/>
      <c r="H5555" s="31"/>
      <c r="I5555" s="31"/>
      <c r="J5555" s="31"/>
    </row>
    <row r="5556" spans="7:10" s="29" customFormat="1" x14ac:dyDescent="0.2">
      <c r="G5556" s="31"/>
      <c r="H5556" s="31"/>
      <c r="I5556" s="31"/>
      <c r="J5556" s="31"/>
    </row>
    <row r="5557" spans="7:10" s="29" customFormat="1" x14ac:dyDescent="0.2">
      <c r="G5557" s="31"/>
      <c r="H5557" s="31"/>
      <c r="I5557" s="31"/>
      <c r="J5557" s="31"/>
    </row>
    <row r="5558" spans="7:10" s="29" customFormat="1" x14ac:dyDescent="0.2">
      <c r="G5558" s="31"/>
      <c r="H5558" s="31"/>
      <c r="I5558" s="31"/>
      <c r="J5558" s="31"/>
    </row>
    <row r="5559" spans="7:10" s="29" customFormat="1" x14ac:dyDescent="0.2">
      <c r="G5559" s="31"/>
      <c r="H5559" s="31"/>
      <c r="I5559" s="31"/>
      <c r="J5559" s="31"/>
    </row>
    <row r="5560" spans="7:10" s="29" customFormat="1" x14ac:dyDescent="0.2">
      <c r="G5560" s="31"/>
      <c r="H5560" s="31"/>
      <c r="I5560" s="31"/>
      <c r="J5560" s="31"/>
    </row>
    <row r="5561" spans="7:10" s="29" customFormat="1" x14ac:dyDescent="0.2">
      <c r="G5561" s="31"/>
      <c r="H5561" s="31"/>
      <c r="I5561" s="31"/>
      <c r="J5561" s="31"/>
    </row>
    <row r="5562" spans="7:10" s="29" customFormat="1" x14ac:dyDescent="0.2">
      <c r="G5562" s="31"/>
      <c r="H5562" s="31"/>
      <c r="I5562" s="31"/>
      <c r="J5562" s="31"/>
    </row>
    <row r="5563" spans="7:10" s="29" customFormat="1" x14ac:dyDescent="0.2">
      <c r="G5563" s="31"/>
      <c r="H5563" s="31"/>
      <c r="I5563" s="31"/>
      <c r="J5563" s="31"/>
    </row>
    <row r="5564" spans="7:10" s="29" customFormat="1" x14ac:dyDescent="0.2">
      <c r="G5564" s="31"/>
      <c r="H5564" s="31"/>
      <c r="I5564" s="31"/>
      <c r="J5564" s="31"/>
    </row>
    <row r="5565" spans="7:10" s="29" customFormat="1" x14ac:dyDescent="0.2">
      <c r="G5565" s="31"/>
      <c r="H5565" s="31"/>
      <c r="I5565" s="31"/>
      <c r="J5565" s="31"/>
    </row>
    <row r="5566" spans="7:10" s="29" customFormat="1" x14ac:dyDescent="0.2">
      <c r="G5566" s="31"/>
      <c r="H5566" s="31"/>
      <c r="I5566" s="31"/>
      <c r="J5566" s="31"/>
    </row>
    <row r="5567" spans="7:10" s="29" customFormat="1" x14ac:dyDescent="0.2">
      <c r="G5567" s="31"/>
      <c r="H5567" s="31"/>
      <c r="I5567" s="31"/>
      <c r="J5567" s="31"/>
    </row>
    <row r="5568" spans="7:10" s="29" customFormat="1" x14ac:dyDescent="0.2">
      <c r="G5568" s="31"/>
      <c r="H5568" s="31"/>
      <c r="I5568" s="31"/>
      <c r="J5568" s="31"/>
    </row>
    <row r="5569" spans="7:10" s="29" customFormat="1" x14ac:dyDescent="0.2">
      <c r="G5569" s="31"/>
      <c r="H5569" s="31"/>
      <c r="I5569" s="31"/>
      <c r="J5569" s="31"/>
    </row>
    <row r="5570" spans="7:10" s="29" customFormat="1" x14ac:dyDescent="0.2">
      <c r="G5570" s="31"/>
      <c r="H5570" s="31"/>
      <c r="I5570" s="31"/>
      <c r="J5570" s="31"/>
    </row>
    <row r="5571" spans="7:10" s="29" customFormat="1" x14ac:dyDescent="0.2">
      <c r="G5571" s="31"/>
      <c r="H5571" s="31"/>
      <c r="I5571" s="31"/>
      <c r="J5571" s="31"/>
    </row>
    <row r="5572" spans="7:10" s="29" customFormat="1" x14ac:dyDescent="0.2">
      <c r="G5572" s="31"/>
      <c r="H5572" s="31"/>
      <c r="I5572" s="31"/>
      <c r="J5572" s="31"/>
    </row>
    <row r="5573" spans="7:10" s="29" customFormat="1" x14ac:dyDescent="0.2">
      <c r="G5573" s="31"/>
      <c r="H5573" s="31"/>
      <c r="I5573" s="31"/>
      <c r="J5573" s="31"/>
    </row>
    <row r="5574" spans="7:10" s="29" customFormat="1" x14ac:dyDescent="0.2">
      <c r="G5574" s="31"/>
      <c r="H5574" s="31"/>
      <c r="I5574" s="31"/>
      <c r="J5574" s="31"/>
    </row>
    <row r="5575" spans="7:10" s="29" customFormat="1" x14ac:dyDescent="0.2">
      <c r="G5575" s="31"/>
      <c r="H5575" s="31"/>
      <c r="I5575" s="31"/>
      <c r="J5575" s="31"/>
    </row>
    <row r="5576" spans="7:10" s="29" customFormat="1" x14ac:dyDescent="0.2">
      <c r="G5576" s="31"/>
      <c r="H5576" s="31"/>
      <c r="I5576" s="31"/>
      <c r="J5576" s="31"/>
    </row>
    <row r="5577" spans="7:10" s="29" customFormat="1" x14ac:dyDescent="0.2">
      <c r="G5577" s="31"/>
      <c r="H5577" s="31"/>
      <c r="I5577" s="31"/>
      <c r="J5577" s="31"/>
    </row>
    <row r="5578" spans="7:10" s="29" customFormat="1" x14ac:dyDescent="0.2">
      <c r="G5578" s="31"/>
      <c r="H5578" s="31"/>
      <c r="I5578" s="31"/>
      <c r="J5578" s="31"/>
    </row>
    <row r="5579" spans="7:10" s="29" customFormat="1" x14ac:dyDescent="0.2">
      <c r="G5579" s="31"/>
      <c r="H5579" s="31"/>
      <c r="I5579" s="31"/>
      <c r="J5579" s="31"/>
    </row>
    <row r="5580" spans="7:10" s="29" customFormat="1" x14ac:dyDescent="0.2">
      <c r="G5580" s="31"/>
      <c r="H5580" s="31"/>
      <c r="I5580" s="31"/>
      <c r="J5580" s="31"/>
    </row>
    <row r="5581" spans="7:10" s="29" customFormat="1" x14ac:dyDescent="0.2">
      <c r="G5581" s="31"/>
      <c r="H5581" s="31"/>
      <c r="I5581" s="31"/>
      <c r="J5581" s="31"/>
    </row>
    <row r="5582" spans="7:10" s="29" customFormat="1" x14ac:dyDescent="0.2">
      <c r="G5582" s="31"/>
      <c r="H5582" s="31"/>
      <c r="I5582" s="31"/>
      <c r="J5582" s="31"/>
    </row>
    <row r="5583" spans="7:10" s="29" customFormat="1" x14ac:dyDescent="0.2">
      <c r="G5583" s="31"/>
      <c r="H5583" s="31"/>
      <c r="I5583" s="31"/>
      <c r="J5583" s="31"/>
    </row>
    <row r="5584" spans="7:10" s="29" customFormat="1" x14ac:dyDescent="0.2">
      <c r="G5584" s="31"/>
      <c r="H5584" s="31"/>
      <c r="I5584" s="31"/>
      <c r="J5584" s="31"/>
    </row>
    <row r="5585" spans="7:10" s="29" customFormat="1" x14ac:dyDescent="0.2">
      <c r="G5585" s="31"/>
      <c r="H5585" s="31"/>
      <c r="I5585" s="31"/>
      <c r="J5585" s="31"/>
    </row>
    <row r="5586" spans="7:10" s="29" customFormat="1" x14ac:dyDescent="0.2">
      <c r="G5586" s="31"/>
      <c r="H5586" s="31"/>
      <c r="I5586" s="31"/>
      <c r="J5586" s="31"/>
    </row>
    <row r="5587" spans="7:10" s="29" customFormat="1" x14ac:dyDescent="0.2">
      <c r="G5587" s="31"/>
      <c r="H5587" s="31"/>
      <c r="I5587" s="31"/>
      <c r="J5587" s="31"/>
    </row>
    <row r="5588" spans="7:10" s="29" customFormat="1" x14ac:dyDescent="0.2">
      <c r="G5588" s="31"/>
      <c r="H5588" s="31"/>
      <c r="I5588" s="31"/>
      <c r="J5588" s="31"/>
    </row>
    <row r="5589" spans="7:10" s="29" customFormat="1" x14ac:dyDescent="0.2">
      <c r="G5589" s="31"/>
      <c r="H5589" s="31"/>
      <c r="I5589" s="31"/>
      <c r="J5589" s="31"/>
    </row>
    <row r="5590" spans="7:10" s="29" customFormat="1" x14ac:dyDescent="0.2">
      <c r="G5590" s="31"/>
      <c r="H5590" s="31"/>
      <c r="I5590" s="31"/>
      <c r="J5590" s="31"/>
    </row>
    <row r="5591" spans="7:10" s="29" customFormat="1" x14ac:dyDescent="0.2">
      <c r="G5591" s="31"/>
      <c r="H5591" s="31"/>
      <c r="I5591" s="31"/>
      <c r="J5591" s="31"/>
    </row>
    <row r="5592" spans="7:10" s="29" customFormat="1" x14ac:dyDescent="0.2">
      <c r="G5592" s="31"/>
      <c r="H5592" s="31"/>
      <c r="I5592" s="31"/>
      <c r="J5592" s="31"/>
    </row>
    <row r="5593" spans="7:10" s="29" customFormat="1" x14ac:dyDescent="0.2">
      <c r="G5593" s="31"/>
      <c r="H5593" s="31"/>
      <c r="I5593" s="31"/>
      <c r="J5593" s="31"/>
    </row>
    <row r="5594" spans="7:10" s="29" customFormat="1" x14ac:dyDescent="0.2">
      <c r="G5594" s="31"/>
      <c r="H5594" s="31"/>
      <c r="I5594" s="31"/>
      <c r="J5594" s="31"/>
    </row>
    <row r="5595" spans="7:10" s="29" customFormat="1" x14ac:dyDescent="0.2">
      <c r="G5595" s="31"/>
      <c r="H5595" s="31"/>
      <c r="I5595" s="31"/>
      <c r="J5595" s="31"/>
    </row>
    <row r="5596" spans="7:10" s="29" customFormat="1" x14ac:dyDescent="0.2">
      <c r="G5596" s="31"/>
      <c r="H5596" s="31"/>
      <c r="I5596" s="31"/>
      <c r="J5596" s="31"/>
    </row>
    <row r="5597" spans="7:10" s="29" customFormat="1" x14ac:dyDescent="0.2">
      <c r="G5597" s="31"/>
      <c r="H5597" s="31"/>
      <c r="I5597" s="31"/>
      <c r="J5597" s="31"/>
    </row>
    <row r="5598" spans="7:10" s="29" customFormat="1" x14ac:dyDescent="0.2">
      <c r="G5598" s="31"/>
      <c r="H5598" s="31"/>
      <c r="I5598" s="31"/>
      <c r="J5598" s="31"/>
    </row>
    <row r="5599" spans="7:10" s="29" customFormat="1" x14ac:dyDescent="0.2">
      <c r="G5599" s="31"/>
      <c r="H5599" s="31"/>
      <c r="I5599" s="31"/>
      <c r="J5599" s="31"/>
    </row>
    <row r="5600" spans="7:10" s="29" customFormat="1" x14ac:dyDescent="0.2">
      <c r="G5600" s="31"/>
      <c r="H5600" s="31"/>
      <c r="I5600" s="31"/>
      <c r="J5600" s="31"/>
    </row>
    <row r="5601" spans="7:10" s="29" customFormat="1" x14ac:dyDescent="0.2">
      <c r="G5601" s="31"/>
      <c r="H5601" s="31"/>
      <c r="I5601" s="31"/>
      <c r="J5601" s="31"/>
    </row>
    <row r="5602" spans="7:10" s="29" customFormat="1" x14ac:dyDescent="0.2">
      <c r="G5602" s="31"/>
      <c r="H5602" s="31"/>
      <c r="I5602" s="31"/>
      <c r="J5602" s="31"/>
    </row>
    <row r="5603" spans="7:10" s="29" customFormat="1" x14ac:dyDescent="0.2">
      <c r="G5603" s="31"/>
      <c r="H5603" s="31"/>
      <c r="I5603" s="31"/>
      <c r="J5603" s="31"/>
    </row>
    <row r="5604" spans="7:10" s="29" customFormat="1" x14ac:dyDescent="0.2">
      <c r="G5604" s="31"/>
      <c r="H5604" s="31"/>
      <c r="I5604" s="31"/>
      <c r="J5604" s="31"/>
    </row>
    <row r="5605" spans="7:10" s="29" customFormat="1" x14ac:dyDescent="0.2">
      <c r="G5605" s="31"/>
      <c r="H5605" s="31"/>
      <c r="I5605" s="31"/>
      <c r="J5605" s="31"/>
    </row>
    <row r="5606" spans="7:10" s="29" customFormat="1" x14ac:dyDescent="0.2">
      <c r="G5606" s="31"/>
      <c r="H5606" s="31"/>
      <c r="I5606" s="31"/>
      <c r="J5606" s="31"/>
    </row>
    <row r="5607" spans="7:10" s="29" customFormat="1" x14ac:dyDescent="0.2">
      <c r="G5607" s="31"/>
      <c r="H5607" s="31"/>
      <c r="I5607" s="31"/>
      <c r="J5607" s="31"/>
    </row>
    <row r="5608" spans="7:10" s="29" customFormat="1" x14ac:dyDescent="0.2">
      <c r="G5608" s="31"/>
      <c r="H5608" s="31"/>
      <c r="I5608" s="31"/>
      <c r="J5608" s="31"/>
    </row>
    <row r="5609" spans="7:10" s="29" customFormat="1" x14ac:dyDescent="0.2">
      <c r="G5609" s="31"/>
      <c r="H5609" s="31"/>
      <c r="I5609" s="31"/>
      <c r="J5609" s="31"/>
    </row>
    <row r="5610" spans="7:10" s="29" customFormat="1" x14ac:dyDescent="0.2">
      <c r="G5610" s="31"/>
      <c r="H5610" s="31"/>
      <c r="I5610" s="31"/>
      <c r="J5610" s="31"/>
    </row>
    <row r="5611" spans="7:10" s="29" customFormat="1" x14ac:dyDescent="0.2">
      <c r="G5611" s="31"/>
      <c r="H5611" s="31"/>
      <c r="I5611" s="31"/>
      <c r="J5611" s="31"/>
    </row>
    <row r="5612" spans="7:10" s="29" customFormat="1" x14ac:dyDescent="0.2">
      <c r="G5612" s="31"/>
      <c r="H5612" s="31"/>
      <c r="I5612" s="31"/>
      <c r="J5612" s="31"/>
    </row>
    <row r="5613" spans="7:10" s="29" customFormat="1" x14ac:dyDescent="0.2">
      <c r="G5613" s="31"/>
      <c r="H5613" s="31"/>
      <c r="I5613" s="31"/>
      <c r="J5613" s="31"/>
    </row>
    <row r="5614" spans="7:10" s="29" customFormat="1" x14ac:dyDescent="0.2">
      <c r="G5614" s="31"/>
      <c r="H5614" s="31"/>
      <c r="I5614" s="31"/>
      <c r="J5614" s="31"/>
    </row>
    <row r="5615" spans="7:10" s="29" customFormat="1" x14ac:dyDescent="0.2">
      <c r="G5615" s="31"/>
      <c r="H5615" s="31"/>
      <c r="I5615" s="31"/>
      <c r="J5615" s="31"/>
    </row>
    <row r="5616" spans="7:10" s="29" customFormat="1" x14ac:dyDescent="0.2">
      <c r="G5616" s="31"/>
      <c r="H5616" s="31"/>
      <c r="I5616" s="31"/>
      <c r="J5616" s="31"/>
    </row>
    <row r="5617" spans="7:10" s="29" customFormat="1" x14ac:dyDescent="0.2">
      <c r="G5617" s="31"/>
      <c r="H5617" s="31"/>
      <c r="I5617" s="31"/>
      <c r="J5617" s="31"/>
    </row>
    <row r="5618" spans="7:10" s="29" customFormat="1" x14ac:dyDescent="0.2">
      <c r="G5618" s="31"/>
      <c r="H5618" s="31"/>
      <c r="I5618" s="31"/>
      <c r="J5618" s="31"/>
    </row>
    <row r="5619" spans="7:10" s="29" customFormat="1" x14ac:dyDescent="0.2">
      <c r="G5619" s="31"/>
      <c r="H5619" s="31"/>
      <c r="I5619" s="31"/>
      <c r="J5619" s="31"/>
    </row>
    <row r="5620" spans="7:10" s="29" customFormat="1" x14ac:dyDescent="0.2">
      <c r="G5620" s="31"/>
      <c r="H5620" s="31"/>
      <c r="I5620" s="31"/>
      <c r="J5620" s="31"/>
    </row>
    <row r="5621" spans="7:10" s="29" customFormat="1" x14ac:dyDescent="0.2">
      <c r="G5621" s="31"/>
      <c r="H5621" s="31"/>
      <c r="I5621" s="31"/>
      <c r="J5621" s="31"/>
    </row>
    <row r="5622" spans="7:10" s="29" customFormat="1" x14ac:dyDescent="0.2">
      <c r="G5622" s="31"/>
      <c r="H5622" s="31"/>
      <c r="I5622" s="31"/>
      <c r="J5622" s="31"/>
    </row>
    <row r="5623" spans="7:10" s="29" customFormat="1" x14ac:dyDescent="0.2">
      <c r="G5623" s="31"/>
      <c r="H5623" s="31"/>
      <c r="I5623" s="31"/>
      <c r="J5623" s="31"/>
    </row>
    <row r="5624" spans="7:10" s="29" customFormat="1" x14ac:dyDescent="0.2">
      <c r="G5624" s="31"/>
      <c r="H5624" s="31"/>
      <c r="I5624" s="31"/>
      <c r="J5624" s="31"/>
    </row>
    <row r="5625" spans="7:10" s="29" customFormat="1" x14ac:dyDescent="0.2">
      <c r="G5625" s="31"/>
      <c r="H5625" s="31"/>
      <c r="I5625" s="31"/>
      <c r="J5625" s="31"/>
    </row>
    <row r="5626" spans="7:10" s="29" customFormat="1" x14ac:dyDescent="0.2">
      <c r="G5626" s="31"/>
      <c r="H5626" s="31"/>
      <c r="I5626" s="31"/>
      <c r="J5626" s="31"/>
    </row>
    <row r="5627" spans="7:10" s="29" customFormat="1" x14ac:dyDescent="0.2">
      <c r="G5627" s="31"/>
      <c r="H5627" s="31"/>
      <c r="I5627" s="31"/>
      <c r="J5627" s="31"/>
    </row>
    <row r="5628" spans="7:10" s="29" customFormat="1" x14ac:dyDescent="0.2">
      <c r="G5628" s="31"/>
      <c r="H5628" s="31"/>
      <c r="I5628" s="31"/>
      <c r="J5628" s="31"/>
    </row>
    <row r="5629" spans="7:10" s="29" customFormat="1" x14ac:dyDescent="0.2">
      <c r="G5629" s="31"/>
      <c r="H5629" s="31"/>
      <c r="I5629" s="31"/>
      <c r="J5629" s="31"/>
    </row>
    <row r="5630" spans="7:10" s="29" customFormat="1" x14ac:dyDescent="0.2">
      <c r="G5630" s="31"/>
      <c r="H5630" s="31"/>
      <c r="I5630" s="31"/>
      <c r="J5630" s="31"/>
    </row>
    <row r="5631" spans="7:10" s="29" customFormat="1" x14ac:dyDescent="0.2">
      <c r="G5631" s="31"/>
      <c r="H5631" s="31"/>
      <c r="I5631" s="31"/>
      <c r="J5631" s="31"/>
    </row>
    <row r="5632" spans="7:10" s="29" customFormat="1" x14ac:dyDescent="0.2">
      <c r="G5632" s="31"/>
      <c r="H5632" s="31"/>
      <c r="I5632" s="31"/>
      <c r="J5632" s="31"/>
    </row>
    <row r="5633" spans="7:10" s="29" customFormat="1" x14ac:dyDescent="0.2">
      <c r="G5633" s="31"/>
      <c r="H5633" s="31"/>
      <c r="I5633" s="31"/>
      <c r="J5633" s="31"/>
    </row>
    <row r="5634" spans="7:10" s="29" customFormat="1" x14ac:dyDescent="0.2">
      <c r="G5634" s="31"/>
      <c r="H5634" s="31"/>
      <c r="I5634" s="31"/>
      <c r="J5634" s="31"/>
    </row>
    <row r="5635" spans="7:10" s="29" customFormat="1" x14ac:dyDescent="0.2">
      <c r="G5635" s="31"/>
      <c r="H5635" s="31"/>
      <c r="I5635" s="31"/>
      <c r="J5635" s="31"/>
    </row>
    <row r="5636" spans="7:10" s="29" customFormat="1" x14ac:dyDescent="0.2">
      <c r="G5636" s="31"/>
      <c r="H5636" s="31"/>
      <c r="I5636" s="31"/>
      <c r="J5636" s="31"/>
    </row>
    <row r="5637" spans="7:10" s="29" customFormat="1" x14ac:dyDescent="0.2">
      <c r="G5637" s="31"/>
      <c r="H5637" s="31"/>
      <c r="I5637" s="31"/>
      <c r="J5637" s="31"/>
    </row>
    <row r="5638" spans="7:10" s="29" customFormat="1" x14ac:dyDescent="0.2">
      <c r="G5638" s="31"/>
      <c r="H5638" s="31"/>
      <c r="I5638" s="31"/>
      <c r="J5638" s="31"/>
    </row>
    <row r="5639" spans="7:10" s="29" customFormat="1" x14ac:dyDescent="0.2">
      <c r="G5639" s="31"/>
      <c r="H5639" s="31"/>
      <c r="I5639" s="31"/>
      <c r="J5639" s="31"/>
    </row>
    <row r="5640" spans="7:10" s="29" customFormat="1" x14ac:dyDescent="0.2">
      <c r="G5640" s="31"/>
      <c r="H5640" s="31"/>
      <c r="I5640" s="31"/>
      <c r="J5640" s="31"/>
    </row>
    <row r="5641" spans="7:10" s="29" customFormat="1" x14ac:dyDescent="0.2">
      <c r="G5641" s="31"/>
      <c r="H5641" s="31"/>
      <c r="I5641" s="31"/>
      <c r="J5641" s="31"/>
    </row>
    <row r="5642" spans="7:10" s="29" customFormat="1" x14ac:dyDescent="0.2">
      <c r="G5642" s="31"/>
      <c r="H5642" s="31"/>
      <c r="I5642" s="31"/>
      <c r="J5642" s="31"/>
    </row>
    <row r="5643" spans="7:10" s="29" customFormat="1" x14ac:dyDescent="0.2">
      <c r="G5643" s="31"/>
      <c r="H5643" s="31"/>
      <c r="I5643" s="31"/>
      <c r="J5643" s="31"/>
    </row>
    <row r="5644" spans="7:10" s="29" customFormat="1" x14ac:dyDescent="0.2">
      <c r="G5644" s="31"/>
      <c r="H5644" s="31"/>
      <c r="I5644" s="31"/>
      <c r="J5644" s="31"/>
    </row>
    <row r="5645" spans="7:10" s="29" customFormat="1" x14ac:dyDescent="0.2">
      <c r="G5645" s="31"/>
      <c r="H5645" s="31"/>
      <c r="I5645" s="31"/>
      <c r="J5645" s="31"/>
    </row>
    <row r="5646" spans="7:10" s="29" customFormat="1" x14ac:dyDescent="0.2">
      <c r="G5646" s="31"/>
      <c r="H5646" s="31"/>
      <c r="I5646" s="31"/>
      <c r="J5646" s="31"/>
    </row>
    <row r="5647" spans="7:10" s="29" customFormat="1" x14ac:dyDescent="0.2">
      <c r="G5647" s="31"/>
      <c r="H5647" s="31"/>
      <c r="I5647" s="31"/>
      <c r="J5647" s="31"/>
    </row>
    <row r="5648" spans="7:10" s="29" customFormat="1" x14ac:dyDescent="0.2">
      <c r="G5648" s="31"/>
      <c r="H5648" s="31"/>
      <c r="I5648" s="31"/>
      <c r="J5648" s="31"/>
    </row>
    <row r="5649" spans="7:10" s="29" customFormat="1" x14ac:dyDescent="0.2">
      <c r="G5649" s="31"/>
      <c r="H5649" s="31"/>
      <c r="I5649" s="31"/>
      <c r="J5649" s="31"/>
    </row>
    <row r="5650" spans="7:10" s="29" customFormat="1" x14ac:dyDescent="0.2">
      <c r="G5650" s="31"/>
      <c r="H5650" s="31"/>
      <c r="I5650" s="31"/>
      <c r="J5650" s="31"/>
    </row>
    <row r="5651" spans="7:10" s="29" customFormat="1" x14ac:dyDescent="0.2">
      <c r="G5651" s="31"/>
      <c r="H5651" s="31"/>
      <c r="I5651" s="31"/>
      <c r="J5651" s="31"/>
    </row>
    <row r="5652" spans="7:10" s="29" customFormat="1" x14ac:dyDescent="0.2">
      <c r="G5652" s="31"/>
      <c r="H5652" s="31"/>
      <c r="I5652" s="31"/>
      <c r="J5652" s="31"/>
    </row>
    <row r="5653" spans="7:10" s="29" customFormat="1" x14ac:dyDescent="0.2">
      <c r="G5653" s="31"/>
      <c r="H5653" s="31"/>
      <c r="I5653" s="31"/>
      <c r="J5653" s="31"/>
    </row>
    <row r="5654" spans="7:10" s="29" customFormat="1" x14ac:dyDescent="0.2">
      <c r="G5654" s="31"/>
      <c r="H5654" s="31"/>
      <c r="I5654" s="31"/>
      <c r="J5654" s="31"/>
    </row>
    <row r="5655" spans="7:10" s="29" customFormat="1" x14ac:dyDescent="0.2">
      <c r="G5655" s="31"/>
      <c r="H5655" s="31"/>
      <c r="I5655" s="31"/>
      <c r="J5655" s="31"/>
    </row>
    <row r="5656" spans="7:10" s="29" customFormat="1" x14ac:dyDescent="0.2">
      <c r="G5656" s="31"/>
      <c r="H5656" s="31"/>
      <c r="I5656" s="31"/>
      <c r="J5656" s="31"/>
    </row>
    <row r="5657" spans="7:10" s="29" customFormat="1" x14ac:dyDescent="0.2">
      <c r="G5657" s="31"/>
      <c r="H5657" s="31"/>
      <c r="I5657" s="31"/>
      <c r="J5657" s="31"/>
    </row>
    <row r="5658" spans="7:10" s="29" customFormat="1" x14ac:dyDescent="0.2">
      <c r="G5658" s="31"/>
      <c r="H5658" s="31"/>
      <c r="I5658" s="31"/>
      <c r="J5658" s="31"/>
    </row>
    <row r="5659" spans="7:10" s="29" customFormat="1" x14ac:dyDescent="0.2">
      <c r="G5659" s="31"/>
      <c r="H5659" s="31"/>
      <c r="I5659" s="31"/>
      <c r="J5659" s="31"/>
    </row>
    <row r="5660" spans="7:10" s="29" customFormat="1" x14ac:dyDescent="0.2">
      <c r="G5660" s="31"/>
      <c r="H5660" s="31"/>
      <c r="I5660" s="31"/>
      <c r="J5660" s="31"/>
    </row>
    <row r="5661" spans="7:10" s="29" customFormat="1" x14ac:dyDescent="0.2">
      <c r="G5661" s="31"/>
      <c r="H5661" s="31"/>
      <c r="I5661" s="31"/>
      <c r="J5661" s="31"/>
    </row>
    <row r="5662" spans="7:10" s="29" customFormat="1" x14ac:dyDescent="0.2">
      <c r="G5662" s="31"/>
      <c r="H5662" s="31"/>
      <c r="I5662" s="31"/>
      <c r="J5662" s="31"/>
    </row>
    <row r="5663" spans="7:10" s="29" customFormat="1" x14ac:dyDescent="0.2">
      <c r="G5663" s="31"/>
      <c r="H5663" s="31"/>
      <c r="I5663" s="31"/>
      <c r="J5663" s="31"/>
    </row>
    <row r="5664" spans="7:10" s="29" customFormat="1" x14ac:dyDescent="0.2">
      <c r="G5664" s="31"/>
      <c r="H5664" s="31"/>
      <c r="I5664" s="31"/>
      <c r="J5664" s="31"/>
    </row>
    <row r="5665" spans="7:10" s="29" customFormat="1" x14ac:dyDescent="0.2">
      <c r="G5665" s="31"/>
      <c r="H5665" s="31"/>
      <c r="I5665" s="31"/>
      <c r="J5665" s="31"/>
    </row>
    <row r="5666" spans="7:10" s="29" customFormat="1" x14ac:dyDescent="0.2">
      <c r="G5666" s="31"/>
      <c r="H5666" s="31"/>
      <c r="I5666" s="31"/>
      <c r="J5666" s="31"/>
    </row>
    <row r="5667" spans="7:10" s="29" customFormat="1" x14ac:dyDescent="0.2">
      <c r="G5667" s="31"/>
      <c r="H5667" s="31"/>
      <c r="I5667" s="31"/>
      <c r="J5667" s="31"/>
    </row>
    <row r="5668" spans="7:10" s="29" customFormat="1" x14ac:dyDescent="0.2">
      <c r="G5668" s="31"/>
      <c r="H5668" s="31"/>
      <c r="I5668" s="31"/>
      <c r="J5668" s="31"/>
    </row>
    <row r="5669" spans="7:10" s="29" customFormat="1" x14ac:dyDescent="0.2">
      <c r="G5669" s="31"/>
      <c r="H5669" s="31"/>
      <c r="I5669" s="31"/>
      <c r="J5669" s="31"/>
    </row>
    <row r="5670" spans="7:10" s="29" customFormat="1" x14ac:dyDescent="0.2">
      <c r="G5670" s="31"/>
      <c r="H5670" s="31"/>
      <c r="I5670" s="31"/>
      <c r="J5670" s="31"/>
    </row>
    <row r="5671" spans="7:10" s="29" customFormat="1" x14ac:dyDescent="0.2">
      <c r="G5671" s="31"/>
      <c r="H5671" s="31"/>
      <c r="I5671" s="31"/>
      <c r="J5671" s="31"/>
    </row>
    <row r="5672" spans="7:10" s="29" customFormat="1" x14ac:dyDescent="0.2">
      <c r="G5672" s="31"/>
      <c r="H5672" s="31"/>
      <c r="I5672" s="31"/>
      <c r="J5672" s="31"/>
    </row>
    <row r="5673" spans="7:10" s="29" customFormat="1" x14ac:dyDescent="0.2">
      <c r="G5673" s="31"/>
      <c r="H5673" s="31"/>
      <c r="I5673" s="31"/>
      <c r="J5673" s="31"/>
    </row>
    <row r="5674" spans="7:10" s="29" customFormat="1" x14ac:dyDescent="0.2">
      <c r="G5674" s="31"/>
      <c r="H5674" s="31"/>
      <c r="I5674" s="31"/>
      <c r="J5674" s="31"/>
    </row>
    <row r="5675" spans="7:10" s="29" customFormat="1" x14ac:dyDescent="0.2">
      <c r="G5675" s="31"/>
      <c r="H5675" s="31"/>
      <c r="I5675" s="31"/>
      <c r="J5675" s="31"/>
    </row>
    <row r="5676" spans="7:10" s="29" customFormat="1" x14ac:dyDescent="0.2">
      <c r="G5676" s="31"/>
      <c r="H5676" s="31"/>
      <c r="I5676" s="31"/>
      <c r="J5676" s="31"/>
    </row>
    <row r="5677" spans="7:10" s="29" customFormat="1" x14ac:dyDescent="0.2">
      <c r="G5677" s="31"/>
      <c r="H5677" s="31"/>
      <c r="I5677" s="31"/>
      <c r="J5677" s="31"/>
    </row>
    <row r="5678" spans="7:10" s="29" customFormat="1" x14ac:dyDescent="0.2">
      <c r="G5678" s="31"/>
      <c r="H5678" s="31"/>
      <c r="I5678" s="31"/>
      <c r="J5678" s="31"/>
    </row>
    <row r="5679" spans="7:10" s="29" customFormat="1" x14ac:dyDescent="0.2">
      <c r="G5679" s="31"/>
      <c r="H5679" s="31"/>
      <c r="I5679" s="31"/>
      <c r="J5679" s="31"/>
    </row>
    <row r="5680" spans="7:10" s="29" customFormat="1" x14ac:dyDescent="0.2">
      <c r="G5680" s="31"/>
      <c r="H5680" s="31"/>
      <c r="I5680" s="31"/>
      <c r="J5680" s="31"/>
    </row>
    <row r="5681" spans="7:10" s="29" customFormat="1" x14ac:dyDescent="0.2">
      <c r="G5681" s="31"/>
      <c r="H5681" s="31"/>
      <c r="I5681" s="31"/>
      <c r="J5681" s="31"/>
    </row>
    <row r="5682" spans="7:10" s="29" customFormat="1" x14ac:dyDescent="0.2">
      <c r="G5682" s="31"/>
      <c r="H5682" s="31"/>
      <c r="I5682" s="31"/>
      <c r="J5682" s="31"/>
    </row>
    <row r="5683" spans="7:10" s="29" customFormat="1" x14ac:dyDescent="0.2">
      <c r="G5683" s="31"/>
      <c r="H5683" s="31"/>
      <c r="I5683" s="31"/>
      <c r="J5683" s="31"/>
    </row>
    <row r="5684" spans="7:10" s="29" customFormat="1" x14ac:dyDescent="0.2">
      <c r="G5684" s="31"/>
      <c r="H5684" s="31"/>
      <c r="I5684" s="31"/>
      <c r="J5684" s="31"/>
    </row>
    <row r="5685" spans="7:10" s="29" customFormat="1" x14ac:dyDescent="0.2">
      <c r="G5685" s="31"/>
      <c r="H5685" s="31"/>
      <c r="I5685" s="31"/>
      <c r="J5685" s="31"/>
    </row>
    <row r="5686" spans="7:10" s="29" customFormat="1" x14ac:dyDescent="0.2">
      <c r="G5686" s="31"/>
      <c r="H5686" s="31"/>
      <c r="I5686" s="31"/>
      <c r="J5686" s="31"/>
    </row>
    <row r="5687" spans="7:10" s="29" customFormat="1" x14ac:dyDescent="0.2">
      <c r="G5687" s="31"/>
      <c r="H5687" s="31"/>
      <c r="I5687" s="31"/>
      <c r="J5687" s="31"/>
    </row>
    <row r="5688" spans="7:10" s="29" customFormat="1" x14ac:dyDescent="0.2">
      <c r="G5688" s="31"/>
      <c r="H5688" s="31"/>
      <c r="I5688" s="31"/>
      <c r="J5688" s="31"/>
    </row>
    <row r="5689" spans="7:10" s="29" customFormat="1" x14ac:dyDescent="0.2">
      <c r="G5689" s="31"/>
      <c r="H5689" s="31"/>
      <c r="I5689" s="31"/>
      <c r="J5689" s="31"/>
    </row>
    <row r="5690" spans="7:10" s="29" customFormat="1" x14ac:dyDescent="0.2">
      <c r="G5690" s="31"/>
      <c r="H5690" s="31"/>
      <c r="I5690" s="31"/>
      <c r="J5690" s="31"/>
    </row>
    <row r="5691" spans="7:10" s="29" customFormat="1" x14ac:dyDescent="0.2">
      <c r="G5691" s="31"/>
      <c r="H5691" s="31"/>
      <c r="I5691" s="31"/>
      <c r="J5691" s="31"/>
    </row>
    <row r="5692" spans="7:10" s="29" customFormat="1" x14ac:dyDescent="0.2">
      <c r="G5692" s="31"/>
      <c r="H5692" s="31"/>
      <c r="I5692" s="31"/>
      <c r="J5692" s="31"/>
    </row>
    <row r="5693" spans="7:10" s="29" customFormat="1" x14ac:dyDescent="0.2">
      <c r="G5693" s="31"/>
      <c r="H5693" s="31"/>
      <c r="I5693" s="31"/>
      <c r="J5693" s="31"/>
    </row>
    <row r="5694" spans="7:10" s="29" customFormat="1" x14ac:dyDescent="0.2">
      <c r="G5694" s="31"/>
      <c r="H5694" s="31"/>
      <c r="I5694" s="31"/>
      <c r="J5694" s="31"/>
    </row>
    <row r="5695" spans="7:10" s="29" customFormat="1" x14ac:dyDescent="0.2">
      <c r="G5695" s="31"/>
      <c r="H5695" s="31"/>
      <c r="I5695" s="31"/>
      <c r="J5695" s="31"/>
    </row>
    <row r="5696" spans="7:10" s="29" customFormat="1" x14ac:dyDescent="0.2">
      <c r="G5696" s="31"/>
      <c r="H5696" s="31"/>
      <c r="I5696" s="31"/>
      <c r="J5696" s="31"/>
    </row>
    <row r="5697" spans="7:10" s="29" customFormat="1" x14ac:dyDescent="0.2">
      <c r="G5697" s="31"/>
      <c r="H5697" s="31"/>
      <c r="I5697" s="31"/>
      <c r="J5697" s="31"/>
    </row>
    <row r="5698" spans="7:10" s="29" customFormat="1" x14ac:dyDescent="0.2">
      <c r="G5698" s="31"/>
      <c r="H5698" s="31"/>
      <c r="I5698" s="31"/>
      <c r="J5698" s="31"/>
    </row>
    <row r="5699" spans="7:10" s="29" customFormat="1" x14ac:dyDescent="0.2">
      <c r="G5699" s="31"/>
      <c r="H5699" s="31"/>
      <c r="I5699" s="31"/>
      <c r="J5699" s="31"/>
    </row>
    <row r="5700" spans="7:10" s="29" customFormat="1" x14ac:dyDescent="0.2">
      <c r="G5700" s="31"/>
      <c r="H5700" s="31"/>
      <c r="I5700" s="31"/>
      <c r="J5700" s="31"/>
    </row>
    <row r="5701" spans="7:10" s="29" customFormat="1" x14ac:dyDescent="0.2">
      <c r="G5701" s="31"/>
      <c r="H5701" s="31"/>
      <c r="I5701" s="31"/>
      <c r="J5701" s="31"/>
    </row>
    <row r="5702" spans="7:10" s="29" customFormat="1" x14ac:dyDescent="0.2">
      <c r="G5702" s="31"/>
      <c r="H5702" s="31"/>
      <c r="I5702" s="31"/>
      <c r="J5702" s="31"/>
    </row>
    <row r="5703" spans="7:10" s="29" customFormat="1" x14ac:dyDescent="0.2">
      <c r="G5703" s="31"/>
      <c r="H5703" s="31"/>
      <c r="I5703" s="31"/>
      <c r="J5703" s="31"/>
    </row>
    <row r="5704" spans="7:10" s="29" customFormat="1" x14ac:dyDescent="0.2">
      <c r="G5704" s="31"/>
      <c r="H5704" s="31"/>
      <c r="I5704" s="31"/>
      <c r="J5704" s="31"/>
    </row>
    <row r="5705" spans="7:10" s="29" customFormat="1" x14ac:dyDescent="0.2">
      <c r="G5705" s="31"/>
      <c r="H5705" s="31"/>
      <c r="I5705" s="31"/>
      <c r="J5705" s="31"/>
    </row>
    <row r="5706" spans="7:10" s="29" customFormat="1" x14ac:dyDescent="0.2">
      <c r="G5706" s="31"/>
      <c r="H5706" s="31"/>
      <c r="I5706" s="31"/>
      <c r="J5706" s="31"/>
    </row>
    <row r="5707" spans="7:10" s="29" customFormat="1" x14ac:dyDescent="0.2">
      <c r="G5707" s="31"/>
      <c r="H5707" s="31"/>
      <c r="I5707" s="31"/>
      <c r="J5707" s="31"/>
    </row>
    <row r="5708" spans="7:10" s="29" customFormat="1" x14ac:dyDescent="0.2">
      <c r="G5708" s="31"/>
      <c r="H5708" s="31"/>
      <c r="I5708" s="31"/>
      <c r="J5708" s="31"/>
    </row>
    <row r="5709" spans="7:10" s="29" customFormat="1" x14ac:dyDescent="0.2">
      <c r="G5709" s="31"/>
      <c r="H5709" s="31"/>
      <c r="I5709" s="31"/>
      <c r="J5709" s="31"/>
    </row>
    <row r="5710" spans="7:10" s="29" customFormat="1" x14ac:dyDescent="0.2">
      <c r="G5710" s="31"/>
      <c r="H5710" s="31"/>
      <c r="I5710" s="31"/>
      <c r="J5710" s="31"/>
    </row>
    <row r="5711" spans="7:10" s="29" customFormat="1" x14ac:dyDescent="0.2">
      <c r="G5711" s="31"/>
      <c r="H5711" s="31"/>
      <c r="I5711" s="31"/>
      <c r="J5711" s="31"/>
    </row>
    <row r="5712" spans="7:10" s="29" customFormat="1" x14ac:dyDescent="0.2">
      <c r="G5712" s="31"/>
      <c r="H5712" s="31"/>
      <c r="I5712" s="31"/>
      <c r="J5712" s="31"/>
    </row>
    <row r="5713" spans="7:10" s="29" customFormat="1" x14ac:dyDescent="0.2">
      <c r="G5713" s="31"/>
      <c r="H5713" s="31"/>
      <c r="I5713" s="31"/>
      <c r="J5713" s="31"/>
    </row>
    <row r="5714" spans="7:10" s="29" customFormat="1" x14ac:dyDescent="0.2">
      <c r="G5714" s="31"/>
      <c r="H5714" s="31"/>
      <c r="I5714" s="31"/>
      <c r="J5714" s="31"/>
    </row>
    <row r="5715" spans="7:10" s="29" customFormat="1" x14ac:dyDescent="0.2">
      <c r="G5715" s="31"/>
      <c r="H5715" s="31"/>
      <c r="I5715" s="31"/>
      <c r="J5715" s="31"/>
    </row>
    <row r="5716" spans="7:10" s="29" customFormat="1" x14ac:dyDescent="0.2">
      <c r="G5716" s="31"/>
      <c r="H5716" s="31"/>
      <c r="I5716" s="31"/>
      <c r="J5716" s="31"/>
    </row>
    <row r="5717" spans="7:10" s="29" customFormat="1" x14ac:dyDescent="0.2">
      <c r="G5717" s="31"/>
      <c r="H5717" s="31"/>
      <c r="I5717" s="31"/>
      <c r="J5717" s="31"/>
    </row>
    <row r="5718" spans="7:10" s="29" customFormat="1" x14ac:dyDescent="0.2">
      <c r="G5718" s="31"/>
      <c r="H5718" s="31"/>
      <c r="I5718" s="31"/>
      <c r="J5718" s="31"/>
    </row>
    <row r="5719" spans="7:10" s="29" customFormat="1" x14ac:dyDescent="0.2">
      <c r="G5719" s="31"/>
      <c r="H5719" s="31"/>
      <c r="I5719" s="31"/>
      <c r="J5719" s="31"/>
    </row>
    <row r="5720" spans="7:10" s="29" customFormat="1" x14ac:dyDescent="0.2">
      <c r="G5720" s="31"/>
      <c r="H5720" s="31"/>
      <c r="I5720" s="31"/>
      <c r="J5720" s="31"/>
    </row>
    <row r="5721" spans="7:10" s="29" customFormat="1" x14ac:dyDescent="0.2">
      <c r="G5721" s="31"/>
      <c r="H5721" s="31"/>
      <c r="I5721" s="31"/>
      <c r="J5721" s="31"/>
    </row>
    <row r="5722" spans="7:10" s="29" customFormat="1" x14ac:dyDescent="0.2">
      <c r="G5722" s="31"/>
      <c r="H5722" s="31"/>
      <c r="I5722" s="31"/>
      <c r="J5722" s="31"/>
    </row>
    <row r="5723" spans="7:10" s="29" customFormat="1" x14ac:dyDescent="0.2">
      <c r="G5723" s="31"/>
      <c r="H5723" s="31"/>
      <c r="I5723" s="31"/>
      <c r="J5723" s="31"/>
    </row>
    <row r="5724" spans="7:10" s="29" customFormat="1" x14ac:dyDescent="0.2">
      <c r="G5724" s="31"/>
      <c r="H5724" s="31"/>
      <c r="I5724" s="31"/>
      <c r="J5724" s="31"/>
    </row>
    <row r="5725" spans="7:10" s="29" customFormat="1" x14ac:dyDescent="0.2">
      <c r="G5725" s="31"/>
      <c r="H5725" s="31"/>
      <c r="I5725" s="31"/>
      <c r="J5725" s="31"/>
    </row>
    <row r="5726" spans="7:10" s="29" customFormat="1" x14ac:dyDescent="0.2">
      <c r="G5726" s="31"/>
      <c r="H5726" s="31"/>
      <c r="I5726" s="31"/>
      <c r="J5726" s="31"/>
    </row>
    <row r="5727" spans="7:10" s="29" customFormat="1" x14ac:dyDescent="0.2">
      <c r="G5727" s="31"/>
      <c r="H5727" s="31"/>
      <c r="I5727" s="31"/>
      <c r="J5727" s="31"/>
    </row>
    <row r="5728" spans="7:10" s="29" customFormat="1" x14ac:dyDescent="0.2">
      <c r="G5728" s="31"/>
      <c r="H5728" s="31"/>
      <c r="I5728" s="31"/>
      <c r="J5728" s="31"/>
    </row>
    <row r="5729" spans="7:10" s="29" customFormat="1" x14ac:dyDescent="0.2">
      <c r="G5729" s="31"/>
      <c r="H5729" s="31"/>
      <c r="I5729" s="31"/>
      <c r="J5729" s="31"/>
    </row>
    <row r="5730" spans="7:10" s="29" customFormat="1" x14ac:dyDescent="0.2">
      <c r="G5730" s="31"/>
      <c r="H5730" s="31"/>
      <c r="I5730" s="31"/>
      <c r="J5730" s="31"/>
    </row>
    <row r="5731" spans="7:10" s="29" customFormat="1" x14ac:dyDescent="0.2">
      <c r="G5731" s="31"/>
      <c r="H5731" s="31"/>
      <c r="I5731" s="31"/>
      <c r="J5731" s="31"/>
    </row>
    <row r="5732" spans="7:10" s="29" customFormat="1" x14ac:dyDescent="0.2">
      <c r="G5732" s="31"/>
      <c r="H5732" s="31"/>
      <c r="I5732" s="31"/>
      <c r="J5732" s="31"/>
    </row>
    <row r="5733" spans="7:10" s="29" customFormat="1" x14ac:dyDescent="0.2">
      <c r="G5733" s="31"/>
      <c r="H5733" s="31"/>
      <c r="I5733" s="31"/>
      <c r="J5733" s="31"/>
    </row>
    <row r="5734" spans="7:10" s="29" customFormat="1" x14ac:dyDescent="0.2">
      <c r="G5734" s="31"/>
      <c r="H5734" s="31"/>
      <c r="I5734" s="31"/>
      <c r="J5734" s="31"/>
    </row>
    <row r="5735" spans="7:10" s="29" customFormat="1" x14ac:dyDescent="0.2">
      <c r="G5735" s="31"/>
      <c r="H5735" s="31"/>
      <c r="I5735" s="31"/>
      <c r="J5735" s="31"/>
    </row>
    <row r="5736" spans="7:10" s="29" customFormat="1" x14ac:dyDescent="0.2">
      <c r="G5736" s="31"/>
      <c r="H5736" s="31"/>
      <c r="I5736" s="31"/>
      <c r="J5736" s="31"/>
    </row>
    <row r="5737" spans="7:10" s="29" customFormat="1" x14ac:dyDescent="0.2">
      <c r="G5737" s="31"/>
      <c r="H5737" s="31"/>
      <c r="I5737" s="31"/>
      <c r="J5737" s="31"/>
    </row>
    <row r="5738" spans="7:10" s="29" customFormat="1" x14ac:dyDescent="0.2">
      <c r="G5738" s="31"/>
      <c r="H5738" s="31"/>
      <c r="I5738" s="31"/>
      <c r="J5738" s="31"/>
    </row>
    <row r="5739" spans="7:10" s="29" customFormat="1" x14ac:dyDescent="0.2">
      <c r="G5739" s="31"/>
      <c r="H5739" s="31"/>
      <c r="I5739" s="31"/>
      <c r="J5739" s="31"/>
    </row>
    <row r="5740" spans="7:10" s="29" customFormat="1" x14ac:dyDescent="0.2">
      <c r="G5740" s="31"/>
      <c r="H5740" s="31"/>
      <c r="I5740" s="31"/>
      <c r="J5740" s="31"/>
    </row>
    <row r="5741" spans="7:10" s="29" customFormat="1" x14ac:dyDescent="0.2">
      <c r="G5741" s="31"/>
      <c r="H5741" s="31"/>
      <c r="I5741" s="31"/>
      <c r="J5741" s="31"/>
    </row>
    <row r="5742" spans="7:10" s="29" customFormat="1" x14ac:dyDescent="0.2">
      <c r="G5742" s="31"/>
      <c r="H5742" s="31"/>
      <c r="I5742" s="31"/>
      <c r="J5742" s="31"/>
    </row>
    <row r="5743" spans="7:10" s="29" customFormat="1" x14ac:dyDescent="0.2">
      <c r="G5743" s="31"/>
      <c r="H5743" s="31"/>
      <c r="I5743" s="31"/>
      <c r="J5743" s="31"/>
    </row>
    <row r="5744" spans="7:10" s="29" customFormat="1" x14ac:dyDescent="0.2">
      <c r="G5744" s="31"/>
      <c r="H5744" s="31"/>
      <c r="I5744" s="31"/>
      <c r="J5744" s="31"/>
    </row>
    <row r="5745" spans="7:10" s="29" customFormat="1" x14ac:dyDescent="0.2">
      <c r="G5745" s="31"/>
      <c r="H5745" s="31"/>
      <c r="I5745" s="31"/>
      <c r="J5745" s="31"/>
    </row>
    <row r="5746" spans="7:10" s="29" customFormat="1" x14ac:dyDescent="0.2">
      <c r="G5746" s="31"/>
      <c r="H5746" s="31"/>
      <c r="I5746" s="31"/>
      <c r="J5746" s="31"/>
    </row>
    <row r="5747" spans="7:10" s="29" customFormat="1" x14ac:dyDescent="0.2">
      <c r="G5747" s="31"/>
      <c r="H5747" s="31"/>
      <c r="I5747" s="31"/>
      <c r="J5747" s="31"/>
    </row>
    <row r="5748" spans="7:10" s="29" customFormat="1" x14ac:dyDescent="0.2">
      <c r="G5748" s="31"/>
      <c r="H5748" s="31"/>
      <c r="I5748" s="31"/>
      <c r="J5748" s="31"/>
    </row>
    <row r="5749" spans="7:10" s="29" customFormat="1" x14ac:dyDescent="0.2">
      <c r="G5749" s="31"/>
      <c r="H5749" s="31"/>
      <c r="I5749" s="31"/>
      <c r="J5749" s="31"/>
    </row>
    <row r="5750" spans="7:10" s="29" customFormat="1" x14ac:dyDescent="0.2">
      <c r="G5750" s="31"/>
      <c r="H5750" s="31"/>
      <c r="I5750" s="31"/>
      <c r="J5750" s="31"/>
    </row>
    <row r="5751" spans="7:10" s="29" customFormat="1" x14ac:dyDescent="0.2">
      <c r="G5751" s="31"/>
      <c r="H5751" s="31"/>
      <c r="I5751" s="31"/>
      <c r="J5751" s="31"/>
    </row>
    <row r="5752" spans="7:10" s="29" customFormat="1" x14ac:dyDescent="0.2">
      <c r="G5752" s="31"/>
      <c r="H5752" s="31"/>
      <c r="I5752" s="31"/>
      <c r="J5752" s="31"/>
    </row>
    <row r="5753" spans="7:10" s="29" customFormat="1" x14ac:dyDescent="0.2">
      <c r="G5753" s="31"/>
      <c r="H5753" s="31"/>
      <c r="I5753" s="31"/>
      <c r="J5753" s="31"/>
    </row>
    <row r="5754" spans="7:10" s="29" customFormat="1" x14ac:dyDescent="0.2">
      <c r="G5754" s="31"/>
      <c r="H5754" s="31"/>
      <c r="I5754" s="31"/>
      <c r="J5754" s="31"/>
    </row>
    <row r="5755" spans="7:10" s="29" customFormat="1" x14ac:dyDescent="0.2">
      <c r="G5755" s="31"/>
      <c r="H5755" s="31"/>
      <c r="I5755" s="31"/>
      <c r="J5755" s="31"/>
    </row>
    <row r="5756" spans="7:10" s="29" customFormat="1" x14ac:dyDescent="0.2">
      <c r="G5756" s="31"/>
      <c r="H5756" s="31"/>
      <c r="I5756" s="31"/>
      <c r="J5756" s="31"/>
    </row>
    <row r="5757" spans="7:10" s="29" customFormat="1" x14ac:dyDescent="0.2">
      <c r="G5757" s="31"/>
      <c r="H5757" s="31"/>
      <c r="I5757" s="31"/>
      <c r="J5757" s="31"/>
    </row>
    <row r="5758" spans="7:10" s="29" customFormat="1" x14ac:dyDescent="0.2">
      <c r="G5758" s="31"/>
      <c r="H5758" s="31"/>
      <c r="I5758" s="31"/>
      <c r="J5758" s="31"/>
    </row>
    <row r="5759" spans="7:10" s="29" customFormat="1" x14ac:dyDescent="0.2">
      <c r="G5759" s="31"/>
      <c r="H5759" s="31"/>
      <c r="I5759" s="31"/>
      <c r="J5759" s="31"/>
    </row>
    <row r="5760" spans="7:10" s="29" customFormat="1" x14ac:dyDescent="0.2">
      <c r="G5760" s="31"/>
      <c r="H5760" s="31"/>
      <c r="I5760" s="31"/>
      <c r="J5760" s="31"/>
    </row>
    <row r="5761" spans="7:10" s="29" customFormat="1" x14ac:dyDescent="0.2">
      <c r="G5761" s="31"/>
      <c r="H5761" s="31"/>
      <c r="I5761" s="31"/>
      <c r="J5761" s="31"/>
    </row>
    <row r="5762" spans="7:10" s="29" customFormat="1" x14ac:dyDescent="0.2">
      <c r="G5762" s="31"/>
      <c r="H5762" s="31"/>
      <c r="I5762" s="31"/>
      <c r="J5762" s="31"/>
    </row>
    <row r="5763" spans="7:10" s="29" customFormat="1" x14ac:dyDescent="0.2">
      <c r="G5763" s="31"/>
      <c r="H5763" s="31"/>
      <c r="I5763" s="31"/>
      <c r="J5763" s="31"/>
    </row>
    <row r="5764" spans="7:10" s="29" customFormat="1" x14ac:dyDescent="0.2">
      <c r="G5764" s="31"/>
      <c r="H5764" s="31"/>
      <c r="I5764" s="31"/>
      <c r="J5764" s="31"/>
    </row>
    <row r="5765" spans="7:10" s="29" customFormat="1" x14ac:dyDescent="0.2">
      <c r="G5765" s="31"/>
      <c r="H5765" s="31"/>
      <c r="I5765" s="31"/>
      <c r="J5765" s="31"/>
    </row>
    <row r="5766" spans="7:10" s="29" customFormat="1" x14ac:dyDescent="0.2">
      <c r="G5766" s="31"/>
      <c r="H5766" s="31"/>
      <c r="I5766" s="31"/>
      <c r="J5766" s="31"/>
    </row>
    <row r="5767" spans="7:10" s="29" customFormat="1" x14ac:dyDescent="0.2">
      <c r="G5767" s="31"/>
      <c r="H5767" s="31"/>
      <c r="I5767" s="31"/>
      <c r="J5767" s="31"/>
    </row>
    <row r="5768" spans="7:10" s="29" customFormat="1" x14ac:dyDescent="0.2">
      <c r="G5768" s="31"/>
      <c r="H5768" s="31"/>
      <c r="I5768" s="31"/>
      <c r="J5768" s="31"/>
    </row>
    <row r="5769" spans="7:10" s="29" customFormat="1" x14ac:dyDescent="0.2">
      <c r="G5769" s="31"/>
      <c r="H5769" s="31"/>
      <c r="I5769" s="31"/>
      <c r="J5769" s="31"/>
    </row>
    <row r="5770" spans="7:10" s="29" customFormat="1" x14ac:dyDescent="0.2">
      <c r="G5770" s="31"/>
      <c r="H5770" s="31"/>
      <c r="I5770" s="31"/>
      <c r="J5770" s="31"/>
    </row>
    <row r="5771" spans="7:10" s="29" customFormat="1" x14ac:dyDescent="0.2">
      <c r="G5771" s="31"/>
      <c r="H5771" s="31"/>
      <c r="I5771" s="31"/>
      <c r="J5771" s="31"/>
    </row>
    <row r="5772" spans="7:10" s="29" customFormat="1" x14ac:dyDescent="0.2">
      <c r="G5772" s="31"/>
      <c r="H5772" s="31"/>
      <c r="I5772" s="31"/>
      <c r="J5772" s="31"/>
    </row>
    <row r="5773" spans="7:10" s="29" customFormat="1" x14ac:dyDescent="0.2">
      <c r="G5773" s="31"/>
      <c r="H5773" s="31"/>
      <c r="I5773" s="31"/>
      <c r="J5773" s="31"/>
    </row>
    <row r="5774" spans="7:10" s="29" customFormat="1" x14ac:dyDescent="0.2">
      <c r="G5774" s="31"/>
      <c r="H5774" s="31"/>
      <c r="I5774" s="31"/>
      <c r="J5774" s="31"/>
    </row>
    <row r="5775" spans="7:10" s="29" customFormat="1" x14ac:dyDescent="0.2">
      <c r="G5775" s="31"/>
      <c r="H5775" s="31"/>
      <c r="I5775" s="31"/>
      <c r="J5775" s="31"/>
    </row>
    <row r="5776" spans="7:10" s="29" customFormat="1" x14ac:dyDescent="0.2">
      <c r="G5776" s="31"/>
      <c r="H5776" s="31"/>
      <c r="I5776" s="31"/>
      <c r="J5776" s="31"/>
    </row>
    <row r="5777" spans="7:10" s="29" customFormat="1" x14ac:dyDescent="0.2">
      <c r="G5777" s="31"/>
      <c r="H5777" s="31"/>
      <c r="I5777" s="31"/>
      <c r="J5777" s="31"/>
    </row>
    <row r="5778" spans="7:10" s="29" customFormat="1" x14ac:dyDescent="0.2">
      <c r="G5778" s="31"/>
      <c r="H5778" s="31"/>
      <c r="I5778" s="31"/>
      <c r="J5778" s="31"/>
    </row>
    <row r="5779" spans="7:10" s="29" customFormat="1" x14ac:dyDescent="0.2">
      <c r="G5779" s="31"/>
      <c r="H5779" s="31"/>
      <c r="I5779" s="31"/>
      <c r="J5779" s="31"/>
    </row>
    <row r="5780" spans="7:10" s="29" customFormat="1" x14ac:dyDescent="0.2">
      <c r="G5780" s="31"/>
      <c r="H5780" s="31"/>
      <c r="I5780" s="31"/>
      <c r="J5780" s="31"/>
    </row>
    <row r="5781" spans="7:10" s="29" customFormat="1" x14ac:dyDescent="0.2">
      <c r="G5781" s="31"/>
      <c r="H5781" s="31"/>
      <c r="I5781" s="31"/>
      <c r="J5781" s="31"/>
    </row>
    <row r="5782" spans="7:10" s="29" customFormat="1" x14ac:dyDescent="0.2">
      <c r="G5782" s="31"/>
      <c r="H5782" s="31"/>
      <c r="I5782" s="31"/>
      <c r="J5782" s="31"/>
    </row>
    <row r="5783" spans="7:10" s="29" customFormat="1" x14ac:dyDescent="0.2">
      <c r="G5783" s="31"/>
      <c r="H5783" s="31"/>
      <c r="I5783" s="31"/>
      <c r="J5783" s="31"/>
    </row>
    <row r="5784" spans="7:10" s="29" customFormat="1" x14ac:dyDescent="0.2">
      <c r="G5784" s="31"/>
      <c r="H5784" s="31"/>
      <c r="I5784" s="31"/>
      <c r="J5784" s="31"/>
    </row>
    <row r="5785" spans="7:10" s="29" customFormat="1" x14ac:dyDescent="0.2">
      <c r="G5785" s="31"/>
      <c r="H5785" s="31"/>
      <c r="I5785" s="31"/>
      <c r="J5785" s="31"/>
    </row>
    <row r="5786" spans="7:10" s="29" customFormat="1" x14ac:dyDescent="0.2">
      <c r="G5786" s="31"/>
      <c r="H5786" s="31"/>
      <c r="I5786" s="31"/>
      <c r="J5786" s="31"/>
    </row>
    <row r="5787" spans="7:10" s="29" customFormat="1" x14ac:dyDescent="0.2">
      <c r="G5787" s="31"/>
      <c r="H5787" s="31"/>
      <c r="I5787" s="31"/>
      <c r="J5787" s="31"/>
    </row>
    <row r="5788" spans="7:10" s="29" customFormat="1" x14ac:dyDescent="0.2">
      <c r="G5788" s="31"/>
      <c r="H5788" s="31"/>
      <c r="I5788" s="31"/>
      <c r="J5788" s="31"/>
    </row>
    <row r="5789" spans="7:10" s="29" customFormat="1" x14ac:dyDescent="0.2">
      <c r="G5789" s="31"/>
      <c r="H5789" s="31"/>
      <c r="I5789" s="31"/>
      <c r="J5789" s="31"/>
    </row>
    <row r="5790" spans="7:10" s="29" customFormat="1" x14ac:dyDescent="0.2">
      <c r="G5790" s="31"/>
      <c r="H5790" s="31"/>
      <c r="I5790" s="31"/>
      <c r="J5790" s="31"/>
    </row>
    <row r="5791" spans="7:10" s="29" customFormat="1" x14ac:dyDescent="0.2">
      <c r="G5791" s="31"/>
      <c r="H5791" s="31"/>
      <c r="I5791" s="31"/>
      <c r="J5791" s="31"/>
    </row>
    <row r="5792" spans="7:10" s="29" customFormat="1" x14ac:dyDescent="0.2">
      <c r="G5792" s="31"/>
      <c r="H5792" s="31"/>
      <c r="I5792" s="31"/>
      <c r="J5792" s="31"/>
    </row>
    <row r="5793" spans="7:10" s="29" customFormat="1" x14ac:dyDescent="0.2">
      <c r="G5793" s="31"/>
      <c r="H5793" s="31"/>
      <c r="I5793" s="31"/>
      <c r="J5793" s="31"/>
    </row>
    <row r="5794" spans="7:10" s="29" customFormat="1" x14ac:dyDescent="0.2">
      <c r="G5794" s="31"/>
      <c r="H5794" s="31"/>
      <c r="I5794" s="31"/>
      <c r="J5794" s="31"/>
    </row>
    <row r="5795" spans="7:10" s="29" customFormat="1" x14ac:dyDescent="0.2">
      <c r="G5795" s="31"/>
      <c r="H5795" s="31"/>
      <c r="I5795" s="31"/>
      <c r="J5795" s="31"/>
    </row>
    <row r="5796" spans="7:10" s="29" customFormat="1" x14ac:dyDescent="0.2">
      <c r="G5796" s="31"/>
      <c r="H5796" s="31"/>
      <c r="I5796" s="31"/>
      <c r="J5796" s="31"/>
    </row>
    <row r="5797" spans="7:10" s="29" customFormat="1" x14ac:dyDescent="0.2">
      <c r="G5797" s="31"/>
      <c r="H5797" s="31"/>
      <c r="I5797" s="31"/>
      <c r="J5797" s="31"/>
    </row>
    <row r="5798" spans="7:10" s="29" customFormat="1" x14ac:dyDescent="0.2">
      <c r="G5798" s="31"/>
      <c r="H5798" s="31"/>
      <c r="I5798" s="31"/>
      <c r="J5798" s="31"/>
    </row>
    <row r="5799" spans="7:10" s="29" customFormat="1" x14ac:dyDescent="0.2">
      <c r="G5799" s="31"/>
      <c r="H5799" s="31"/>
      <c r="I5799" s="31"/>
      <c r="J5799" s="31"/>
    </row>
    <row r="5800" spans="7:10" s="29" customFormat="1" x14ac:dyDescent="0.2">
      <c r="G5800" s="31"/>
      <c r="H5800" s="31"/>
      <c r="I5800" s="31"/>
      <c r="J5800" s="31"/>
    </row>
    <row r="5801" spans="7:10" s="29" customFormat="1" x14ac:dyDescent="0.2">
      <c r="G5801" s="31"/>
      <c r="H5801" s="31"/>
      <c r="I5801" s="31"/>
      <c r="J5801" s="31"/>
    </row>
    <row r="5802" spans="7:10" s="29" customFormat="1" x14ac:dyDescent="0.2">
      <c r="G5802" s="31"/>
      <c r="H5802" s="31"/>
      <c r="I5802" s="31"/>
      <c r="J5802" s="31"/>
    </row>
    <row r="5803" spans="7:10" s="29" customFormat="1" x14ac:dyDescent="0.2">
      <c r="G5803" s="31"/>
      <c r="H5803" s="31"/>
      <c r="I5803" s="31"/>
      <c r="J5803" s="31"/>
    </row>
    <row r="5804" spans="7:10" s="29" customFormat="1" x14ac:dyDescent="0.2">
      <c r="G5804" s="31"/>
      <c r="H5804" s="31"/>
      <c r="I5804" s="31"/>
      <c r="J5804" s="31"/>
    </row>
    <row r="5805" spans="7:10" s="29" customFormat="1" x14ac:dyDescent="0.2">
      <c r="G5805" s="31"/>
      <c r="H5805" s="31"/>
      <c r="I5805" s="31"/>
      <c r="J5805" s="31"/>
    </row>
    <row r="5806" spans="7:10" s="29" customFormat="1" x14ac:dyDescent="0.2">
      <c r="G5806" s="31"/>
      <c r="H5806" s="31"/>
      <c r="I5806" s="31"/>
      <c r="J5806" s="31"/>
    </row>
    <row r="5807" spans="7:10" s="29" customFormat="1" x14ac:dyDescent="0.2">
      <c r="G5807" s="31"/>
      <c r="H5807" s="31"/>
      <c r="I5807" s="31"/>
      <c r="J5807" s="31"/>
    </row>
    <row r="5808" spans="7:10" s="29" customFormat="1" x14ac:dyDescent="0.2">
      <c r="G5808" s="31"/>
      <c r="H5808" s="31"/>
      <c r="I5808" s="31"/>
      <c r="J5808" s="31"/>
    </row>
    <row r="5809" spans="7:10" s="29" customFormat="1" x14ac:dyDescent="0.2">
      <c r="G5809" s="31"/>
      <c r="H5809" s="31"/>
      <c r="I5809" s="31"/>
      <c r="J5809" s="31"/>
    </row>
    <row r="5810" spans="7:10" s="29" customFormat="1" x14ac:dyDescent="0.2">
      <c r="G5810" s="31"/>
      <c r="H5810" s="31"/>
      <c r="I5810" s="31"/>
      <c r="J5810" s="31"/>
    </row>
    <row r="5811" spans="7:10" s="29" customFormat="1" x14ac:dyDescent="0.2">
      <c r="G5811" s="31"/>
      <c r="H5811" s="31"/>
      <c r="I5811" s="31"/>
      <c r="J5811" s="31"/>
    </row>
    <row r="5812" spans="7:10" s="29" customFormat="1" x14ac:dyDescent="0.2">
      <c r="G5812" s="31"/>
      <c r="H5812" s="31"/>
      <c r="I5812" s="31"/>
      <c r="J5812" s="31"/>
    </row>
    <row r="5813" spans="7:10" s="29" customFormat="1" x14ac:dyDescent="0.2">
      <c r="G5813" s="31"/>
      <c r="H5813" s="31"/>
      <c r="I5813" s="31"/>
      <c r="J5813" s="31"/>
    </row>
    <row r="5814" spans="7:10" s="29" customFormat="1" x14ac:dyDescent="0.2">
      <c r="G5814" s="31"/>
      <c r="H5814" s="31"/>
      <c r="I5814" s="31"/>
      <c r="J5814" s="31"/>
    </row>
    <row r="5815" spans="7:10" s="29" customFormat="1" x14ac:dyDescent="0.2">
      <c r="G5815" s="31"/>
      <c r="H5815" s="31"/>
      <c r="I5815" s="31"/>
      <c r="J5815" s="31"/>
    </row>
    <row r="5816" spans="7:10" s="29" customFormat="1" x14ac:dyDescent="0.2">
      <c r="G5816" s="31"/>
      <c r="H5816" s="31"/>
      <c r="I5816" s="31"/>
      <c r="J5816" s="31"/>
    </row>
    <row r="5817" spans="7:10" s="29" customFormat="1" x14ac:dyDescent="0.2">
      <c r="G5817" s="31"/>
      <c r="H5817" s="31"/>
      <c r="I5817" s="31"/>
      <c r="J5817" s="31"/>
    </row>
    <row r="5818" spans="7:10" s="29" customFormat="1" x14ac:dyDescent="0.2">
      <c r="G5818" s="31"/>
      <c r="H5818" s="31"/>
      <c r="I5818" s="31"/>
      <c r="J5818" s="31"/>
    </row>
    <row r="5819" spans="7:10" s="29" customFormat="1" x14ac:dyDescent="0.2">
      <c r="G5819" s="31"/>
      <c r="H5819" s="31"/>
      <c r="I5819" s="31"/>
      <c r="J5819" s="31"/>
    </row>
    <row r="5820" spans="7:10" s="29" customFormat="1" x14ac:dyDescent="0.2">
      <c r="G5820" s="31"/>
      <c r="H5820" s="31"/>
      <c r="I5820" s="31"/>
      <c r="J5820" s="31"/>
    </row>
    <row r="5821" spans="7:10" s="29" customFormat="1" x14ac:dyDescent="0.2">
      <c r="G5821" s="31"/>
      <c r="H5821" s="31"/>
      <c r="I5821" s="31"/>
      <c r="J5821" s="31"/>
    </row>
    <row r="5822" spans="7:10" s="29" customFormat="1" x14ac:dyDescent="0.2">
      <c r="G5822" s="31"/>
      <c r="H5822" s="31"/>
      <c r="I5822" s="31"/>
      <c r="J5822" s="31"/>
    </row>
    <row r="5823" spans="7:10" s="29" customFormat="1" x14ac:dyDescent="0.2">
      <c r="G5823" s="31"/>
      <c r="H5823" s="31"/>
      <c r="I5823" s="31"/>
      <c r="J5823" s="31"/>
    </row>
    <row r="5824" spans="7:10" s="29" customFormat="1" x14ac:dyDescent="0.2">
      <c r="G5824" s="31"/>
      <c r="H5824" s="31"/>
      <c r="I5824" s="31"/>
      <c r="J5824" s="31"/>
    </row>
    <row r="5825" spans="7:10" s="29" customFormat="1" x14ac:dyDescent="0.2">
      <c r="G5825" s="31"/>
      <c r="H5825" s="31"/>
      <c r="I5825" s="31"/>
      <c r="J5825" s="31"/>
    </row>
    <row r="5826" spans="7:10" s="29" customFormat="1" x14ac:dyDescent="0.2">
      <c r="G5826" s="31"/>
      <c r="H5826" s="31"/>
      <c r="I5826" s="31"/>
      <c r="J5826" s="31"/>
    </row>
    <row r="5827" spans="7:10" s="29" customFormat="1" x14ac:dyDescent="0.2">
      <c r="G5827" s="31"/>
      <c r="H5827" s="31"/>
      <c r="I5827" s="31"/>
      <c r="J5827" s="31"/>
    </row>
    <row r="5828" spans="7:10" s="29" customFormat="1" x14ac:dyDescent="0.2">
      <c r="G5828" s="31"/>
      <c r="H5828" s="31"/>
      <c r="I5828" s="31"/>
      <c r="J5828" s="31"/>
    </row>
    <row r="5829" spans="7:10" s="29" customFormat="1" x14ac:dyDescent="0.2">
      <c r="G5829" s="31"/>
      <c r="H5829" s="31"/>
      <c r="I5829" s="31"/>
      <c r="J5829" s="31"/>
    </row>
    <row r="5830" spans="7:10" s="29" customFormat="1" x14ac:dyDescent="0.2">
      <c r="G5830" s="31"/>
      <c r="H5830" s="31"/>
      <c r="I5830" s="31"/>
      <c r="J5830" s="31"/>
    </row>
    <row r="5831" spans="7:10" s="29" customFormat="1" x14ac:dyDescent="0.2">
      <c r="G5831" s="31"/>
      <c r="H5831" s="31"/>
      <c r="I5831" s="31"/>
      <c r="J5831" s="31"/>
    </row>
    <row r="5832" spans="7:10" s="29" customFormat="1" x14ac:dyDescent="0.2">
      <c r="G5832" s="31"/>
      <c r="H5832" s="31"/>
      <c r="I5832" s="31"/>
      <c r="J5832" s="31"/>
    </row>
    <row r="5833" spans="7:10" s="29" customFormat="1" x14ac:dyDescent="0.2">
      <c r="G5833" s="31"/>
      <c r="H5833" s="31"/>
      <c r="I5833" s="31"/>
      <c r="J5833" s="31"/>
    </row>
    <row r="5834" spans="7:10" s="29" customFormat="1" x14ac:dyDescent="0.2">
      <c r="G5834" s="31"/>
      <c r="H5834" s="31"/>
      <c r="I5834" s="31"/>
      <c r="J5834" s="31"/>
    </row>
    <row r="5835" spans="7:10" s="29" customFormat="1" x14ac:dyDescent="0.2">
      <c r="G5835" s="31"/>
      <c r="H5835" s="31"/>
      <c r="I5835" s="31"/>
      <c r="J5835" s="31"/>
    </row>
    <row r="5836" spans="7:10" s="29" customFormat="1" x14ac:dyDescent="0.2">
      <c r="G5836" s="31"/>
      <c r="H5836" s="31"/>
      <c r="I5836" s="31"/>
      <c r="J5836" s="31"/>
    </row>
    <row r="5837" spans="7:10" s="29" customFormat="1" x14ac:dyDescent="0.2">
      <c r="G5837" s="31"/>
      <c r="H5837" s="31"/>
      <c r="I5837" s="31"/>
      <c r="J5837" s="31"/>
    </row>
    <row r="5838" spans="7:10" s="29" customFormat="1" x14ac:dyDescent="0.2">
      <c r="G5838" s="31"/>
      <c r="H5838" s="31"/>
      <c r="I5838" s="31"/>
      <c r="J5838" s="31"/>
    </row>
    <row r="5839" spans="7:10" s="29" customFormat="1" x14ac:dyDescent="0.2">
      <c r="G5839" s="31"/>
      <c r="H5839" s="31"/>
      <c r="I5839" s="31"/>
      <c r="J5839" s="31"/>
    </row>
    <row r="5840" spans="7:10" s="29" customFormat="1" x14ac:dyDescent="0.2">
      <c r="G5840" s="31"/>
      <c r="H5840" s="31"/>
      <c r="I5840" s="31"/>
      <c r="J5840" s="31"/>
    </row>
    <row r="5841" spans="7:10" s="29" customFormat="1" x14ac:dyDescent="0.2">
      <c r="G5841" s="31"/>
      <c r="H5841" s="31"/>
      <c r="I5841" s="31"/>
      <c r="J5841" s="31"/>
    </row>
    <row r="5842" spans="7:10" s="29" customFormat="1" x14ac:dyDescent="0.2">
      <c r="G5842" s="31"/>
      <c r="H5842" s="31"/>
      <c r="I5842" s="31"/>
      <c r="J5842" s="31"/>
    </row>
    <row r="5843" spans="7:10" s="29" customFormat="1" x14ac:dyDescent="0.2">
      <c r="G5843" s="31"/>
      <c r="H5843" s="31"/>
      <c r="I5843" s="31"/>
      <c r="J5843" s="31"/>
    </row>
    <row r="5844" spans="7:10" s="29" customFormat="1" x14ac:dyDescent="0.2">
      <c r="G5844" s="31"/>
      <c r="H5844" s="31"/>
      <c r="I5844" s="31"/>
      <c r="J5844" s="31"/>
    </row>
    <row r="5845" spans="7:10" s="29" customFormat="1" x14ac:dyDescent="0.2">
      <c r="G5845" s="31"/>
      <c r="H5845" s="31"/>
      <c r="I5845" s="31"/>
      <c r="J5845" s="31"/>
    </row>
    <row r="5846" spans="7:10" s="29" customFormat="1" x14ac:dyDescent="0.2">
      <c r="G5846" s="31"/>
      <c r="H5846" s="31"/>
      <c r="I5846" s="31"/>
      <c r="J5846" s="31"/>
    </row>
    <row r="5847" spans="7:10" s="29" customFormat="1" x14ac:dyDescent="0.2">
      <c r="G5847" s="31"/>
      <c r="H5847" s="31"/>
      <c r="I5847" s="31"/>
      <c r="J5847" s="31"/>
    </row>
    <row r="5848" spans="7:10" s="29" customFormat="1" x14ac:dyDescent="0.2">
      <c r="G5848" s="31"/>
      <c r="H5848" s="31"/>
      <c r="I5848" s="31"/>
      <c r="J5848" s="31"/>
    </row>
    <row r="5849" spans="7:10" s="29" customFormat="1" x14ac:dyDescent="0.2">
      <c r="G5849" s="31"/>
      <c r="H5849" s="31"/>
      <c r="I5849" s="31"/>
      <c r="J5849" s="31"/>
    </row>
    <row r="5850" spans="7:10" s="29" customFormat="1" x14ac:dyDescent="0.2">
      <c r="G5850" s="31"/>
      <c r="H5850" s="31"/>
      <c r="I5850" s="31"/>
      <c r="J5850" s="31"/>
    </row>
    <row r="5851" spans="7:10" s="29" customFormat="1" x14ac:dyDescent="0.2">
      <c r="G5851" s="31"/>
      <c r="H5851" s="31"/>
      <c r="I5851" s="31"/>
      <c r="J5851" s="31"/>
    </row>
    <row r="5852" spans="7:10" s="29" customFormat="1" x14ac:dyDescent="0.2">
      <c r="G5852" s="31"/>
      <c r="H5852" s="31"/>
      <c r="I5852" s="31"/>
      <c r="J5852" s="31"/>
    </row>
    <row r="5853" spans="7:10" s="29" customFormat="1" x14ac:dyDescent="0.2">
      <c r="G5853" s="31"/>
      <c r="H5853" s="31"/>
      <c r="I5853" s="31"/>
      <c r="J5853" s="31"/>
    </row>
    <row r="5854" spans="7:10" s="29" customFormat="1" x14ac:dyDescent="0.2">
      <c r="G5854" s="31"/>
      <c r="H5854" s="31"/>
      <c r="I5854" s="31"/>
      <c r="J5854" s="31"/>
    </row>
    <row r="5855" spans="7:10" s="29" customFormat="1" x14ac:dyDescent="0.2">
      <c r="G5855" s="31"/>
      <c r="H5855" s="31"/>
      <c r="I5855" s="31"/>
      <c r="J5855" s="31"/>
    </row>
    <row r="5856" spans="7:10" s="29" customFormat="1" x14ac:dyDescent="0.2">
      <c r="G5856" s="31"/>
      <c r="H5856" s="31"/>
      <c r="I5856" s="31"/>
      <c r="J5856" s="31"/>
    </row>
    <row r="5857" spans="7:10" s="29" customFormat="1" x14ac:dyDescent="0.2">
      <c r="G5857" s="31"/>
      <c r="H5857" s="31"/>
      <c r="I5857" s="31"/>
      <c r="J5857" s="31"/>
    </row>
    <row r="5858" spans="7:10" s="29" customFormat="1" x14ac:dyDescent="0.2">
      <c r="G5858" s="31"/>
      <c r="H5858" s="31"/>
      <c r="I5858" s="31"/>
      <c r="J5858" s="31"/>
    </row>
    <row r="5859" spans="7:10" s="29" customFormat="1" x14ac:dyDescent="0.2">
      <c r="G5859" s="31"/>
      <c r="H5859" s="31"/>
      <c r="I5859" s="31"/>
      <c r="J5859" s="31"/>
    </row>
    <row r="5860" spans="7:10" s="29" customFormat="1" x14ac:dyDescent="0.2">
      <c r="G5860" s="31"/>
      <c r="H5860" s="31"/>
      <c r="I5860" s="31"/>
      <c r="J5860" s="31"/>
    </row>
    <row r="5861" spans="7:10" s="29" customFormat="1" x14ac:dyDescent="0.2">
      <c r="G5861" s="31"/>
      <c r="H5861" s="31"/>
      <c r="I5861" s="31"/>
      <c r="J5861" s="31"/>
    </row>
    <row r="5862" spans="7:10" s="29" customFormat="1" x14ac:dyDescent="0.2">
      <c r="G5862" s="31"/>
      <c r="H5862" s="31"/>
      <c r="I5862" s="31"/>
      <c r="J5862" s="31"/>
    </row>
    <row r="5863" spans="7:10" s="29" customFormat="1" x14ac:dyDescent="0.2">
      <c r="G5863" s="31"/>
      <c r="H5863" s="31"/>
      <c r="I5863" s="31"/>
      <c r="J5863" s="31"/>
    </row>
    <row r="5864" spans="7:10" s="29" customFormat="1" x14ac:dyDescent="0.2">
      <c r="G5864" s="31"/>
      <c r="H5864" s="31"/>
      <c r="I5864" s="31"/>
      <c r="J5864" s="31"/>
    </row>
    <row r="5865" spans="7:10" s="29" customFormat="1" x14ac:dyDescent="0.2">
      <c r="G5865" s="31"/>
      <c r="H5865" s="31"/>
      <c r="I5865" s="31"/>
      <c r="J5865" s="31"/>
    </row>
    <row r="5866" spans="7:10" s="29" customFormat="1" x14ac:dyDescent="0.2">
      <c r="G5866" s="31"/>
      <c r="H5866" s="31"/>
      <c r="I5866" s="31"/>
      <c r="J5866" s="31"/>
    </row>
    <row r="5867" spans="7:10" s="29" customFormat="1" x14ac:dyDescent="0.2">
      <c r="G5867" s="31"/>
      <c r="H5867" s="31"/>
      <c r="I5867" s="31"/>
      <c r="J5867" s="31"/>
    </row>
    <row r="5868" spans="7:10" s="29" customFormat="1" x14ac:dyDescent="0.2">
      <c r="G5868" s="31"/>
      <c r="H5868" s="31"/>
      <c r="I5868" s="31"/>
      <c r="J5868" s="31"/>
    </row>
    <row r="5869" spans="7:10" s="29" customFormat="1" x14ac:dyDescent="0.2">
      <c r="G5869" s="31"/>
      <c r="H5869" s="31"/>
      <c r="I5869" s="31"/>
      <c r="J5869" s="31"/>
    </row>
    <row r="5870" spans="7:10" s="29" customFormat="1" x14ac:dyDescent="0.2">
      <c r="G5870" s="31"/>
      <c r="H5870" s="31"/>
      <c r="I5870" s="31"/>
      <c r="J5870" s="31"/>
    </row>
    <row r="5871" spans="7:10" s="29" customFormat="1" x14ac:dyDescent="0.2">
      <c r="G5871" s="31"/>
      <c r="H5871" s="31"/>
      <c r="I5871" s="31"/>
      <c r="J5871" s="31"/>
    </row>
    <row r="5872" spans="7:10" s="29" customFormat="1" x14ac:dyDescent="0.2">
      <c r="G5872" s="31"/>
      <c r="H5872" s="31"/>
      <c r="I5872" s="31"/>
      <c r="J5872" s="31"/>
    </row>
    <row r="5873" spans="7:10" s="29" customFormat="1" x14ac:dyDescent="0.2">
      <c r="G5873" s="31"/>
      <c r="H5873" s="31"/>
      <c r="I5873" s="31"/>
      <c r="J5873" s="31"/>
    </row>
    <row r="5874" spans="7:10" s="29" customFormat="1" x14ac:dyDescent="0.2">
      <c r="G5874" s="31"/>
      <c r="H5874" s="31"/>
      <c r="I5874" s="31"/>
      <c r="J5874" s="31"/>
    </row>
    <row r="5875" spans="7:10" s="29" customFormat="1" x14ac:dyDescent="0.2">
      <c r="G5875" s="31"/>
      <c r="H5875" s="31"/>
      <c r="I5875" s="31"/>
      <c r="J5875" s="31"/>
    </row>
    <row r="5876" spans="7:10" s="29" customFormat="1" x14ac:dyDescent="0.2">
      <c r="G5876" s="31"/>
      <c r="H5876" s="31"/>
      <c r="I5876" s="31"/>
      <c r="J5876" s="31"/>
    </row>
    <row r="5877" spans="7:10" s="29" customFormat="1" x14ac:dyDescent="0.2">
      <c r="G5877" s="31"/>
      <c r="H5877" s="31"/>
      <c r="I5877" s="31"/>
      <c r="J5877" s="31"/>
    </row>
    <row r="5878" spans="7:10" s="29" customFormat="1" x14ac:dyDescent="0.2">
      <c r="G5878" s="31"/>
      <c r="H5878" s="31"/>
      <c r="I5878" s="31"/>
      <c r="J5878" s="31"/>
    </row>
    <row r="5879" spans="7:10" s="29" customFormat="1" x14ac:dyDescent="0.2">
      <c r="G5879" s="31"/>
      <c r="H5879" s="31"/>
      <c r="I5879" s="31"/>
      <c r="J5879" s="31"/>
    </row>
    <row r="5880" spans="7:10" s="29" customFormat="1" x14ac:dyDescent="0.2">
      <c r="G5880" s="31"/>
      <c r="H5880" s="31"/>
      <c r="I5880" s="31"/>
      <c r="J5880" s="31"/>
    </row>
    <row r="5881" spans="7:10" s="29" customFormat="1" x14ac:dyDescent="0.2">
      <c r="G5881" s="31"/>
      <c r="H5881" s="31"/>
      <c r="I5881" s="31"/>
      <c r="J5881" s="31"/>
    </row>
    <row r="5882" spans="7:10" s="29" customFormat="1" x14ac:dyDescent="0.2">
      <c r="G5882" s="31"/>
      <c r="H5882" s="31"/>
      <c r="I5882" s="31"/>
      <c r="J5882" s="31"/>
    </row>
    <row r="5883" spans="7:10" s="29" customFormat="1" x14ac:dyDescent="0.2">
      <c r="G5883" s="31"/>
      <c r="H5883" s="31"/>
      <c r="I5883" s="31"/>
      <c r="J5883" s="31"/>
    </row>
    <row r="5884" spans="7:10" s="29" customFormat="1" x14ac:dyDescent="0.2">
      <c r="G5884" s="31"/>
      <c r="H5884" s="31"/>
      <c r="I5884" s="31"/>
      <c r="J5884" s="31"/>
    </row>
    <row r="5885" spans="7:10" s="29" customFormat="1" x14ac:dyDescent="0.2">
      <c r="G5885" s="31"/>
      <c r="H5885" s="31"/>
      <c r="I5885" s="31"/>
      <c r="J5885" s="31"/>
    </row>
    <row r="5886" spans="7:10" s="29" customFormat="1" x14ac:dyDescent="0.2">
      <c r="G5886" s="31"/>
      <c r="H5886" s="31"/>
      <c r="I5886" s="31"/>
      <c r="J5886" s="31"/>
    </row>
    <row r="5887" spans="7:10" s="29" customFormat="1" x14ac:dyDescent="0.2">
      <c r="G5887" s="31"/>
      <c r="H5887" s="31"/>
      <c r="I5887" s="31"/>
      <c r="J5887" s="31"/>
    </row>
    <row r="5888" spans="7:10" s="29" customFormat="1" x14ac:dyDescent="0.2">
      <c r="G5888" s="31"/>
      <c r="H5888" s="31"/>
      <c r="I5888" s="31"/>
      <c r="J5888" s="31"/>
    </row>
    <row r="5889" spans="7:10" s="29" customFormat="1" x14ac:dyDescent="0.2">
      <c r="G5889" s="31"/>
      <c r="H5889" s="31"/>
      <c r="I5889" s="31"/>
      <c r="J5889" s="31"/>
    </row>
    <row r="5890" spans="7:10" s="29" customFormat="1" x14ac:dyDescent="0.2">
      <c r="G5890" s="31"/>
      <c r="H5890" s="31"/>
      <c r="I5890" s="31"/>
      <c r="J5890" s="31"/>
    </row>
    <row r="5891" spans="7:10" s="29" customFormat="1" x14ac:dyDescent="0.2">
      <c r="G5891" s="31"/>
      <c r="H5891" s="31"/>
      <c r="I5891" s="31"/>
      <c r="J5891" s="31"/>
    </row>
    <row r="5892" spans="7:10" s="29" customFormat="1" x14ac:dyDescent="0.2">
      <c r="G5892" s="31"/>
      <c r="H5892" s="31"/>
      <c r="I5892" s="31"/>
      <c r="J5892" s="31"/>
    </row>
    <row r="5893" spans="7:10" s="29" customFormat="1" x14ac:dyDescent="0.2">
      <c r="G5893" s="31"/>
      <c r="H5893" s="31"/>
      <c r="I5893" s="31"/>
      <c r="J5893" s="31"/>
    </row>
    <row r="5894" spans="7:10" s="29" customFormat="1" x14ac:dyDescent="0.2">
      <c r="G5894" s="31"/>
      <c r="H5894" s="31"/>
      <c r="I5894" s="31"/>
      <c r="J5894" s="31"/>
    </row>
    <row r="5895" spans="7:10" s="29" customFormat="1" x14ac:dyDescent="0.2">
      <c r="G5895" s="31"/>
      <c r="H5895" s="31"/>
      <c r="I5895" s="31"/>
      <c r="J5895" s="31"/>
    </row>
    <row r="5896" spans="7:10" s="29" customFormat="1" x14ac:dyDescent="0.2">
      <c r="G5896" s="31"/>
      <c r="H5896" s="31"/>
      <c r="I5896" s="31"/>
      <c r="J5896" s="31"/>
    </row>
    <row r="5897" spans="7:10" s="29" customFormat="1" x14ac:dyDescent="0.2">
      <c r="G5897" s="31"/>
      <c r="H5897" s="31"/>
      <c r="I5897" s="31"/>
      <c r="J5897" s="31"/>
    </row>
    <row r="5898" spans="7:10" s="29" customFormat="1" x14ac:dyDescent="0.2">
      <c r="G5898" s="31"/>
      <c r="H5898" s="31"/>
      <c r="I5898" s="31"/>
      <c r="J5898" s="31"/>
    </row>
    <row r="5899" spans="7:10" s="29" customFormat="1" x14ac:dyDescent="0.2">
      <c r="G5899" s="31"/>
      <c r="H5899" s="31"/>
      <c r="I5899" s="31"/>
      <c r="J5899" s="31"/>
    </row>
    <row r="5900" spans="7:10" s="29" customFormat="1" x14ac:dyDescent="0.2">
      <c r="G5900" s="31"/>
      <c r="H5900" s="31"/>
      <c r="I5900" s="31"/>
      <c r="J5900" s="31"/>
    </row>
    <row r="5901" spans="7:10" s="29" customFormat="1" x14ac:dyDescent="0.2">
      <c r="G5901" s="31"/>
      <c r="H5901" s="31"/>
      <c r="I5901" s="31"/>
      <c r="J5901" s="31"/>
    </row>
    <row r="5902" spans="7:10" s="29" customFormat="1" x14ac:dyDescent="0.2">
      <c r="G5902" s="31"/>
      <c r="H5902" s="31"/>
      <c r="I5902" s="31"/>
      <c r="J5902" s="31"/>
    </row>
    <row r="5903" spans="7:10" s="29" customFormat="1" x14ac:dyDescent="0.2">
      <c r="G5903" s="31"/>
      <c r="H5903" s="31"/>
      <c r="I5903" s="31"/>
      <c r="J5903" s="31"/>
    </row>
    <row r="5904" spans="7:10" s="29" customFormat="1" x14ac:dyDescent="0.2">
      <c r="G5904" s="31"/>
      <c r="H5904" s="31"/>
      <c r="I5904" s="31"/>
      <c r="J5904" s="31"/>
    </row>
    <row r="5905" spans="7:10" s="29" customFormat="1" x14ac:dyDescent="0.2">
      <c r="G5905" s="31"/>
      <c r="H5905" s="31"/>
      <c r="I5905" s="31"/>
      <c r="J5905" s="31"/>
    </row>
    <row r="5906" spans="7:10" s="29" customFormat="1" x14ac:dyDescent="0.2">
      <c r="G5906" s="31"/>
      <c r="H5906" s="31"/>
      <c r="I5906" s="31"/>
      <c r="J5906" s="31"/>
    </row>
    <row r="5907" spans="7:10" s="29" customFormat="1" x14ac:dyDescent="0.2">
      <c r="G5907" s="31"/>
      <c r="H5907" s="31"/>
      <c r="I5907" s="31"/>
      <c r="J5907" s="31"/>
    </row>
    <row r="5908" spans="7:10" s="29" customFormat="1" x14ac:dyDescent="0.2">
      <c r="G5908" s="31"/>
      <c r="H5908" s="31"/>
      <c r="I5908" s="31"/>
      <c r="J5908" s="31"/>
    </row>
    <row r="5909" spans="7:10" s="29" customFormat="1" x14ac:dyDescent="0.2">
      <c r="G5909" s="31"/>
      <c r="H5909" s="31"/>
      <c r="I5909" s="31"/>
      <c r="J5909" s="31"/>
    </row>
    <row r="5910" spans="7:10" s="29" customFormat="1" x14ac:dyDescent="0.2">
      <c r="G5910" s="31"/>
      <c r="H5910" s="31"/>
      <c r="I5910" s="31"/>
      <c r="J5910" s="31"/>
    </row>
    <row r="5911" spans="7:10" s="29" customFormat="1" x14ac:dyDescent="0.2">
      <c r="G5911" s="31"/>
      <c r="H5911" s="31"/>
      <c r="I5911" s="31"/>
      <c r="J5911" s="31"/>
    </row>
    <row r="5912" spans="7:10" s="29" customFormat="1" x14ac:dyDescent="0.2">
      <c r="G5912" s="31"/>
      <c r="H5912" s="31"/>
      <c r="I5912" s="31"/>
      <c r="J5912" s="31"/>
    </row>
    <row r="5913" spans="7:10" s="29" customFormat="1" x14ac:dyDescent="0.2">
      <c r="G5913" s="31"/>
      <c r="H5913" s="31"/>
      <c r="I5913" s="31"/>
      <c r="J5913" s="31"/>
    </row>
    <row r="5914" spans="7:10" s="29" customFormat="1" x14ac:dyDescent="0.2">
      <c r="G5914" s="31"/>
      <c r="H5914" s="31"/>
      <c r="I5914" s="31"/>
      <c r="J5914" s="31"/>
    </row>
    <row r="5915" spans="7:10" s="29" customFormat="1" x14ac:dyDescent="0.2">
      <c r="G5915" s="31"/>
      <c r="H5915" s="31"/>
      <c r="I5915" s="31"/>
      <c r="J5915" s="31"/>
    </row>
    <row r="5916" spans="7:10" s="29" customFormat="1" x14ac:dyDescent="0.2">
      <c r="G5916" s="31"/>
      <c r="H5916" s="31"/>
      <c r="I5916" s="31"/>
      <c r="J5916" s="31"/>
    </row>
    <row r="5917" spans="7:10" s="29" customFormat="1" x14ac:dyDescent="0.2">
      <c r="G5917" s="31"/>
      <c r="H5917" s="31"/>
      <c r="I5917" s="31"/>
      <c r="J5917" s="31"/>
    </row>
    <row r="5918" spans="7:10" s="29" customFormat="1" x14ac:dyDescent="0.2">
      <c r="G5918" s="31"/>
      <c r="H5918" s="31"/>
      <c r="I5918" s="31"/>
      <c r="J5918" s="31"/>
    </row>
    <row r="5919" spans="7:10" s="29" customFormat="1" x14ac:dyDescent="0.2">
      <c r="G5919" s="31"/>
      <c r="H5919" s="31"/>
      <c r="I5919" s="31"/>
      <c r="J5919" s="31"/>
    </row>
    <row r="5920" spans="7:10" s="29" customFormat="1" x14ac:dyDescent="0.2">
      <c r="G5920" s="31"/>
      <c r="H5920" s="31"/>
      <c r="I5920" s="31"/>
      <c r="J5920" s="31"/>
    </row>
    <row r="5921" spans="7:10" s="29" customFormat="1" x14ac:dyDescent="0.2">
      <c r="G5921" s="31"/>
      <c r="H5921" s="31"/>
      <c r="I5921" s="31"/>
      <c r="J5921" s="31"/>
    </row>
    <row r="5922" spans="7:10" s="29" customFormat="1" x14ac:dyDescent="0.2">
      <c r="G5922" s="31"/>
      <c r="H5922" s="31"/>
      <c r="I5922" s="31"/>
      <c r="J5922" s="31"/>
    </row>
    <row r="5923" spans="7:10" s="29" customFormat="1" x14ac:dyDescent="0.2">
      <c r="G5923" s="31"/>
      <c r="H5923" s="31"/>
      <c r="I5923" s="31"/>
      <c r="J5923" s="31"/>
    </row>
    <row r="5924" spans="7:10" s="29" customFormat="1" x14ac:dyDescent="0.2">
      <c r="G5924" s="31"/>
      <c r="H5924" s="31"/>
      <c r="I5924" s="31"/>
      <c r="J5924" s="31"/>
    </row>
    <row r="5925" spans="7:10" s="29" customFormat="1" x14ac:dyDescent="0.2">
      <c r="G5925" s="31"/>
      <c r="H5925" s="31"/>
      <c r="I5925" s="31"/>
      <c r="J5925" s="31"/>
    </row>
    <row r="5926" spans="7:10" s="29" customFormat="1" x14ac:dyDescent="0.2">
      <c r="G5926" s="31"/>
      <c r="H5926" s="31"/>
      <c r="I5926" s="31"/>
      <c r="J5926" s="31"/>
    </row>
    <row r="5927" spans="7:10" s="29" customFormat="1" x14ac:dyDescent="0.2">
      <c r="G5927" s="31"/>
      <c r="H5927" s="31"/>
      <c r="I5927" s="31"/>
      <c r="J5927" s="31"/>
    </row>
    <row r="5928" spans="7:10" s="29" customFormat="1" x14ac:dyDescent="0.2">
      <c r="G5928" s="31"/>
      <c r="H5928" s="31"/>
      <c r="I5928" s="31"/>
      <c r="J5928" s="31"/>
    </row>
    <row r="5929" spans="7:10" s="29" customFormat="1" x14ac:dyDescent="0.2">
      <c r="G5929" s="31"/>
      <c r="H5929" s="31"/>
      <c r="I5929" s="31"/>
      <c r="J5929" s="31"/>
    </row>
    <row r="5930" spans="7:10" s="29" customFormat="1" x14ac:dyDescent="0.2">
      <c r="G5930" s="31"/>
      <c r="H5930" s="31"/>
      <c r="I5930" s="31"/>
      <c r="J5930" s="31"/>
    </row>
    <row r="5931" spans="7:10" s="29" customFormat="1" x14ac:dyDescent="0.2">
      <c r="G5931" s="31"/>
      <c r="H5931" s="31"/>
      <c r="I5931" s="31"/>
      <c r="J5931" s="31"/>
    </row>
    <row r="5932" spans="7:10" s="29" customFormat="1" x14ac:dyDescent="0.2">
      <c r="G5932" s="31"/>
      <c r="H5932" s="31"/>
      <c r="I5932" s="31"/>
      <c r="J5932" s="31"/>
    </row>
    <row r="5933" spans="7:10" s="29" customFormat="1" x14ac:dyDescent="0.2">
      <c r="G5933" s="31"/>
      <c r="H5933" s="31"/>
      <c r="I5933" s="31"/>
      <c r="J5933" s="31"/>
    </row>
    <row r="5934" spans="7:10" s="29" customFormat="1" x14ac:dyDescent="0.2">
      <c r="G5934" s="31"/>
      <c r="H5934" s="31"/>
      <c r="I5934" s="31"/>
      <c r="J5934" s="31"/>
    </row>
    <row r="5935" spans="7:10" s="29" customFormat="1" x14ac:dyDescent="0.2">
      <c r="G5935" s="31"/>
      <c r="H5935" s="31"/>
      <c r="I5935" s="31"/>
      <c r="J5935" s="31"/>
    </row>
    <row r="5936" spans="7:10" s="29" customFormat="1" x14ac:dyDescent="0.2">
      <c r="G5936" s="31"/>
      <c r="H5936" s="31"/>
      <c r="I5936" s="31"/>
      <c r="J5936" s="31"/>
    </row>
    <row r="5937" spans="7:10" s="29" customFormat="1" x14ac:dyDescent="0.2">
      <c r="G5937" s="31"/>
      <c r="H5937" s="31"/>
      <c r="I5937" s="31"/>
      <c r="J5937" s="31"/>
    </row>
    <row r="5938" spans="7:10" s="29" customFormat="1" x14ac:dyDescent="0.2">
      <c r="G5938" s="31"/>
      <c r="H5938" s="31"/>
      <c r="I5938" s="31"/>
      <c r="J5938" s="31"/>
    </row>
    <row r="5939" spans="7:10" s="29" customFormat="1" x14ac:dyDescent="0.2">
      <c r="G5939" s="31"/>
      <c r="H5939" s="31"/>
      <c r="I5939" s="31"/>
      <c r="J5939" s="31"/>
    </row>
    <row r="5940" spans="7:10" s="29" customFormat="1" x14ac:dyDescent="0.2">
      <c r="G5940" s="31"/>
      <c r="H5940" s="31"/>
      <c r="I5940" s="31"/>
      <c r="J5940" s="31"/>
    </row>
    <row r="5941" spans="7:10" s="29" customFormat="1" x14ac:dyDescent="0.2">
      <c r="G5941" s="31"/>
      <c r="H5941" s="31"/>
      <c r="I5941" s="31"/>
      <c r="J5941" s="31"/>
    </row>
    <row r="5942" spans="7:10" s="29" customFormat="1" x14ac:dyDescent="0.2">
      <c r="G5942" s="31"/>
      <c r="H5942" s="31"/>
      <c r="I5942" s="31"/>
      <c r="J5942" s="31"/>
    </row>
    <row r="5943" spans="7:10" s="29" customFormat="1" x14ac:dyDescent="0.2">
      <c r="G5943" s="31"/>
      <c r="H5943" s="31"/>
      <c r="I5943" s="31"/>
      <c r="J5943" s="31"/>
    </row>
    <row r="5944" spans="7:10" s="29" customFormat="1" x14ac:dyDescent="0.2">
      <c r="G5944" s="31"/>
      <c r="H5944" s="31"/>
      <c r="I5944" s="31"/>
      <c r="J5944" s="31"/>
    </row>
    <row r="5945" spans="7:10" s="29" customFormat="1" x14ac:dyDescent="0.2">
      <c r="G5945" s="31"/>
      <c r="H5945" s="31"/>
      <c r="I5945" s="31"/>
      <c r="J5945" s="31"/>
    </row>
    <row r="5946" spans="7:10" s="29" customFormat="1" x14ac:dyDescent="0.2">
      <c r="G5946" s="31"/>
      <c r="H5946" s="31"/>
      <c r="I5946" s="31"/>
      <c r="J5946" s="31"/>
    </row>
    <row r="5947" spans="7:10" s="29" customFormat="1" x14ac:dyDescent="0.2">
      <c r="G5947" s="31"/>
      <c r="H5947" s="31"/>
      <c r="I5947" s="31"/>
      <c r="J5947" s="31"/>
    </row>
    <row r="5948" spans="7:10" s="29" customFormat="1" x14ac:dyDescent="0.2">
      <c r="G5948" s="31"/>
      <c r="H5948" s="31"/>
      <c r="I5948" s="31"/>
      <c r="J5948" s="31"/>
    </row>
    <row r="5949" spans="7:10" s="29" customFormat="1" x14ac:dyDescent="0.2">
      <c r="G5949" s="31"/>
      <c r="H5949" s="31"/>
      <c r="I5949" s="31"/>
      <c r="J5949" s="31"/>
    </row>
    <row r="5950" spans="7:10" s="29" customFormat="1" x14ac:dyDescent="0.2">
      <c r="G5950" s="31"/>
      <c r="H5950" s="31"/>
      <c r="I5950" s="31"/>
      <c r="J5950" s="31"/>
    </row>
    <row r="5951" spans="7:10" s="29" customFormat="1" x14ac:dyDescent="0.2">
      <c r="G5951" s="31"/>
      <c r="H5951" s="31"/>
      <c r="I5951" s="31"/>
      <c r="J5951" s="31"/>
    </row>
    <row r="5952" spans="7:10" s="29" customFormat="1" x14ac:dyDescent="0.2">
      <c r="G5952" s="31"/>
      <c r="H5952" s="31"/>
      <c r="I5952" s="31"/>
      <c r="J5952" s="31"/>
    </row>
    <row r="5953" spans="7:10" s="29" customFormat="1" x14ac:dyDescent="0.2">
      <c r="G5953" s="31"/>
      <c r="H5953" s="31"/>
      <c r="I5953" s="31"/>
      <c r="J5953" s="31"/>
    </row>
    <row r="5954" spans="7:10" s="29" customFormat="1" x14ac:dyDescent="0.2">
      <c r="G5954" s="31"/>
      <c r="H5954" s="31"/>
      <c r="I5954" s="31"/>
      <c r="J5954" s="31"/>
    </row>
    <row r="5955" spans="7:10" s="29" customFormat="1" x14ac:dyDescent="0.2">
      <c r="G5955" s="31"/>
      <c r="H5955" s="31"/>
      <c r="I5955" s="31"/>
      <c r="J5955" s="31"/>
    </row>
    <row r="5956" spans="7:10" s="29" customFormat="1" x14ac:dyDescent="0.2">
      <c r="G5956" s="31"/>
      <c r="H5956" s="31"/>
      <c r="I5956" s="31"/>
      <c r="J5956" s="31"/>
    </row>
    <row r="5957" spans="7:10" s="29" customFormat="1" x14ac:dyDescent="0.2">
      <c r="G5957" s="31"/>
      <c r="H5957" s="31"/>
      <c r="I5957" s="31"/>
      <c r="J5957" s="31"/>
    </row>
    <row r="5958" spans="7:10" s="29" customFormat="1" x14ac:dyDescent="0.2">
      <c r="G5958" s="31"/>
      <c r="H5958" s="31"/>
      <c r="I5958" s="31"/>
      <c r="J5958" s="31"/>
    </row>
    <row r="5959" spans="7:10" s="29" customFormat="1" x14ac:dyDescent="0.2">
      <c r="G5959" s="31"/>
      <c r="H5959" s="31"/>
      <c r="I5959" s="31"/>
      <c r="J5959" s="31"/>
    </row>
    <row r="5960" spans="7:10" s="29" customFormat="1" x14ac:dyDescent="0.2">
      <c r="G5960" s="31"/>
      <c r="H5960" s="31"/>
      <c r="I5960" s="31"/>
      <c r="J5960" s="31"/>
    </row>
    <row r="5961" spans="7:10" s="29" customFormat="1" x14ac:dyDescent="0.2">
      <c r="G5961" s="31"/>
      <c r="H5961" s="31"/>
      <c r="I5961" s="31"/>
      <c r="J5961" s="31"/>
    </row>
    <row r="5962" spans="7:10" s="29" customFormat="1" x14ac:dyDescent="0.2">
      <c r="G5962" s="31"/>
      <c r="H5962" s="31"/>
      <c r="I5962" s="31"/>
      <c r="J5962" s="31"/>
    </row>
    <row r="5963" spans="7:10" s="29" customFormat="1" x14ac:dyDescent="0.2">
      <c r="G5963" s="31"/>
      <c r="H5963" s="31"/>
      <c r="I5963" s="31"/>
      <c r="J5963" s="31"/>
    </row>
    <row r="5964" spans="7:10" s="29" customFormat="1" x14ac:dyDescent="0.2">
      <c r="G5964" s="31"/>
      <c r="H5964" s="31"/>
      <c r="I5964" s="31"/>
      <c r="J5964" s="31"/>
    </row>
    <row r="5965" spans="7:10" s="29" customFormat="1" x14ac:dyDescent="0.2">
      <c r="G5965" s="31"/>
      <c r="H5965" s="31"/>
      <c r="I5965" s="31"/>
      <c r="J5965" s="31"/>
    </row>
    <row r="5966" spans="7:10" s="29" customFormat="1" x14ac:dyDescent="0.2">
      <c r="G5966" s="31"/>
      <c r="H5966" s="31"/>
      <c r="I5966" s="31"/>
      <c r="J5966" s="31"/>
    </row>
    <row r="5967" spans="7:10" s="29" customFormat="1" x14ac:dyDescent="0.2">
      <c r="G5967" s="31"/>
      <c r="H5967" s="31"/>
      <c r="I5967" s="31"/>
      <c r="J5967" s="31"/>
    </row>
    <row r="5968" spans="7:10" s="29" customFormat="1" x14ac:dyDescent="0.2">
      <c r="G5968" s="31"/>
      <c r="H5968" s="31"/>
      <c r="I5968" s="31"/>
      <c r="J5968" s="31"/>
    </row>
    <row r="5969" spans="7:10" s="29" customFormat="1" x14ac:dyDescent="0.2">
      <c r="G5969" s="31"/>
      <c r="H5969" s="31"/>
      <c r="I5969" s="31"/>
      <c r="J5969" s="31"/>
    </row>
    <row r="5970" spans="7:10" s="29" customFormat="1" x14ac:dyDescent="0.2">
      <c r="G5970" s="31"/>
      <c r="H5970" s="31"/>
      <c r="I5970" s="31"/>
      <c r="J5970" s="31"/>
    </row>
    <row r="5971" spans="7:10" s="29" customFormat="1" x14ac:dyDescent="0.2">
      <c r="G5971" s="31"/>
      <c r="H5971" s="31"/>
      <c r="I5971" s="31"/>
      <c r="J5971" s="31"/>
    </row>
    <row r="5972" spans="7:10" s="29" customFormat="1" x14ac:dyDescent="0.2">
      <c r="G5972" s="31"/>
      <c r="H5972" s="31"/>
      <c r="I5972" s="31"/>
      <c r="J5972" s="31"/>
    </row>
    <row r="5973" spans="7:10" s="29" customFormat="1" x14ac:dyDescent="0.2">
      <c r="G5973" s="31"/>
      <c r="H5973" s="31"/>
      <c r="I5973" s="31"/>
      <c r="J5973" s="31"/>
    </row>
    <row r="5974" spans="7:10" s="29" customFormat="1" x14ac:dyDescent="0.2">
      <c r="G5974" s="31"/>
      <c r="H5974" s="31"/>
      <c r="I5974" s="31"/>
      <c r="J5974" s="31"/>
    </row>
    <row r="5975" spans="7:10" s="29" customFormat="1" x14ac:dyDescent="0.2">
      <c r="G5975" s="31"/>
      <c r="H5975" s="31"/>
      <c r="I5975" s="31"/>
      <c r="J5975" s="31"/>
    </row>
    <row r="5976" spans="7:10" s="29" customFormat="1" x14ac:dyDescent="0.2">
      <c r="G5976" s="31"/>
      <c r="H5976" s="31"/>
      <c r="I5976" s="31"/>
      <c r="J5976" s="31"/>
    </row>
    <row r="5977" spans="7:10" s="29" customFormat="1" x14ac:dyDescent="0.2">
      <c r="G5977" s="31"/>
      <c r="H5977" s="31"/>
      <c r="I5977" s="31"/>
      <c r="J5977" s="31"/>
    </row>
    <row r="5978" spans="7:10" s="29" customFormat="1" x14ac:dyDescent="0.2">
      <c r="G5978" s="31"/>
      <c r="H5978" s="31"/>
      <c r="I5978" s="31"/>
      <c r="J5978" s="31"/>
    </row>
    <row r="5979" spans="7:10" s="29" customFormat="1" x14ac:dyDescent="0.2">
      <c r="G5979" s="31"/>
      <c r="H5979" s="31"/>
      <c r="I5979" s="31"/>
      <c r="J5979" s="31"/>
    </row>
    <row r="5980" spans="7:10" s="29" customFormat="1" x14ac:dyDescent="0.2">
      <c r="G5980" s="31"/>
      <c r="H5980" s="31"/>
      <c r="I5980" s="31"/>
      <c r="J5980" s="31"/>
    </row>
    <row r="5981" spans="7:10" s="29" customFormat="1" x14ac:dyDescent="0.2">
      <c r="G5981" s="31"/>
      <c r="H5981" s="31"/>
      <c r="I5981" s="31"/>
      <c r="J5981" s="31"/>
    </row>
    <row r="5982" spans="7:10" s="29" customFormat="1" x14ac:dyDescent="0.2">
      <c r="G5982" s="31"/>
      <c r="H5982" s="31"/>
      <c r="I5982" s="31"/>
      <c r="J5982" s="31"/>
    </row>
    <row r="5983" spans="7:10" s="29" customFormat="1" x14ac:dyDescent="0.2">
      <c r="G5983" s="31"/>
      <c r="H5983" s="31"/>
      <c r="I5983" s="31"/>
      <c r="J5983" s="31"/>
    </row>
    <row r="5984" spans="7:10" s="29" customFormat="1" x14ac:dyDescent="0.2">
      <c r="G5984" s="31"/>
      <c r="H5984" s="31"/>
      <c r="I5984" s="31"/>
      <c r="J5984" s="31"/>
    </row>
    <row r="5985" spans="7:10" s="29" customFormat="1" x14ac:dyDescent="0.2">
      <c r="G5985" s="31"/>
      <c r="H5985" s="31"/>
      <c r="I5985" s="31"/>
      <c r="J5985" s="31"/>
    </row>
    <row r="5986" spans="7:10" s="29" customFormat="1" x14ac:dyDescent="0.2">
      <c r="G5986" s="31"/>
      <c r="H5986" s="31"/>
      <c r="I5986" s="31"/>
      <c r="J5986" s="31"/>
    </row>
    <row r="5987" spans="7:10" s="29" customFormat="1" x14ac:dyDescent="0.2">
      <c r="G5987" s="31"/>
      <c r="H5987" s="31"/>
      <c r="I5987" s="31"/>
      <c r="J5987" s="31"/>
    </row>
    <row r="5988" spans="7:10" s="29" customFormat="1" x14ac:dyDescent="0.2">
      <c r="G5988" s="31"/>
      <c r="H5988" s="31"/>
      <c r="I5988" s="31"/>
      <c r="J5988" s="31"/>
    </row>
    <row r="5989" spans="7:10" s="29" customFormat="1" x14ac:dyDescent="0.2">
      <c r="G5989" s="31"/>
      <c r="H5989" s="31"/>
      <c r="I5989" s="31"/>
      <c r="J5989" s="31"/>
    </row>
    <row r="5990" spans="7:10" s="29" customFormat="1" x14ac:dyDescent="0.2">
      <c r="G5990" s="31"/>
      <c r="H5990" s="31"/>
      <c r="I5990" s="31"/>
      <c r="J5990" s="31"/>
    </row>
    <row r="5991" spans="7:10" s="29" customFormat="1" x14ac:dyDescent="0.2">
      <c r="G5991" s="31"/>
      <c r="H5991" s="31"/>
      <c r="I5991" s="31"/>
      <c r="J5991" s="31"/>
    </row>
    <row r="5992" spans="7:10" s="29" customFormat="1" x14ac:dyDescent="0.2">
      <c r="G5992" s="31"/>
      <c r="H5992" s="31"/>
      <c r="I5992" s="31"/>
      <c r="J5992" s="31"/>
    </row>
    <row r="5993" spans="7:10" s="29" customFormat="1" x14ac:dyDescent="0.2">
      <c r="G5993" s="31"/>
      <c r="H5993" s="31"/>
      <c r="I5993" s="31"/>
      <c r="J5993" s="31"/>
    </row>
    <row r="5994" spans="7:10" s="29" customFormat="1" x14ac:dyDescent="0.2">
      <c r="G5994" s="31"/>
      <c r="H5994" s="31"/>
      <c r="I5994" s="31"/>
      <c r="J5994" s="31"/>
    </row>
    <row r="5995" spans="7:10" s="29" customFormat="1" x14ac:dyDescent="0.2">
      <c r="G5995" s="31"/>
      <c r="H5995" s="31"/>
      <c r="I5995" s="31"/>
      <c r="J5995" s="31"/>
    </row>
    <row r="5996" spans="7:10" s="29" customFormat="1" x14ac:dyDescent="0.2">
      <c r="G5996" s="31"/>
      <c r="H5996" s="31"/>
      <c r="I5996" s="31"/>
      <c r="J5996" s="31"/>
    </row>
    <row r="5997" spans="7:10" s="29" customFormat="1" x14ac:dyDescent="0.2">
      <c r="G5997" s="31"/>
      <c r="H5997" s="31"/>
      <c r="I5997" s="31"/>
      <c r="J5997" s="31"/>
    </row>
    <row r="5998" spans="7:10" s="29" customFormat="1" x14ac:dyDescent="0.2">
      <c r="G5998" s="31"/>
      <c r="H5998" s="31"/>
      <c r="I5998" s="31"/>
      <c r="J5998" s="31"/>
    </row>
    <row r="5999" spans="7:10" s="29" customFormat="1" x14ac:dyDescent="0.2">
      <c r="G5999" s="31"/>
      <c r="H5999" s="31"/>
      <c r="I5999" s="31"/>
      <c r="J5999" s="31"/>
    </row>
    <row r="6000" spans="7:10" s="29" customFormat="1" x14ac:dyDescent="0.2">
      <c r="G6000" s="31"/>
      <c r="H6000" s="31"/>
      <c r="I6000" s="31"/>
      <c r="J6000" s="31"/>
    </row>
    <row r="6001" spans="7:10" s="29" customFormat="1" x14ac:dyDescent="0.2">
      <c r="G6001" s="31"/>
      <c r="H6001" s="31"/>
      <c r="I6001" s="31"/>
      <c r="J6001" s="31"/>
    </row>
    <row r="6002" spans="7:10" s="29" customFormat="1" x14ac:dyDescent="0.2">
      <c r="G6002" s="31"/>
      <c r="H6002" s="31"/>
      <c r="I6002" s="31"/>
      <c r="J6002" s="31"/>
    </row>
    <row r="6003" spans="7:10" s="29" customFormat="1" x14ac:dyDescent="0.2">
      <c r="G6003" s="31"/>
      <c r="H6003" s="31"/>
      <c r="I6003" s="31"/>
      <c r="J6003" s="31"/>
    </row>
    <row r="6004" spans="7:10" s="29" customFormat="1" x14ac:dyDescent="0.2">
      <c r="G6004" s="31"/>
      <c r="H6004" s="31"/>
      <c r="I6004" s="31"/>
      <c r="J6004" s="31"/>
    </row>
    <row r="6005" spans="7:10" s="29" customFormat="1" x14ac:dyDescent="0.2">
      <c r="G6005" s="31"/>
      <c r="H6005" s="31"/>
      <c r="I6005" s="31"/>
      <c r="J6005" s="31"/>
    </row>
    <row r="6006" spans="7:10" s="29" customFormat="1" x14ac:dyDescent="0.2">
      <c r="G6006" s="31"/>
      <c r="H6006" s="31"/>
      <c r="I6006" s="31"/>
      <c r="J6006" s="31"/>
    </row>
    <row r="6007" spans="7:10" s="29" customFormat="1" x14ac:dyDescent="0.2">
      <c r="G6007" s="31"/>
      <c r="H6007" s="31"/>
      <c r="I6007" s="31"/>
      <c r="J6007" s="31"/>
    </row>
    <row r="6008" spans="7:10" s="29" customFormat="1" x14ac:dyDescent="0.2">
      <c r="G6008" s="31"/>
      <c r="H6008" s="31"/>
      <c r="I6008" s="31"/>
      <c r="J6008" s="31"/>
    </row>
    <row r="6009" spans="7:10" s="29" customFormat="1" x14ac:dyDescent="0.2">
      <c r="G6009" s="31"/>
      <c r="H6009" s="31"/>
      <c r="I6009" s="31"/>
      <c r="J6009" s="31"/>
    </row>
    <row r="6010" spans="7:10" s="29" customFormat="1" x14ac:dyDescent="0.2">
      <c r="G6010" s="31"/>
      <c r="H6010" s="31"/>
      <c r="I6010" s="31"/>
      <c r="J6010" s="31"/>
    </row>
    <row r="6011" spans="7:10" s="29" customFormat="1" x14ac:dyDescent="0.2">
      <c r="G6011" s="31"/>
      <c r="H6011" s="31"/>
      <c r="I6011" s="31"/>
      <c r="J6011" s="31"/>
    </row>
    <row r="6012" spans="7:10" s="29" customFormat="1" x14ac:dyDescent="0.2">
      <c r="G6012" s="31"/>
      <c r="H6012" s="31"/>
      <c r="I6012" s="31"/>
      <c r="J6012" s="31"/>
    </row>
    <row r="6013" spans="7:10" s="29" customFormat="1" x14ac:dyDescent="0.2">
      <c r="G6013" s="31"/>
      <c r="H6013" s="31"/>
      <c r="I6013" s="31"/>
      <c r="J6013" s="31"/>
    </row>
    <row r="6014" spans="7:10" s="29" customFormat="1" x14ac:dyDescent="0.2">
      <c r="G6014" s="31"/>
      <c r="H6014" s="31"/>
      <c r="I6014" s="31"/>
      <c r="J6014" s="31"/>
    </row>
    <row r="6015" spans="7:10" s="29" customFormat="1" x14ac:dyDescent="0.2">
      <c r="G6015" s="31"/>
      <c r="H6015" s="31"/>
      <c r="I6015" s="31"/>
      <c r="J6015" s="31"/>
    </row>
    <row r="6016" spans="7:10" s="29" customFormat="1" x14ac:dyDescent="0.2">
      <c r="G6016" s="31"/>
      <c r="H6016" s="31"/>
      <c r="I6016" s="31"/>
      <c r="J6016" s="31"/>
    </row>
    <row r="6017" spans="7:10" s="29" customFormat="1" x14ac:dyDescent="0.2">
      <c r="G6017" s="31"/>
      <c r="H6017" s="31"/>
      <c r="I6017" s="31"/>
      <c r="J6017" s="31"/>
    </row>
    <row r="6018" spans="7:10" s="29" customFormat="1" x14ac:dyDescent="0.2">
      <c r="G6018" s="31"/>
      <c r="H6018" s="31"/>
      <c r="I6018" s="31"/>
      <c r="J6018" s="31"/>
    </row>
    <row r="6019" spans="7:10" s="29" customFormat="1" x14ac:dyDescent="0.2">
      <c r="G6019" s="31"/>
      <c r="H6019" s="31"/>
      <c r="I6019" s="31"/>
      <c r="J6019" s="31"/>
    </row>
    <row r="6020" spans="7:10" s="29" customFormat="1" x14ac:dyDescent="0.2">
      <c r="G6020" s="31"/>
      <c r="H6020" s="31"/>
      <c r="I6020" s="31"/>
      <c r="J6020" s="31"/>
    </row>
    <row r="6021" spans="7:10" s="29" customFormat="1" x14ac:dyDescent="0.2">
      <c r="G6021" s="31"/>
      <c r="H6021" s="31"/>
      <c r="I6021" s="31"/>
      <c r="J6021" s="31"/>
    </row>
    <row r="6022" spans="7:10" s="29" customFormat="1" x14ac:dyDescent="0.2">
      <c r="G6022" s="31"/>
      <c r="H6022" s="31"/>
      <c r="I6022" s="31"/>
      <c r="J6022" s="31"/>
    </row>
    <row r="6023" spans="7:10" s="29" customFormat="1" x14ac:dyDescent="0.2">
      <c r="G6023" s="31"/>
      <c r="H6023" s="31"/>
      <c r="I6023" s="31"/>
      <c r="J6023" s="31"/>
    </row>
    <row r="6024" spans="7:10" s="29" customFormat="1" x14ac:dyDescent="0.2">
      <c r="G6024" s="31"/>
      <c r="H6024" s="31"/>
      <c r="I6024" s="31"/>
      <c r="J6024" s="31"/>
    </row>
    <row r="6025" spans="7:10" s="29" customFormat="1" x14ac:dyDescent="0.2">
      <c r="G6025" s="31"/>
      <c r="H6025" s="31"/>
      <c r="I6025" s="31"/>
      <c r="J6025" s="31"/>
    </row>
    <row r="6026" spans="7:10" s="29" customFormat="1" x14ac:dyDescent="0.2">
      <c r="G6026" s="31"/>
      <c r="H6026" s="31"/>
      <c r="I6026" s="31"/>
      <c r="J6026" s="31"/>
    </row>
    <row r="6027" spans="7:10" s="29" customFormat="1" x14ac:dyDescent="0.2">
      <c r="G6027" s="31"/>
      <c r="H6027" s="31"/>
      <c r="I6027" s="31"/>
      <c r="J6027" s="31"/>
    </row>
    <row r="6028" spans="7:10" s="29" customFormat="1" x14ac:dyDescent="0.2">
      <c r="G6028" s="31"/>
      <c r="H6028" s="31"/>
      <c r="I6028" s="31"/>
      <c r="J6028" s="31"/>
    </row>
    <row r="6029" spans="7:10" s="29" customFormat="1" x14ac:dyDescent="0.2">
      <c r="G6029" s="31"/>
      <c r="H6029" s="31"/>
      <c r="I6029" s="31"/>
      <c r="J6029" s="31"/>
    </row>
    <row r="6030" spans="7:10" s="29" customFormat="1" x14ac:dyDescent="0.2">
      <c r="G6030" s="31"/>
      <c r="H6030" s="31"/>
      <c r="I6030" s="31"/>
      <c r="J6030" s="31"/>
    </row>
    <row r="6031" spans="7:10" s="29" customFormat="1" x14ac:dyDescent="0.2">
      <c r="G6031" s="31"/>
      <c r="H6031" s="31"/>
      <c r="I6031" s="31"/>
      <c r="J6031" s="31"/>
    </row>
    <row r="6032" spans="7:10" s="29" customFormat="1" x14ac:dyDescent="0.2">
      <c r="G6032" s="31"/>
      <c r="H6032" s="31"/>
      <c r="I6032" s="31"/>
      <c r="J6032" s="31"/>
    </row>
    <row r="6033" spans="7:10" s="29" customFormat="1" x14ac:dyDescent="0.2">
      <c r="G6033" s="31"/>
      <c r="H6033" s="31"/>
      <c r="I6033" s="31"/>
      <c r="J6033" s="31"/>
    </row>
    <row r="6034" spans="7:10" s="29" customFormat="1" x14ac:dyDescent="0.2">
      <c r="G6034" s="31"/>
      <c r="H6034" s="31"/>
      <c r="I6034" s="31"/>
      <c r="J6034" s="31"/>
    </row>
    <row r="6035" spans="7:10" s="29" customFormat="1" x14ac:dyDescent="0.2">
      <c r="G6035" s="31"/>
      <c r="H6035" s="31"/>
      <c r="I6035" s="31"/>
      <c r="J6035" s="31"/>
    </row>
    <row r="6036" spans="7:10" s="29" customFormat="1" x14ac:dyDescent="0.2">
      <c r="G6036" s="31"/>
      <c r="H6036" s="31"/>
      <c r="I6036" s="31"/>
      <c r="J6036" s="31"/>
    </row>
    <row r="6037" spans="7:10" s="29" customFormat="1" x14ac:dyDescent="0.2">
      <c r="G6037" s="31"/>
      <c r="H6037" s="31"/>
      <c r="I6037" s="31"/>
      <c r="J6037" s="31"/>
    </row>
    <row r="6038" spans="7:10" s="29" customFormat="1" x14ac:dyDescent="0.2">
      <c r="G6038" s="31"/>
      <c r="H6038" s="31"/>
      <c r="I6038" s="31"/>
      <c r="J6038" s="31"/>
    </row>
    <row r="6039" spans="7:10" s="29" customFormat="1" x14ac:dyDescent="0.2">
      <c r="G6039" s="31"/>
      <c r="H6039" s="31"/>
      <c r="I6039" s="31"/>
      <c r="J6039" s="31"/>
    </row>
    <row r="6040" spans="7:10" s="29" customFormat="1" x14ac:dyDescent="0.2">
      <c r="G6040" s="31"/>
      <c r="H6040" s="31"/>
      <c r="I6040" s="31"/>
      <c r="J6040" s="31"/>
    </row>
    <row r="6041" spans="7:10" s="29" customFormat="1" x14ac:dyDescent="0.2">
      <c r="G6041" s="31"/>
      <c r="H6041" s="31"/>
      <c r="I6041" s="31"/>
      <c r="J6041" s="31"/>
    </row>
    <row r="6042" spans="7:10" s="29" customFormat="1" x14ac:dyDescent="0.2">
      <c r="G6042" s="31"/>
      <c r="H6042" s="31"/>
      <c r="I6042" s="31"/>
      <c r="J6042" s="31"/>
    </row>
    <row r="6043" spans="7:10" s="29" customFormat="1" x14ac:dyDescent="0.2">
      <c r="G6043" s="31"/>
      <c r="H6043" s="31"/>
      <c r="I6043" s="31"/>
      <c r="J6043" s="31"/>
    </row>
    <row r="6044" spans="7:10" s="29" customFormat="1" x14ac:dyDescent="0.2">
      <c r="G6044" s="31"/>
      <c r="H6044" s="31"/>
      <c r="I6044" s="31"/>
      <c r="J6044" s="31"/>
    </row>
    <row r="6045" spans="7:10" s="29" customFormat="1" x14ac:dyDescent="0.2">
      <c r="G6045" s="31"/>
      <c r="H6045" s="31"/>
      <c r="I6045" s="31"/>
      <c r="J6045" s="31"/>
    </row>
    <row r="6046" spans="7:10" s="29" customFormat="1" x14ac:dyDescent="0.2">
      <c r="G6046" s="31"/>
      <c r="H6046" s="31"/>
      <c r="I6046" s="31"/>
      <c r="J6046" s="31"/>
    </row>
    <row r="6047" spans="7:10" s="29" customFormat="1" x14ac:dyDescent="0.2">
      <c r="G6047" s="31"/>
      <c r="H6047" s="31"/>
      <c r="I6047" s="31"/>
      <c r="J6047" s="31"/>
    </row>
    <row r="6048" spans="7:10" s="29" customFormat="1" x14ac:dyDescent="0.2">
      <c r="G6048" s="31"/>
      <c r="H6048" s="31"/>
      <c r="I6048" s="31"/>
      <c r="J6048" s="31"/>
    </row>
    <row r="6049" spans="7:10" s="29" customFormat="1" x14ac:dyDescent="0.2">
      <c r="G6049" s="31"/>
      <c r="H6049" s="31"/>
      <c r="I6049" s="31"/>
      <c r="J6049" s="31"/>
    </row>
    <row r="6050" spans="7:10" s="29" customFormat="1" x14ac:dyDescent="0.2">
      <c r="G6050" s="31"/>
      <c r="H6050" s="31"/>
      <c r="I6050" s="31"/>
      <c r="J6050" s="31"/>
    </row>
    <row r="6051" spans="7:10" s="29" customFormat="1" x14ac:dyDescent="0.2">
      <c r="G6051" s="31"/>
      <c r="H6051" s="31"/>
      <c r="I6051" s="31"/>
      <c r="J6051" s="31"/>
    </row>
    <row r="6052" spans="7:10" s="29" customFormat="1" x14ac:dyDescent="0.2">
      <c r="G6052" s="31"/>
      <c r="H6052" s="31"/>
      <c r="I6052" s="31"/>
      <c r="J6052" s="31"/>
    </row>
    <row r="6053" spans="7:10" s="29" customFormat="1" x14ac:dyDescent="0.2">
      <c r="G6053" s="31"/>
      <c r="H6053" s="31"/>
      <c r="I6053" s="31"/>
      <c r="J6053" s="31"/>
    </row>
    <row r="6054" spans="7:10" s="29" customFormat="1" x14ac:dyDescent="0.2">
      <c r="G6054" s="31"/>
      <c r="H6054" s="31"/>
      <c r="I6054" s="31"/>
      <c r="J6054" s="31"/>
    </row>
    <row r="6055" spans="7:10" s="29" customFormat="1" x14ac:dyDescent="0.2">
      <c r="G6055" s="31"/>
      <c r="H6055" s="31"/>
      <c r="I6055" s="31"/>
      <c r="J6055" s="31"/>
    </row>
    <row r="6056" spans="7:10" s="29" customFormat="1" x14ac:dyDescent="0.2">
      <c r="G6056" s="31"/>
      <c r="H6056" s="31"/>
      <c r="I6056" s="31"/>
      <c r="J6056" s="31"/>
    </row>
    <row r="6057" spans="7:10" s="29" customFormat="1" x14ac:dyDescent="0.2">
      <c r="G6057" s="31"/>
      <c r="H6057" s="31"/>
      <c r="I6057" s="31"/>
      <c r="J6057" s="31"/>
    </row>
    <row r="6058" spans="7:10" s="29" customFormat="1" x14ac:dyDescent="0.2">
      <c r="G6058" s="31"/>
      <c r="H6058" s="31"/>
      <c r="I6058" s="31"/>
      <c r="J6058" s="31"/>
    </row>
    <row r="6059" spans="7:10" s="29" customFormat="1" x14ac:dyDescent="0.2">
      <c r="G6059" s="31"/>
      <c r="H6059" s="31"/>
      <c r="I6059" s="31"/>
      <c r="J6059" s="31"/>
    </row>
    <row r="6060" spans="7:10" s="29" customFormat="1" x14ac:dyDescent="0.2">
      <c r="G6060" s="31"/>
      <c r="H6060" s="31"/>
      <c r="I6060" s="31"/>
      <c r="J6060" s="31"/>
    </row>
    <row r="6061" spans="7:10" s="29" customFormat="1" x14ac:dyDescent="0.2">
      <c r="G6061" s="31"/>
      <c r="H6061" s="31"/>
      <c r="I6061" s="31"/>
      <c r="J6061" s="31"/>
    </row>
    <row r="6062" spans="7:10" s="29" customFormat="1" x14ac:dyDescent="0.2">
      <c r="G6062" s="31"/>
      <c r="H6062" s="31"/>
      <c r="I6062" s="31"/>
      <c r="J6062" s="31"/>
    </row>
    <row r="6063" spans="7:10" s="29" customFormat="1" x14ac:dyDescent="0.2">
      <c r="G6063" s="31"/>
      <c r="H6063" s="31"/>
      <c r="I6063" s="31"/>
      <c r="J6063" s="31"/>
    </row>
    <row r="6064" spans="7:10" s="29" customFormat="1" x14ac:dyDescent="0.2">
      <c r="G6064" s="31"/>
      <c r="H6064" s="31"/>
      <c r="I6064" s="31"/>
      <c r="J6064" s="31"/>
    </row>
    <row r="6065" spans="7:10" s="29" customFormat="1" x14ac:dyDescent="0.2">
      <c r="G6065" s="31"/>
      <c r="H6065" s="31"/>
      <c r="I6065" s="31"/>
      <c r="J6065" s="31"/>
    </row>
    <row r="6066" spans="7:10" s="29" customFormat="1" x14ac:dyDescent="0.2">
      <c r="G6066" s="31"/>
      <c r="H6066" s="31"/>
      <c r="I6066" s="31"/>
      <c r="J6066" s="31"/>
    </row>
    <row r="6067" spans="7:10" s="29" customFormat="1" x14ac:dyDescent="0.2">
      <c r="G6067" s="31"/>
      <c r="H6067" s="31"/>
      <c r="I6067" s="31"/>
      <c r="J6067" s="31"/>
    </row>
    <row r="6068" spans="7:10" s="29" customFormat="1" x14ac:dyDescent="0.2">
      <c r="G6068" s="31"/>
      <c r="H6068" s="31"/>
      <c r="I6068" s="31"/>
      <c r="J6068" s="31"/>
    </row>
    <row r="6069" spans="7:10" s="29" customFormat="1" x14ac:dyDescent="0.2">
      <c r="G6069" s="31"/>
      <c r="H6069" s="31"/>
      <c r="I6069" s="31"/>
      <c r="J6069" s="31"/>
    </row>
    <row r="6070" spans="7:10" s="29" customFormat="1" x14ac:dyDescent="0.2">
      <c r="G6070" s="31"/>
      <c r="H6070" s="31"/>
      <c r="I6070" s="31"/>
      <c r="J6070" s="31"/>
    </row>
    <row r="6071" spans="7:10" s="29" customFormat="1" x14ac:dyDescent="0.2">
      <c r="G6071" s="31"/>
      <c r="H6071" s="31"/>
      <c r="I6071" s="31"/>
      <c r="J6071" s="31"/>
    </row>
    <row r="6072" spans="7:10" s="29" customFormat="1" x14ac:dyDescent="0.2">
      <c r="G6072" s="31"/>
      <c r="H6072" s="31"/>
      <c r="I6072" s="31"/>
      <c r="J6072" s="31"/>
    </row>
    <row r="6073" spans="7:10" s="29" customFormat="1" x14ac:dyDescent="0.2">
      <c r="G6073" s="31"/>
      <c r="H6073" s="31"/>
      <c r="I6073" s="31"/>
      <c r="J6073" s="31"/>
    </row>
    <row r="6074" spans="7:10" s="29" customFormat="1" x14ac:dyDescent="0.2">
      <c r="G6074" s="31"/>
      <c r="H6074" s="31"/>
      <c r="I6074" s="31"/>
      <c r="J6074" s="31"/>
    </row>
    <row r="6075" spans="7:10" s="29" customFormat="1" x14ac:dyDescent="0.2">
      <c r="G6075" s="31"/>
      <c r="H6075" s="31"/>
      <c r="I6075" s="31"/>
      <c r="J6075" s="31"/>
    </row>
    <row r="6076" spans="7:10" s="29" customFormat="1" x14ac:dyDescent="0.2">
      <c r="G6076" s="31"/>
      <c r="H6076" s="31"/>
      <c r="I6076" s="31"/>
      <c r="J6076" s="31"/>
    </row>
    <row r="6077" spans="7:10" s="29" customFormat="1" x14ac:dyDescent="0.2">
      <c r="G6077" s="31"/>
      <c r="H6077" s="31"/>
      <c r="I6077" s="31"/>
      <c r="J6077" s="31"/>
    </row>
    <row r="6078" spans="7:10" s="29" customFormat="1" x14ac:dyDescent="0.2">
      <c r="G6078" s="31"/>
      <c r="H6078" s="31"/>
      <c r="I6078" s="31"/>
      <c r="J6078" s="31"/>
    </row>
    <row r="6079" spans="7:10" s="29" customFormat="1" x14ac:dyDescent="0.2">
      <c r="G6079" s="31"/>
      <c r="H6079" s="31"/>
      <c r="I6079" s="31"/>
      <c r="J6079" s="31"/>
    </row>
    <row r="6080" spans="7:10" s="29" customFormat="1" x14ac:dyDescent="0.2">
      <c r="G6080" s="31"/>
      <c r="H6080" s="31"/>
      <c r="I6080" s="31"/>
      <c r="J6080" s="31"/>
    </row>
    <row r="6081" spans="7:10" s="29" customFormat="1" x14ac:dyDescent="0.2">
      <c r="G6081" s="31"/>
      <c r="H6081" s="31"/>
      <c r="I6081" s="31"/>
      <c r="J6081" s="31"/>
    </row>
    <row r="6082" spans="7:10" s="29" customFormat="1" x14ac:dyDescent="0.2">
      <c r="G6082" s="31"/>
      <c r="H6082" s="31"/>
      <c r="I6082" s="31"/>
      <c r="J6082" s="31"/>
    </row>
    <row r="6083" spans="7:10" s="29" customFormat="1" x14ac:dyDescent="0.2">
      <c r="G6083" s="31"/>
      <c r="H6083" s="31"/>
      <c r="I6083" s="31"/>
      <c r="J6083" s="31"/>
    </row>
    <row r="6084" spans="7:10" s="29" customFormat="1" x14ac:dyDescent="0.2">
      <c r="G6084" s="31"/>
      <c r="H6084" s="31"/>
      <c r="I6084" s="31"/>
      <c r="J6084" s="31"/>
    </row>
    <row r="6085" spans="7:10" s="29" customFormat="1" x14ac:dyDescent="0.2">
      <c r="G6085" s="31"/>
      <c r="H6085" s="31"/>
      <c r="I6085" s="31"/>
      <c r="J6085" s="31"/>
    </row>
    <row r="6086" spans="7:10" s="29" customFormat="1" x14ac:dyDescent="0.2">
      <c r="G6086" s="31"/>
      <c r="H6086" s="31"/>
      <c r="I6086" s="31"/>
      <c r="J6086" s="31"/>
    </row>
    <row r="6087" spans="7:10" s="29" customFormat="1" x14ac:dyDescent="0.2">
      <c r="G6087" s="31"/>
      <c r="H6087" s="31"/>
      <c r="I6087" s="31"/>
      <c r="J6087" s="31"/>
    </row>
    <row r="6088" spans="7:10" s="29" customFormat="1" x14ac:dyDescent="0.2">
      <c r="G6088" s="31"/>
      <c r="H6088" s="31"/>
      <c r="I6088" s="31"/>
      <c r="J6088" s="31"/>
    </row>
    <row r="6089" spans="7:10" s="29" customFormat="1" x14ac:dyDescent="0.2">
      <c r="G6089" s="31"/>
      <c r="H6089" s="31"/>
      <c r="I6089" s="31"/>
      <c r="J6089" s="31"/>
    </row>
    <row r="6090" spans="7:10" s="29" customFormat="1" x14ac:dyDescent="0.2">
      <c r="G6090" s="31"/>
      <c r="H6090" s="31"/>
      <c r="I6090" s="31"/>
      <c r="J6090" s="31"/>
    </row>
    <row r="6091" spans="7:10" s="29" customFormat="1" x14ac:dyDescent="0.2">
      <c r="G6091" s="31"/>
      <c r="H6091" s="31"/>
      <c r="I6091" s="31"/>
      <c r="J6091" s="31"/>
    </row>
    <row r="6092" spans="7:10" s="29" customFormat="1" x14ac:dyDescent="0.2">
      <c r="G6092" s="31"/>
      <c r="H6092" s="31"/>
      <c r="I6092" s="31"/>
      <c r="J6092" s="31"/>
    </row>
    <row r="6093" spans="7:10" s="29" customFormat="1" x14ac:dyDescent="0.2">
      <c r="G6093" s="31"/>
      <c r="H6093" s="31"/>
      <c r="I6093" s="31"/>
      <c r="J6093" s="31"/>
    </row>
    <row r="6094" spans="7:10" s="29" customFormat="1" x14ac:dyDescent="0.2">
      <c r="G6094" s="31"/>
      <c r="H6094" s="31"/>
      <c r="I6094" s="31"/>
      <c r="J6094" s="31"/>
    </row>
    <row r="6095" spans="7:10" s="29" customFormat="1" x14ac:dyDescent="0.2">
      <c r="G6095" s="31"/>
      <c r="H6095" s="31"/>
      <c r="I6095" s="31"/>
      <c r="J6095" s="31"/>
    </row>
    <row r="6096" spans="7:10" s="29" customFormat="1" x14ac:dyDescent="0.2">
      <c r="G6096" s="31"/>
      <c r="H6096" s="31"/>
      <c r="I6096" s="31"/>
      <c r="J6096" s="31"/>
    </row>
    <row r="6097" spans="7:10" s="29" customFormat="1" x14ac:dyDescent="0.2">
      <c r="G6097" s="31"/>
      <c r="H6097" s="31"/>
      <c r="I6097" s="31"/>
      <c r="J6097" s="31"/>
    </row>
    <row r="6098" spans="7:10" s="29" customFormat="1" x14ac:dyDescent="0.2">
      <c r="G6098" s="31"/>
      <c r="H6098" s="31"/>
      <c r="I6098" s="31"/>
      <c r="J6098" s="31"/>
    </row>
    <row r="6099" spans="7:10" s="29" customFormat="1" x14ac:dyDescent="0.2">
      <c r="G6099" s="31"/>
      <c r="H6099" s="31"/>
      <c r="I6099" s="31"/>
      <c r="J6099" s="31"/>
    </row>
    <row r="6100" spans="7:10" s="29" customFormat="1" x14ac:dyDescent="0.2">
      <c r="G6100" s="31"/>
      <c r="H6100" s="31"/>
      <c r="I6100" s="31"/>
      <c r="J6100" s="31"/>
    </row>
    <row r="6101" spans="7:10" s="29" customFormat="1" x14ac:dyDescent="0.2">
      <c r="G6101" s="31"/>
      <c r="H6101" s="31"/>
      <c r="I6101" s="31"/>
      <c r="J6101" s="31"/>
    </row>
    <row r="6102" spans="7:10" s="29" customFormat="1" x14ac:dyDescent="0.2">
      <c r="G6102" s="31"/>
      <c r="H6102" s="31"/>
      <c r="I6102" s="31"/>
      <c r="J6102" s="31"/>
    </row>
    <row r="6103" spans="7:10" s="29" customFormat="1" x14ac:dyDescent="0.2">
      <c r="G6103" s="31"/>
      <c r="H6103" s="31"/>
      <c r="I6103" s="31"/>
      <c r="J6103" s="31"/>
    </row>
    <row r="6104" spans="7:10" s="29" customFormat="1" x14ac:dyDescent="0.2">
      <c r="G6104" s="31"/>
      <c r="H6104" s="31"/>
      <c r="I6104" s="31"/>
      <c r="J6104" s="31"/>
    </row>
    <row r="6105" spans="7:10" s="29" customFormat="1" x14ac:dyDescent="0.2">
      <c r="G6105" s="31"/>
      <c r="H6105" s="31"/>
      <c r="I6105" s="31"/>
      <c r="J6105" s="31"/>
    </row>
    <row r="6106" spans="7:10" s="29" customFormat="1" x14ac:dyDescent="0.2">
      <c r="G6106" s="31"/>
      <c r="H6106" s="31"/>
      <c r="I6106" s="31"/>
      <c r="J6106" s="31"/>
    </row>
    <row r="6107" spans="7:10" s="29" customFormat="1" x14ac:dyDescent="0.2">
      <c r="G6107" s="31"/>
      <c r="H6107" s="31"/>
      <c r="I6107" s="31"/>
      <c r="J6107" s="31"/>
    </row>
    <row r="6108" spans="7:10" s="29" customFormat="1" x14ac:dyDescent="0.2">
      <c r="G6108" s="31"/>
      <c r="H6108" s="31"/>
      <c r="I6108" s="31"/>
      <c r="J6108" s="31"/>
    </row>
    <row r="6109" spans="7:10" s="29" customFormat="1" x14ac:dyDescent="0.2">
      <c r="G6109" s="31"/>
      <c r="H6109" s="31"/>
      <c r="I6109" s="31"/>
      <c r="J6109" s="31"/>
    </row>
    <row r="6110" spans="7:10" s="29" customFormat="1" x14ac:dyDescent="0.2">
      <c r="G6110" s="31"/>
      <c r="H6110" s="31"/>
      <c r="I6110" s="31"/>
      <c r="J6110" s="31"/>
    </row>
    <row r="6111" spans="7:10" s="29" customFormat="1" x14ac:dyDescent="0.2">
      <c r="G6111" s="31"/>
      <c r="H6111" s="31"/>
      <c r="I6111" s="31"/>
      <c r="J6111" s="31"/>
    </row>
    <row r="6112" spans="7:10" s="29" customFormat="1" x14ac:dyDescent="0.2">
      <c r="G6112" s="31"/>
      <c r="H6112" s="31"/>
      <c r="I6112" s="31"/>
      <c r="J6112" s="31"/>
    </row>
    <row r="6113" spans="7:10" s="29" customFormat="1" x14ac:dyDescent="0.2">
      <c r="G6113" s="31"/>
      <c r="H6113" s="31"/>
      <c r="I6113" s="31"/>
      <c r="J6113" s="31"/>
    </row>
    <row r="6114" spans="7:10" s="29" customFormat="1" x14ac:dyDescent="0.2">
      <c r="G6114" s="31"/>
      <c r="H6114" s="31"/>
      <c r="I6114" s="31"/>
      <c r="J6114" s="31"/>
    </row>
    <row r="6115" spans="7:10" s="29" customFormat="1" x14ac:dyDescent="0.2">
      <c r="G6115" s="31"/>
      <c r="H6115" s="31"/>
      <c r="I6115" s="31"/>
      <c r="J6115" s="31"/>
    </row>
    <row r="6116" spans="7:10" s="29" customFormat="1" x14ac:dyDescent="0.2">
      <c r="G6116" s="31"/>
      <c r="H6116" s="31"/>
      <c r="I6116" s="31"/>
      <c r="J6116" s="31"/>
    </row>
    <row r="6117" spans="7:10" s="29" customFormat="1" x14ac:dyDescent="0.2">
      <c r="G6117" s="31"/>
      <c r="H6117" s="31"/>
      <c r="I6117" s="31"/>
      <c r="J6117" s="31"/>
    </row>
    <row r="6118" spans="7:10" s="29" customFormat="1" x14ac:dyDescent="0.2">
      <c r="G6118" s="31"/>
      <c r="H6118" s="31"/>
      <c r="I6118" s="31"/>
      <c r="J6118" s="31"/>
    </row>
    <row r="6119" spans="7:10" s="29" customFormat="1" x14ac:dyDescent="0.2">
      <c r="G6119" s="31"/>
      <c r="H6119" s="31"/>
      <c r="I6119" s="31"/>
      <c r="J6119" s="31"/>
    </row>
    <row r="6120" spans="7:10" s="29" customFormat="1" x14ac:dyDescent="0.2">
      <c r="G6120" s="31"/>
      <c r="H6120" s="31"/>
      <c r="I6120" s="31"/>
      <c r="J6120" s="31"/>
    </row>
    <row r="6121" spans="7:10" s="29" customFormat="1" x14ac:dyDescent="0.2">
      <c r="G6121" s="31"/>
      <c r="H6121" s="31"/>
      <c r="I6121" s="31"/>
      <c r="J6121" s="31"/>
    </row>
    <row r="6122" spans="7:10" s="29" customFormat="1" x14ac:dyDescent="0.2">
      <c r="G6122" s="31"/>
      <c r="H6122" s="31"/>
      <c r="I6122" s="31"/>
      <c r="J6122" s="31"/>
    </row>
    <row r="6123" spans="7:10" s="29" customFormat="1" x14ac:dyDescent="0.2">
      <c r="G6123" s="31"/>
      <c r="H6123" s="31"/>
      <c r="I6123" s="31"/>
      <c r="J6123" s="31"/>
    </row>
    <row r="6124" spans="7:10" s="29" customFormat="1" x14ac:dyDescent="0.2">
      <c r="G6124" s="31"/>
      <c r="H6124" s="31"/>
      <c r="I6124" s="31"/>
      <c r="J6124" s="31"/>
    </row>
    <row r="6125" spans="7:10" s="29" customFormat="1" x14ac:dyDescent="0.2">
      <c r="G6125" s="31"/>
      <c r="H6125" s="31"/>
      <c r="I6125" s="31"/>
      <c r="J6125" s="31"/>
    </row>
    <row r="6126" spans="7:10" s="29" customFormat="1" x14ac:dyDescent="0.2">
      <c r="G6126" s="31"/>
      <c r="H6126" s="31"/>
      <c r="I6126" s="31"/>
      <c r="J6126" s="31"/>
    </row>
    <row r="6127" spans="7:10" s="29" customFormat="1" x14ac:dyDescent="0.2">
      <c r="G6127" s="31"/>
      <c r="H6127" s="31"/>
      <c r="I6127" s="31"/>
      <c r="J6127" s="31"/>
    </row>
    <row r="6128" spans="7:10" s="29" customFormat="1" x14ac:dyDescent="0.2">
      <c r="G6128" s="31"/>
      <c r="H6128" s="31"/>
      <c r="I6128" s="31"/>
      <c r="J6128" s="31"/>
    </row>
    <row r="6129" spans="7:10" s="29" customFormat="1" x14ac:dyDescent="0.2">
      <c r="G6129" s="31"/>
      <c r="H6129" s="31"/>
      <c r="I6129" s="31"/>
      <c r="J6129" s="31"/>
    </row>
    <row r="6130" spans="7:10" s="29" customFormat="1" x14ac:dyDescent="0.2">
      <c r="G6130" s="31"/>
      <c r="H6130" s="31"/>
      <c r="I6130" s="31"/>
      <c r="J6130" s="31"/>
    </row>
    <row r="6131" spans="7:10" s="29" customFormat="1" x14ac:dyDescent="0.2">
      <c r="G6131" s="31"/>
      <c r="H6131" s="31"/>
      <c r="I6131" s="31"/>
      <c r="J6131" s="31"/>
    </row>
    <row r="6132" spans="7:10" s="29" customFormat="1" x14ac:dyDescent="0.2">
      <c r="G6132" s="31"/>
      <c r="H6132" s="31"/>
      <c r="I6132" s="31"/>
      <c r="J6132" s="31"/>
    </row>
    <row r="6133" spans="7:10" s="29" customFormat="1" x14ac:dyDescent="0.2">
      <c r="G6133" s="31"/>
      <c r="H6133" s="31"/>
      <c r="I6133" s="31"/>
      <c r="J6133" s="31"/>
    </row>
    <row r="6134" spans="7:10" s="29" customFormat="1" x14ac:dyDescent="0.2">
      <c r="G6134" s="31"/>
      <c r="H6134" s="31"/>
      <c r="I6134" s="31"/>
      <c r="J6134" s="31"/>
    </row>
    <row r="6135" spans="7:10" s="29" customFormat="1" x14ac:dyDescent="0.2">
      <c r="G6135" s="31"/>
      <c r="H6135" s="31"/>
      <c r="I6135" s="31"/>
      <c r="J6135" s="31"/>
    </row>
    <row r="6136" spans="7:10" s="29" customFormat="1" x14ac:dyDescent="0.2">
      <c r="G6136" s="31"/>
      <c r="H6136" s="31"/>
      <c r="I6136" s="31"/>
      <c r="J6136" s="31"/>
    </row>
    <row r="6137" spans="7:10" s="29" customFormat="1" x14ac:dyDescent="0.2">
      <c r="G6137" s="31"/>
      <c r="H6137" s="31"/>
      <c r="I6137" s="31"/>
      <c r="J6137" s="31"/>
    </row>
    <row r="6138" spans="7:10" s="29" customFormat="1" x14ac:dyDescent="0.2">
      <c r="G6138" s="31"/>
      <c r="H6138" s="31"/>
      <c r="I6138" s="31"/>
      <c r="J6138" s="31"/>
    </row>
    <row r="6139" spans="7:10" s="29" customFormat="1" x14ac:dyDescent="0.2">
      <c r="G6139" s="31"/>
      <c r="H6139" s="31"/>
      <c r="I6139" s="31"/>
      <c r="J6139" s="31"/>
    </row>
    <row r="6140" spans="7:10" s="29" customFormat="1" x14ac:dyDescent="0.2">
      <c r="G6140" s="31"/>
      <c r="H6140" s="31"/>
      <c r="I6140" s="31"/>
      <c r="J6140" s="31"/>
    </row>
    <row r="6141" spans="7:10" s="29" customFormat="1" x14ac:dyDescent="0.2">
      <c r="G6141" s="31"/>
      <c r="H6141" s="31"/>
      <c r="I6141" s="31"/>
      <c r="J6141" s="31"/>
    </row>
    <row r="6142" spans="7:10" s="29" customFormat="1" x14ac:dyDescent="0.2">
      <c r="G6142" s="31"/>
      <c r="H6142" s="31"/>
      <c r="I6142" s="31"/>
      <c r="J6142" s="31"/>
    </row>
    <row r="6143" spans="7:10" s="29" customFormat="1" x14ac:dyDescent="0.2">
      <c r="G6143" s="31"/>
      <c r="H6143" s="31"/>
      <c r="I6143" s="31"/>
      <c r="J6143" s="31"/>
    </row>
    <row r="6144" spans="7:10" s="29" customFormat="1" x14ac:dyDescent="0.2">
      <c r="G6144" s="31"/>
      <c r="H6144" s="31"/>
      <c r="I6144" s="31"/>
      <c r="J6144" s="31"/>
    </row>
    <row r="6145" spans="7:10" s="29" customFormat="1" x14ac:dyDescent="0.2">
      <c r="G6145" s="31"/>
      <c r="H6145" s="31"/>
      <c r="I6145" s="31"/>
      <c r="J6145" s="31"/>
    </row>
    <row r="6146" spans="7:10" s="29" customFormat="1" x14ac:dyDescent="0.2">
      <c r="G6146" s="31"/>
      <c r="H6146" s="31"/>
      <c r="I6146" s="31"/>
      <c r="J6146" s="31"/>
    </row>
    <row r="6147" spans="7:10" s="29" customFormat="1" x14ac:dyDescent="0.2">
      <c r="G6147" s="31"/>
      <c r="H6147" s="31"/>
      <c r="I6147" s="31"/>
      <c r="J6147" s="31"/>
    </row>
    <row r="6148" spans="7:10" s="29" customFormat="1" x14ac:dyDescent="0.2">
      <c r="G6148" s="31"/>
      <c r="H6148" s="31"/>
      <c r="I6148" s="31"/>
      <c r="J6148" s="31"/>
    </row>
    <row r="6149" spans="7:10" s="29" customFormat="1" x14ac:dyDescent="0.2">
      <c r="G6149" s="31"/>
      <c r="H6149" s="31"/>
      <c r="I6149" s="31"/>
      <c r="J6149" s="31"/>
    </row>
    <row r="6150" spans="7:10" s="29" customFormat="1" x14ac:dyDescent="0.2">
      <c r="G6150" s="31"/>
      <c r="H6150" s="31"/>
      <c r="I6150" s="31"/>
      <c r="J6150" s="31"/>
    </row>
    <row r="6151" spans="7:10" s="29" customFormat="1" x14ac:dyDescent="0.2">
      <c r="G6151" s="31"/>
      <c r="H6151" s="31"/>
      <c r="I6151" s="31"/>
      <c r="J6151" s="31"/>
    </row>
    <row r="6152" spans="7:10" s="29" customFormat="1" x14ac:dyDescent="0.2">
      <c r="G6152" s="31"/>
      <c r="H6152" s="31"/>
      <c r="I6152" s="31"/>
      <c r="J6152" s="31"/>
    </row>
    <row r="6153" spans="7:10" s="29" customFormat="1" x14ac:dyDescent="0.2">
      <c r="G6153" s="31"/>
      <c r="H6153" s="31"/>
      <c r="I6153" s="31"/>
      <c r="J6153" s="31"/>
    </row>
    <row r="6154" spans="7:10" s="29" customFormat="1" x14ac:dyDescent="0.2">
      <c r="G6154" s="31"/>
      <c r="H6154" s="31"/>
      <c r="I6154" s="31"/>
      <c r="J6154" s="31"/>
    </row>
    <row r="6155" spans="7:10" s="29" customFormat="1" x14ac:dyDescent="0.2">
      <c r="G6155" s="31"/>
      <c r="H6155" s="31"/>
      <c r="I6155" s="31"/>
      <c r="J6155" s="31"/>
    </row>
    <row r="6156" spans="7:10" s="29" customFormat="1" x14ac:dyDescent="0.2">
      <c r="G6156" s="31"/>
      <c r="H6156" s="31"/>
      <c r="I6156" s="31"/>
      <c r="J6156" s="31"/>
    </row>
    <row r="6157" spans="7:10" s="29" customFormat="1" x14ac:dyDescent="0.2">
      <c r="G6157" s="31"/>
      <c r="H6157" s="31"/>
      <c r="I6157" s="31"/>
      <c r="J6157" s="31"/>
    </row>
    <row r="6158" spans="7:10" s="29" customFormat="1" x14ac:dyDescent="0.2">
      <c r="G6158" s="31"/>
      <c r="H6158" s="31"/>
      <c r="I6158" s="31"/>
      <c r="J6158" s="31"/>
    </row>
    <row r="6159" spans="7:10" s="29" customFormat="1" x14ac:dyDescent="0.2">
      <c r="G6159" s="31"/>
      <c r="H6159" s="31"/>
      <c r="I6159" s="31"/>
      <c r="J6159" s="31"/>
    </row>
    <row r="6160" spans="7:10" s="29" customFormat="1" x14ac:dyDescent="0.2">
      <c r="G6160" s="31"/>
      <c r="H6160" s="31"/>
      <c r="I6160" s="31"/>
      <c r="J6160" s="31"/>
    </row>
    <row r="6161" spans="7:10" s="29" customFormat="1" x14ac:dyDescent="0.2">
      <c r="G6161" s="31"/>
      <c r="H6161" s="31"/>
      <c r="I6161" s="31"/>
      <c r="J6161" s="31"/>
    </row>
    <row r="6162" spans="7:10" s="29" customFormat="1" x14ac:dyDescent="0.2">
      <c r="G6162" s="31"/>
      <c r="H6162" s="31"/>
      <c r="I6162" s="31"/>
      <c r="J6162" s="31"/>
    </row>
    <row r="6163" spans="7:10" s="29" customFormat="1" x14ac:dyDescent="0.2">
      <c r="G6163" s="31"/>
      <c r="H6163" s="31"/>
      <c r="I6163" s="31"/>
      <c r="J6163" s="31"/>
    </row>
    <row r="6164" spans="7:10" s="29" customFormat="1" x14ac:dyDescent="0.2">
      <c r="G6164" s="31"/>
      <c r="H6164" s="31"/>
      <c r="I6164" s="31"/>
      <c r="J6164" s="31"/>
    </row>
    <row r="6165" spans="7:10" s="29" customFormat="1" x14ac:dyDescent="0.2">
      <c r="G6165" s="31"/>
      <c r="H6165" s="31"/>
      <c r="I6165" s="31"/>
      <c r="J6165" s="31"/>
    </row>
    <row r="6166" spans="7:10" s="29" customFormat="1" x14ac:dyDescent="0.2">
      <c r="G6166" s="31"/>
      <c r="H6166" s="31"/>
      <c r="I6166" s="31"/>
      <c r="J6166" s="31"/>
    </row>
    <row r="6167" spans="7:10" s="29" customFormat="1" x14ac:dyDescent="0.2">
      <c r="G6167" s="31"/>
      <c r="H6167" s="31"/>
      <c r="I6167" s="31"/>
      <c r="J6167" s="31"/>
    </row>
    <row r="6168" spans="7:10" s="29" customFormat="1" x14ac:dyDescent="0.2">
      <c r="G6168" s="31"/>
      <c r="H6168" s="31"/>
      <c r="I6168" s="31"/>
      <c r="J6168" s="31"/>
    </row>
    <row r="6169" spans="7:10" s="29" customFormat="1" x14ac:dyDescent="0.2">
      <c r="G6169" s="31"/>
      <c r="H6169" s="31"/>
      <c r="I6169" s="31"/>
      <c r="J6169" s="31"/>
    </row>
    <row r="6170" spans="7:10" s="29" customFormat="1" x14ac:dyDescent="0.2">
      <c r="G6170" s="31"/>
      <c r="H6170" s="31"/>
      <c r="I6170" s="31"/>
      <c r="J6170" s="31"/>
    </row>
    <row r="6171" spans="7:10" s="29" customFormat="1" x14ac:dyDescent="0.2">
      <c r="G6171" s="31"/>
      <c r="H6171" s="31"/>
      <c r="I6171" s="31"/>
      <c r="J6171" s="31"/>
    </row>
    <row r="6172" spans="7:10" s="29" customFormat="1" x14ac:dyDescent="0.2">
      <c r="G6172" s="31"/>
      <c r="H6172" s="31"/>
      <c r="I6172" s="31"/>
      <c r="J6172" s="31"/>
    </row>
    <row r="6173" spans="7:10" s="29" customFormat="1" x14ac:dyDescent="0.2">
      <c r="G6173" s="31"/>
      <c r="H6173" s="31"/>
      <c r="I6173" s="31"/>
      <c r="J6173" s="31"/>
    </row>
    <row r="6174" spans="7:10" s="29" customFormat="1" x14ac:dyDescent="0.2">
      <c r="G6174" s="31"/>
      <c r="H6174" s="31"/>
      <c r="I6174" s="31"/>
      <c r="J6174" s="31"/>
    </row>
    <row r="6175" spans="7:10" s="29" customFormat="1" x14ac:dyDescent="0.2">
      <c r="G6175" s="31"/>
      <c r="H6175" s="31"/>
      <c r="I6175" s="31"/>
      <c r="J6175" s="31"/>
    </row>
    <row r="6176" spans="7:10" s="29" customFormat="1" x14ac:dyDescent="0.2">
      <c r="G6176" s="31"/>
      <c r="H6176" s="31"/>
      <c r="I6176" s="31"/>
      <c r="J6176" s="31"/>
    </row>
    <row r="6177" spans="7:10" s="29" customFormat="1" x14ac:dyDescent="0.2">
      <c r="G6177" s="31"/>
      <c r="H6177" s="31"/>
      <c r="I6177" s="31"/>
      <c r="J6177" s="31"/>
    </row>
    <row r="6178" spans="7:10" s="29" customFormat="1" x14ac:dyDescent="0.2">
      <c r="G6178" s="31"/>
      <c r="H6178" s="31"/>
      <c r="I6178" s="31"/>
      <c r="J6178" s="31"/>
    </row>
    <row r="6179" spans="7:10" s="29" customFormat="1" x14ac:dyDescent="0.2">
      <c r="G6179" s="31"/>
      <c r="H6179" s="31"/>
      <c r="I6179" s="31"/>
      <c r="J6179" s="31"/>
    </row>
    <row r="6180" spans="7:10" s="29" customFormat="1" x14ac:dyDescent="0.2">
      <c r="G6180" s="31"/>
      <c r="H6180" s="31"/>
      <c r="I6180" s="31"/>
      <c r="J6180" s="31"/>
    </row>
    <row r="6181" spans="7:10" s="29" customFormat="1" x14ac:dyDescent="0.2">
      <c r="G6181" s="31"/>
      <c r="H6181" s="31"/>
      <c r="I6181" s="31"/>
      <c r="J6181" s="31"/>
    </row>
    <row r="6182" spans="7:10" s="29" customFormat="1" x14ac:dyDescent="0.2">
      <c r="G6182" s="31"/>
      <c r="H6182" s="31"/>
      <c r="I6182" s="31"/>
      <c r="J6182" s="31"/>
    </row>
    <row r="6183" spans="7:10" s="29" customFormat="1" x14ac:dyDescent="0.2">
      <c r="G6183" s="31"/>
      <c r="H6183" s="31"/>
      <c r="I6183" s="31"/>
      <c r="J6183" s="31"/>
    </row>
    <row r="6184" spans="7:10" s="29" customFormat="1" x14ac:dyDescent="0.2">
      <c r="G6184" s="31"/>
      <c r="H6184" s="31"/>
      <c r="I6184" s="31"/>
      <c r="J6184" s="31"/>
    </row>
    <row r="6185" spans="7:10" s="29" customFormat="1" x14ac:dyDescent="0.2">
      <c r="G6185" s="31"/>
      <c r="H6185" s="31"/>
      <c r="I6185" s="31"/>
      <c r="J6185" s="31"/>
    </row>
    <row r="6186" spans="7:10" s="29" customFormat="1" x14ac:dyDescent="0.2">
      <c r="G6186" s="31"/>
      <c r="H6186" s="31"/>
      <c r="I6186" s="31"/>
      <c r="J6186" s="31"/>
    </row>
    <row r="6187" spans="7:10" s="29" customFormat="1" x14ac:dyDescent="0.2">
      <c r="G6187" s="31"/>
      <c r="H6187" s="31"/>
      <c r="I6187" s="31"/>
      <c r="J6187" s="31"/>
    </row>
    <row r="6188" spans="7:10" s="29" customFormat="1" x14ac:dyDescent="0.2">
      <c r="G6188" s="31"/>
      <c r="H6188" s="31"/>
      <c r="I6188" s="31"/>
      <c r="J6188" s="31"/>
    </row>
    <row r="6189" spans="7:10" s="29" customFormat="1" x14ac:dyDescent="0.2">
      <c r="G6189" s="31"/>
      <c r="H6189" s="31"/>
      <c r="I6189" s="31"/>
      <c r="J6189" s="31"/>
    </row>
    <row r="6190" spans="7:10" s="29" customFormat="1" x14ac:dyDescent="0.2">
      <c r="G6190" s="31"/>
      <c r="H6190" s="31"/>
      <c r="I6190" s="31"/>
      <c r="J6190" s="31"/>
    </row>
    <row r="6191" spans="7:10" s="29" customFormat="1" x14ac:dyDescent="0.2">
      <c r="G6191" s="31"/>
      <c r="H6191" s="31"/>
      <c r="I6191" s="31"/>
      <c r="J6191" s="31"/>
    </row>
    <row r="6192" spans="7:10" s="29" customFormat="1" x14ac:dyDescent="0.2">
      <c r="G6192" s="31"/>
      <c r="H6192" s="31"/>
      <c r="I6192" s="31"/>
      <c r="J6192" s="31"/>
    </row>
    <row r="6193" spans="7:10" s="29" customFormat="1" x14ac:dyDescent="0.2">
      <c r="G6193" s="31"/>
      <c r="H6193" s="31"/>
      <c r="I6193" s="31"/>
      <c r="J6193" s="31"/>
    </row>
    <row r="6194" spans="7:10" s="29" customFormat="1" x14ac:dyDescent="0.2">
      <c r="G6194" s="31"/>
      <c r="H6194" s="31"/>
      <c r="I6194" s="31"/>
      <c r="J6194" s="31"/>
    </row>
    <row r="6195" spans="7:10" s="29" customFormat="1" x14ac:dyDescent="0.2">
      <c r="G6195" s="31"/>
      <c r="H6195" s="31"/>
      <c r="I6195" s="31"/>
      <c r="J6195" s="31"/>
    </row>
    <row r="6196" spans="7:10" s="29" customFormat="1" x14ac:dyDescent="0.2">
      <c r="G6196" s="31"/>
      <c r="H6196" s="31"/>
      <c r="I6196" s="31"/>
      <c r="J6196" s="31"/>
    </row>
    <row r="6197" spans="7:10" s="29" customFormat="1" x14ac:dyDescent="0.2">
      <c r="G6197" s="31"/>
      <c r="H6197" s="31"/>
      <c r="I6197" s="31"/>
      <c r="J6197" s="31"/>
    </row>
    <row r="6198" spans="7:10" s="29" customFormat="1" x14ac:dyDescent="0.2">
      <c r="G6198" s="31"/>
      <c r="H6198" s="31"/>
      <c r="I6198" s="31"/>
      <c r="J6198" s="31"/>
    </row>
    <row r="6199" spans="7:10" s="29" customFormat="1" x14ac:dyDescent="0.2">
      <c r="G6199" s="31"/>
      <c r="H6199" s="31"/>
      <c r="I6199" s="31"/>
      <c r="J6199" s="31"/>
    </row>
    <row r="6200" spans="7:10" s="29" customFormat="1" x14ac:dyDescent="0.2">
      <c r="G6200" s="31"/>
      <c r="H6200" s="31"/>
      <c r="I6200" s="31"/>
      <c r="J6200" s="31"/>
    </row>
    <row r="6201" spans="7:10" s="29" customFormat="1" x14ac:dyDescent="0.2">
      <c r="G6201" s="31"/>
      <c r="H6201" s="31"/>
      <c r="I6201" s="31"/>
      <c r="J6201" s="31"/>
    </row>
    <row r="6202" spans="7:10" s="29" customFormat="1" x14ac:dyDescent="0.2">
      <c r="G6202" s="31"/>
      <c r="H6202" s="31"/>
      <c r="I6202" s="31"/>
      <c r="J6202" s="31"/>
    </row>
    <row r="6203" spans="7:10" s="29" customFormat="1" x14ac:dyDescent="0.2">
      <c r="G6203" s="31"/>
      <c r="H6203" s="31"/>
      <c r="I6203" s="31"/>
      <c r="J6203" s="31"/>
    </row>
    <row r="6204" spans="7:10" s="29" customFormat="1" x14ac:dyDescent="0.2">
      <c r="G6204" s="31"/>
      <c r="H6204" s="31"/>
      <c r="I6204" s="31"/>
      <c r="J6204" s="31"/>
    </row>
    <row r="6205" spans="7:10" s="29" customFormat="1" x14ac:dyDescent="0.2">
      <c r="G6205" s="31"/>
      <c r="H6205" s="31"/>
      <c r="I6205" s="31"/>
      <c r="J6205" s="31"/>
    </row>
    <row r="6206" spans="7:10" s="29" customFormat="1" x14ac:dyDescent="0.2">
      <c r="G6206" s="31"/>
      <c r="H6206" s="31"/>
      <c r="I6206" s="31"/>
      <c r="J6206" s="31"/>
    </row>
    <row r="6207" spans="7:10" s="29" customFormat="1" x14ac:dyDescent="0.2">
      <c r="G6207" s="31"/>
      <c r="H6207" s="31"/>
      <c r="I6207" s="31"/>
      <c r="J6207" s="31"/>
    </row>
    <row r="6208" spans="7:10" s="29" customFormat="1" x14ac:dyDescent="0.2">
      <c r="G6208" s="31"/>
      <c r="H6208" s="31"/>
      <c r="I6208" s="31"/>
      <c r="J6208" s="31"/>
    </row>
    <row r="6209" spans="7:10" s="29" customFormat="1" x14ac:dyDescent="0.2">
      <c r="G6209" s="31"/>
      <c r="H6209" s="31"/>
      <c r="I6209" s="31"/>
      <c r="J6209" s="31"/>
    </row>
    <row r="6210" spans="7:10" s="29" customFormat="1" x14ac:dyDescent="0.2">
      <c r="G6210" s="31"/>
      <c r="H6210" s="31"/>
      <c r="I6210" s="31"/>
      <c r="J6210" s="31"/>
    </row>
    <row r="6211" spans="7:10" s="29" customFormat="1" x14ac:dyDescent="0.2">
      <c r="G6211" s="31"/>
      <c r="H6211" s="31"/>
      <c r="I6211" s="31"/>
      <c r="J6211" s="31"/>
    </row>
    <row r="6212" spans="7:10" s="29" customFormat="1" x14ac:dyDescent="0.2">
      <c r="G6212" s="31"/>
      <c r="H6212" s="31"/>
      <c r="I6212" s="31"/>
      <c r="J6212" s="31"/>
    </row>
    <row r="6213" spans="7:10" s="29" customFormat="1" x14ac:dyDescent="0.2">
      <c r="G6213" s="31"/>
      <c r="H6213" s="31"/>
      <c r="I6213" s="31"/>
      <c r="J6213" s="31"/>
    </row>
    <row r="6214" spans="7:10" s="29" customFormat="1" x14ac:dyDescent="0.2">
      <c r="G6214" s="31"/>
      <c r="H6214" s="31"/>
      <c r="I6214" s="31"/>
      <c r="J6214" s="31"/>
    </row>
    <row r="6215" spans="7:10" s="29" customFormat="1" x14ac:dyDescent="0.2">
      <c r="G6215" s="31"/>
      <c r="H6215" s="31"/>
      <c r="I6215" s="31"/>
      <c r="J6215" s="31"/>
    </row>
    <row r="6216" spans="7:10" s="29" customFormat="1" x14ac:dyDescent="0.2">
      <c r="G6216" s="31"/>
      <c r="H6216" s="31"/>
      <c r="I6216" s="31"/>
      <c r="J6216" s="31"/>
    </row>
    <row r="6217" spans="7:10" s="29" customFormat="1" x14ac:dyDescent="0.2">
      <c r="G6217" s="31"/>
      <c r="H6217" s="31"/>
      <c r="I6217" s="31"/>
      <c r="J6217" s="31"/>
    </row>
    <row r="6218" spans="7:10" s="29" customFormat="1" x14ac:dyDescent="0.2">
      <c r="G6218" s="31"/>
      <c r="H6218" s="31"/>
      <c r="I6218" s="31"/>
      <c r="J6218" s="31"/>
    </row>
    <row r="6219" spans="7:10" s="29" customFormat="1" x14ac:dyDescent="0.2">
      <c r="G6219" s="31"/>
      <c r="H6219" s="31"/>
      <c r="I6219" s="31"/>
      <c r="J6219" s="31"/>
    </row>
    <row r="6220" spans="7:10" s="29" customFormat="1" x14ac:dyDescent="0.2">
      <c r="G6220" s="31"/>
      <c r="H6220" s="31"/>
      <c r="I6220" s="31"/>
      <c r="J6220" s="31"/>
    </row>
    <row r="6221" spans="7:10" s="29" customFormat="1" x14ac:dyDescent="0.2">
      <c r="G6221" s="31"/>
      <c r="H6221" s="31"/>
      <c r="I6221" s="31"/>
      <c r="J6221" s="31"/>
    </row>
    <row r="6222" spans="7:10" s="29" customFormat="1" x14ac:dyDescent="0.2">
      <c r="G6222" s="31"/>
      <c r="H6222" s="31"/>
      <c r="I6222" s="31"/>
      <c r="J6222" s="31"/>
    </row>
    <row r="6223" spans="7:10" s="29" customFormat="1" x14ac:dyDescent="0.2">
      <c r="G6223" s="31"/>
      <c r="H6223" s="31"/>
      <c r="I6223" s="31"/>
      <c r="J6223" s="31"/>
    </row>
    <row r="6224" spans="7:10" s="29" customFormat="1" x14ac:dyDescent="0.2">
      <c r="G6224" s="31"/>
      <c r="H6224" s="31"/>
      <c r="I6224" s="31"/>
      <c r="J6224" s="31"/>
    </row>
    <row r="6225" spans="7:10" s="29" customFormat="1" x14ac:dyDescent="0.2">
      <c r="G6225" s="31"/>
      <c r="H6225" s="31"/>
      <c r="I6225" s="31"/>
      <c r="J6225" s="31"/>
    </row>
    <row r="6226" spans="7:10" s="29" customFormat="1" x14ac:dyDescent="0.2">
      <c r="G6226" s="31"/>
      <c r="H6226" s="31"/>
      <c r="I6226" s="31"/>
      <c r="J6226" s="31"/>
    </row>
    <row r="6227" spans="7:10" s="29" customFormat="1" x14ac:dyDescent="0.2">
      <c r="G6227" s="31"/>
      <c r="H6227" s="31"/>
      <c r="I6227" s="31"/>
      <c r="J6227" s="31"/>
    </row>
    <row r="6228" spans="7:10" s="29" customFormat="1" x14ac:dyDescent="0.2">
      <c r="G6228" s="31"/>
      <c r="H6228" s="31"/>
      <c r="I6228" s="31"/>
      <c r="J6228" s="31"/>
    </row>
    <row r="6229" spans="7:10" s="29" customFormat="1" x14ac:dyDescent="0.2">
      <c r="G6229" s="31"/>
      <c r="H6229" s="31"/>
      <c r="I6229" s="31"/>
      <c r="J6229" s="31"/>
    </row>
    <row r="6230" spans="7:10" s="29" customFormat="1" x14ac:dyDescent="0.2">
      <c r="G6230" s="31"/>
      <c r="H6230" s="31"/>
      <c r="I6230" s="31"/>
      <c r="J6230" s="31"/>
    </row>
    <row r="6231" spans="7:10" s="29" customFormat="1" x14ac:dyDescent="0.2">
      <c r="G6231" s="31"/>
      <c r="H6231" s="31"/>
      <c r="I6231" s="31"/>
      <c r="J6231" s="31"/>
    </row>
    <row r="6232" spans="7:10" s="29" customFormat="1" x14ac:dyDescent="0.2">
      <c r="G6232" s="31"/>
      <c r="H6232" s="31"/>
      <c r="I6232" s="31"/>
      <c r="J6232" s="31"/>
    </row>
    <row r="6233" spans="7:10" s="29" customFormat="1" x14ac:dyDescent="0.2">
      <c r="G6233" s="31"/>
      <c r="H6233" s="31"/>
      <c r="I6233" s="31"/>
      <c r="J6233" s="31"/>
    </row>
    <row r="6234" spans="7:10" s="29" customFormat="1" x14ac:dyDescent="0.2">
      <c r="G6234" s="31"/>
      <c r="H6234" s="31"/>
      <c r="I6234" s="31"/>
      <c r="J6234" s="31"/>
    </row>
    <row r="6235" spans="7:10" s="29" customFormat="1" x14ac:dyDescent="0.2">
      <c r="G6235" s="31"/>
      <c r="H6235" s="31"/>
      <c r="I6235" s="31"/>
      <c r="J6235" s="31"/>
    </row>
    <row r="6236" spans="7:10" s="29" customFormat="1" x14ac:dyDescent="0.2">
      <c r="G6236" s="31"/>
      <c r="H6236" s="31"/>
      <c r="I6236" s="31"/>
      <c r="J6236" s="31"/>
    </row>
    <row r="6237" spans="7:10" s="29" customFormat="1" x14ac:dyDescent="0.2">
      <c r="G6237" s="31"/>
      <c r="H6237" s="31"/>
      <c r="I6237" s="31"/>
      <c r="J6237" s="31"/>
    </row>
    <row r="6238" spans="7:10" s="29" customFormat="1" x14ac:dyDescent="0.2">
      <c r="G6238" s="31"/>
      <c r="H6238" s="31"/>
      <c r="I6238" s="31"/>
      <c r="J6238" s="31"/>
    </row>
    <row r="6239" spans="7:10" s="29" customFormat="1" x14ac:dyDescent="0.2">
      <c r="G6239" s="31"/>
      <c r="H6239" s="31"/>
      <c r="I6239" s="31"/>
      <c r="J6239" s="31"/>
    </row>
    <row r="6240" spans="7:10" s="29" customFormat="1" x14ac:dyDescent="0.2">
      <c r="G6240" s="31"/>
      <c r="H6240" s="31"/>
      <c r="I6240" s="31"/>
      <c r="J6240" s="31"/>
    </row>
    <row r="6241" spans="7:10" s="29" customFormat="1" x14ac:dyDescent="0.2">
      <c r="G6241" s="31"/>
      <c r="H6241" s="31"/>
      <c r="I6241" s="31"/>
      <c r="J6241" s="31"/>
    </row>
    <row r="6242" spans="7:10" s="29" customFormat="1" x14ac:dyDescent="0.2">
      <c r="G6242" s="31"/>
      <c r="H6242" s="31"/>
      <c r="I6242" s="31"/>
      <c r="J6242" s="31"/>
    </row>
    <row r="6243" spans="7:10" s="29" customFormat="1" x14ac:dyDescent="0.2">
      <c r="G6243" s="31"/>
      <c r="H6243" s="31"/>
      <c r="I6243" s="31"/>
      <c r="J6243" s="31"/>
    </row>
    <row r="6244" spans="7:10" s="29" customFormat="1" x14ac:dyDescent="0.2">
      <c r="G6244" s="31"/>
      <c r="H6244" s="31"/>
      <c r="I6244" s="31"/>
      <c r="J6244" s="31"/>
    </row>
    <row r="6245" spans="7:10" s="29" customFormat="1" x14ac:dyDescent="0.2">
      <c r="G6245" s="31"/>
      <c r="H6245" s="31"/>
      <c r="I6245" s="31"/>
      <c r="J6245" s="31"/>
    </row>
    <row r="6246" spans="7:10" s="29" customFormat="1" x14ac:dyDescent="0.2">
      <c r="G6246" s="31"/>
      <c r="H6246" s="31"/>
      <c r="I6246" s="31"/>
      <c r="J6246" s="31"/>
    </row>
    <row r="6247" spans="7:10" s="29" customFormat="1" x14ac:dyDescent="0.2">
      <c r="G6247" s="31"/>
      <c r="H6247" s="31"/>
      <c r="I6247" s="31"/>
      <c r="J6247" s="31"/>
    </row>
    <row r="6248" spans="7:10" s="29" customFormat="1" x14ac:dyDescent="0.2">
      <c r="G6248" s="31"/>
      <c r="H6248" s="31"/>
      <c r="I6248" s="31"/>
      <c r="J6248" s="31"/>
    </row>
    <row r="6249" spans="7:10" s="29" customFormat="1" x14ac:dyDescent="0.2">
      <c r="G6249" s="31"/>
      <c r="H6249" s="31"/>
      <c r="I6249" s="31"/>
      <c r="J6249" s="31"/>
    </row>
    <row r="6250" spans="7:10" s="29" customFormat="1" x14ac:dyDescent="0.2">
      <c r="G6250" s="31"/>
      <c r="H6250" s="31"/>
      <c r="I6250" s="31"/>
      <c r="J6250" s="31"/>
    </row>
    <row r="6251" spans="7:10" s="29" customFormat="1" x14ac:dyDescent="0.2">
      <c r="G6251" s="31"/>
      <c r="H6251" s="31"/>
      <c r="I6251" s="31"/>
      <c r="J6251" s="31"/>
    </row>
    <row r="6252" spans="7:10" s="29" customFormat="1" x14ac:dyDescent="0.2">
      <c r="G6252" s="31"/>
      <c r="H6252" s="31"/>
      <c r="I6252" s="31"/>
      <c r="J6252" s="31"/>
    </row>
    <row r="6253" spans="7:10" s="29" customFormat="1" x14ac:dyDescent="0.2">
      <c r="G6253" s="31"/>
      <c r="H6253" s="31"/>
      <c r="I6253" s="31"/>
      <c r="J6253" s="31"/>
    </row>
    <row r="6254" spans="7:10" s="29" customFormat="1" x14ac:dyDescent="0.2">
      <c r="G6254" s="31"/>
      <c r="H6254" s="31"/>
      <c r="I6254" s="31"/>
      <c r="J6254" s="31"/>
    </row>
    <row r="6255" spans="7:10" s="29" customFormat="1" x14ac:dyDescent="0.2">
      <c r="G6255" s="31"/>
      <c r="H6255" s="31"/>
      <c r="I6255" s="31"/>
      <c r="J6255" s="31"/>
    </row>
    <row r="6256" spans="7:10" s="29" customFormat="1" x14ac:dyDescent="0.2">
      <c r="G6256" s="31"/>
      <c r="H6256" s="31"/>
      <c r="I6256" s="31"/>
      <c r="J6256" s="31"/>
    </row>
    <row r="6257" spans="7:10" s="29" customFormat="1" x14ac:dyDescent="0.2">
      <c r="G6257" s="31"/>
      <c r="H6257" s="31"/>
      <c r="I6257" s="31"/>
      <c r="J6257" s="31"/>
    </row>
    <row r="6258" spans="7:10" s="29" customFormat="1" x14ac:dyDescent="0.2">
      <c r="G6258" s="31"/>
      <c r="H6258" s="31"/>
      <c r="I6258" s="31"/>
      <c r="J6258" s="31"/>
    </row>
    <row r="6259" spans="7:10" s="29" customFormat="1" x14ac:dyDescent="0.2">
      <c r="G6259" s="31"/>
      <c r="H6259" s="31"/>
      <c r="I6259" s="31"/>
      <c r="J6259" s="31"/>
    </row>
    <row r="6260" spans="7:10" s="29" customFormat="1" x14ac:dyDescent="0.2">
      <c r="G6260" s="31"/>
      <c r="H6260" s="31"/>
      <c r="I6260" s="31"/>
      <c r="J6260" s="31"/>
    </row>
    <row r="6261" spans="7:10" s="29" customFormat="1" x14ac:dyDescent="0.2">
      <c r="G6261" s="31"/>
      <c r="H6261" s="31"/>
      <c r="I6261" s="31"/>
      <c r="J6261" s="31"/>
    </row>
    <row r="6262" spans="7:10" s="29" customFormat="1" x14ac:dyDescent="0.2">
      <c r="G6262" s="31"/>
      <c r="H6262" s="31"/>
      <c r="I6262" s="31"/>
      <c r="J6262" s="31"/>
    </row>
    <row r="6263" spans="7:10" s="29" customFormat="1" x14ac:dyDescent="0.2">
      <c r="G6263" s="31"/>
      <c r="H6263" s="31"/>
      <c r="I6263" s="31"/>
      <c r="J6263" s="31"/>
    </row>
    <row r="6264" spans="7:10" s="29" customFormat="1" x14ac:dyDescent="0.2">
      <c r="G6264" s="31"/>
      <c r="H6264" s="31"/>
      <c r="I6264" s="31"/>
      <c r="J6264" s="31"/>
    </row>
    <row r="6265" spans="7:10" s="29" customFormat="1" x14ac:dyDescent="0.2">
      <c r="G6265" s="31"/>
      <c r="H6265" s="31"/>
      <c r="I6265" s="31"/>
      <c r="J6265" s="31"/>
    </row>
    <row r="6266" spans="7:10" s="29" customFormat="1" x14ac:dyDescent="0.2">
      <c r="G6266" s="31"/>
      <c r="H6266" s="31"/>
      <c r="I6266" s="31"/>
      <c r="J6266" s="31"/>
    </row>
    <row r="6267" spans="7:10" s="29" customFormat="1" x14ac:dyDescent="0.2">
      <c r="G6267" s="31"/>
      <c r="H6267" s="31"/>
      <c r="I6267" s="31"/>
      <c r="J6267" s="31"/>
    </row>
    <row r="6268" spans="7:10" s="29" customFormat="1" x14ac:dyDescent="0.2">
      <c r="G6268" s="31"/>
      <c r="H6268" s="31"/>
      <c r="I6268" s="31"/>
      <c r="J6268" s="31"/>
    </row>
    <row r="6269" spans="7:10" s="29" customFormat="1" x14ac:dyDescent="0.2">
      <c r="G6269" s="31"/>
      <c r="H6269" s="31"/>
      <c r="I6269" s="31"/>
      <c r="J6269" s="31"/>
    </row>
    <row r="6270" spans="7:10" s="29" customFormat="1" x14ac:dyDescent="0.2">
      <c r="G6270" s="31"/>
      <c r="H6270" s="31"/>
      <c r="I6270" s="31"/>
      <c r="J6270" s="31"/>
    </row>
    <row r="6271" spans="7:10" s="29" customFormat="1" x14ac:dyDescent="0.2">
      <c r="G6271" s="31"/>
      <c r="H6271" s="31"/>
      <c r="I6271" s="31"/>
      <c r="J6271" s="31"/>
    </row>
    <row r="6272" spans="7:10" s="29" customFormat="1" x14ac:dyDescent="0.2">
      <c r="G6272" s="31"/>
      <c r="H6272" s="31"/>
      <c r="I6272" s="31"/>
      <c r="J6272" s="31"/>
    </row>
    <row r="6273" spans="7:10" s="29" customFormat="1" x14ac:dyDescent="0.2">
      <c r="G6273" s="31"/>
      <c r="H6273" s="31"/>
      <c r="I6273" s="31"/>
      <c r="J6273" s="31"/>
    </row>
    <row r="6274" spans="7:10" s="29" customFormat="1" x14ac:dyDescent="0.2">
      <c r="G6274" s="31"/>
      <c r="H6274" s="31"/>
      <c r="I6274" s="31"/>
      <c r="J6274" s="31"/>
    </row>
    <row r="6275" spans="7:10" s="29" customFormat="1" x14ac:dyDescent="0.2">
      <c r="G6275" s="31"/>
      <c r="H6275" s="31"/>
      <c r="I6275" s="31"/>
      <c r="J6275" s="31"/>
    </row>
    <row r="6276" spans="7:10" s="29" customFormat="1" x14ac:dyDescent="0.2">
      <c r="G6276" s="31"/>
      <c r="H6276" s="31"/>
      <c r="I6276" s="31"/>
      <c r="J6276" s="31"/>
    </row>
    <row r="6277" spans="7:10" s="29" customFormat="1" x14ac:dyDescent="0.2">
      <c r="G6277" s="31"/>
      <c r="H6277" s="31"/>
      <c r="I6277" s="31"/>
      <c r="J6277" s="31"/>
    </row>
    <row r="6278" spans="7:10" s="29" customFormat="1" x14ac:dyDescent="0.2">
      <c r="G6278" s="31"/>
      <c r="H6278" s="31"/>
      <c r="I6278" s="31"/>
      <c r="J6278" s="31"/>
    </row>
    <row r="6279" spans="7:10" s="29" customFormat="1" x14ac:dyDescent="0.2">
      <c r="G6279" s="31"/>
      <c r="H6279" s="31"/>
      <c r="I6279" s="31"/>
      <c r="J6279" s="31"/>
    </row>
    <row r="6280" spans="7:10" s="29" customFormat="1" x14ac:dyDescent="0.2">
      <c r="G6280" s="31"/>
      <c r="H6280" s="31"/>
      <c r="I6280" s="31"/>
      <c r="J6280" s="31"/>
    </row>
    <row r="6281" spans="7:10" s="29" customFormat="1" x14ac:dyDescent="0.2">
      <c r="G6281" s="31"/>
      <c r="H6281" s="31"/>
      <c r="I6281" s="31"/>
      <c r="J6281" s="31"/>
    </row>
    <row r="6282" spans="7:10" s="29" customFormat="1" x14ac:dyDescent="0.2">
      <c r="G6282" s="31"/>
      <c r="H6282" s="31"/>
      <c r="I6282" s="31"/>
      <c r="J6282" s="31"/>
    </row>
    <row r="6283" spans="7:10" s="29" customFormat="1" x14ac:dyDescent="0.2">
      <c r="G6283" s="31"/>
      <c r="H6283" s="31"/>
      <c r="I6283" s="31"/>
      <c r="J6283" s="31"/>
    </row>
    <row r="6284" spans="7:10" s="29" customFormat="1" x14ac:dyDescent="0.2">
      <c r="G6284" s="31"/>
      <c r="H6284" s="31"/>
      <c r="I6284" s="31"/>
      <c r="J6284" s="31"/>
    </row>
    <row r="6285" spans="7:10" s="29" customFormat="1" x14ac:dyDescent="0.2">
      <c r="G6285" s="31"/>
      <c r="H6285" s="31"/>
      <c r="I6285" s="31"/>
      <c r="J6285" s="31"/>
    </row>
    <row r="6286" spans="7:10" s="29" customFormat="1" x14ac:dyDescent="0.2">
      <c r="G6286" s="31"/>
      <c r="H6286" s="31"/>
      <c r="I6286" s="31"/>
      <c r="J6286" s="31"/>
    </row>
    <row r="6287" spans="7:10" s="29" customFormat="1" x14ac:dyDescent="0.2">
      <c r="G6287" s="31"/>
      <c r="H6287" s="31"/>
      <c r="I6287" s="31"/>
      <c r="J6287" s="31"/>
    </row>
    <row r="6288" spans="7:10" s="29" customFormat="1" x14ac:dyDescent="0.2">
      <c r="G6288" s="31"/>
      <c r="H6288" s="31"/>
      <c r="I6288" s="31"/>
      <c r="J6288" s="31"/>
    </row>
    <row r="6289" spans="7:10" s="29" customFormat="1" x14ac:dyDescent="0.2">
      <c r="G6289" s="31"/>
      <c r="H6289" s="31"/>
      <c r="I6289" s="31"/>
      <c r="J6289" s="31"/>
    </row>
    <row r="6290" spans="7:10" s="29" customFormat="1" x14ac:dyDescent="0.2">
      <c r="G6290" s="31"/>
      <c r="H6290" s="31"/>
      <c r="I6290" s="31"/>
      <c r="J6290" s="31"/>
    </row>
    <row r="6291" spans="7:10" s="29" customFormat="1" x14ac:dyDescent="0.2">
      <c r="G6291" s="31"/>
      <c r="H6291" s="31"/>
      <c r="I6291" s="31"/>
      <c r="J6291" s="31"/>
    </row>
    <row r="6292" spans="7:10" s="29" customFormat="1" x14ac:dyDescent="0.2">
      <c r="G6292" s="31"/>
      <c r="H6292" s="31"/>
      <c r="I6292" s="31"/>
      <c r="J6292" s="31"/>
    </row>
    <row r="6293" spans="7:10" s="29" customFormat="1" x14ac:dyDescent="0.2">
      <c r="G6293" s="31"/>
      <c r="H6293" s="31"/>
      <c r="I6293" s="31"/>
      <c r="J6293" s="31"/>
    </row>
    <row r="6294" spans="7:10" s="29" customFormat="1" x14ac:dyDescent="0.2">
      <c r="G6294" s="31"/>
      <c r="H6294" s="31"/>
      <c r="I6294" s="31"/>
      <c r="J6294" s="31"/>
    </row>
    <row r="6295" spans="7:10" s="29" customFormat="1" x14ac:dyDescent="0.2">
      <c r="G6295" s="31"/>
      <c r="H6295" s="31"/>
      <c r="I6295" s="31"/>
      <c r="J6295" s="31"/>
    </row>
    <row r="6296" spans="7:10" s="29" customFormat="1" x14ac:dyDescent="0.2">
      <c r="G6296" s="31"/>
      <c r="H6296" s="31"/>
      <c r="I6296" s="31"/>
      <c r="J6296" s="31"/>
    </row>
    <row r="6297" spans="7:10" s="29" customFormat="1" x14ac:dyDescent="0.2">
      <c r="G6297" s="31"/>
      <c r="H6297" s="31"/>
      <c r="I6297" s="31"/>
      <c r="J6297" s="31"/>
    </row>
    <row r="6298" spans="7:10" s="29" customFormat="1" x14ac:dyDescent="0.2">
      <c r="G6298" s="31"/>
      <c r="H6298" s="31"/>
      <c r="I6298" s="31"/>
      <c r="J6298" s="31"/>
    </row>
    <row r="6299" spans="7:10" s="29" customFormat="1" x14ac:dyDescent="0.2">
      <c r="G6299" s="31"/>
      <c r="H6299" s="31"/>
      <c r="I6299" s="31"/>
      <c r="J6299" s="31"/>
    </row>
    <row r="6300" spans="7:10" s="29" customFormat="1" x14ac:dyDescent="0.2">
      <c r="G6300" s="31"/>
      <c r="H6300" s="31"/>
      <c r="I6300" s="31"/>
      <c r="J6300" s="31"/>
    </row>
    <row r="6301" spans="7:10" s="29" customFormat="1" x14ac:dyDescent="0.2">
      <c r="G6301" s="31"/>
      <c r="H6301" s="31"/>
      <c r="I6301" s="31"/>
      <c r="J6301" s="31"/>
    </row>
    <row r="6302" spans="7:10" s="29" customFormat="1" x14ac:dyDescent="0.2">
      <c r="G6302" s="31"/>
      <c r="H6302" s="31"/>
      <c r="I6302" s="31"/>
      <c r="J6302" s="31"/>
    </row>
    <row r="6303" spans="7:10" s="29" customFormat="1" x14ac:dyDescent="0.2">
      <c r="G6303" s="31"/>
      <c r="H6303" s="31"/>
      <c r="I6303" s="31"/>
      <c r="J6303" s="31"/>
    </row>
    <row r="6304" spans="7:10" s="29" customFormat="1" x14ac:dyDescent="0.2">
      <c r="G6304" s="31"/>
      <c r="H6304" s="31"/>
      <c r="I6304" s="31"/>
      <c r="J6304" s="31"/>
    </row>
    <row r="6305" spans="7:10" s="29" customFormat="1" x14ac:dyDescent="0.2">
      <c r="G6305" s="31"/>
      <c r="H6305" s="31"/>
      <c r="I6305" s="31"/>
      <c r="J6305" s="31"/>
    </row>
    <row r="6306" spans="7:10" s="29" customFormat="1" x14ac:dyDescent="0.2">
      <c r="G6306" s="31"/>
      <c r="H6306" s="31"/>
      <c r="I6306" s="31"/>
      <c r="J6306" s="31"/>
    </row>
    <row r="6307" spans="7:10" s="29" customFormat="1" x14ac:dyDescent="0.2">
      <c r="G6307" s="31"/>
      <c r="H6307" s="31"/>
      <c r="I6307" s="31"/>
      <c r="J6307" s="31"/>
    </row>
    <row r="6308" spans="7:10" s="29" customFormat="1" x14ac:dyDescent="0.2">
      <c r="G6308" s="31"/>
      <c r="H6308" s="31"/>
      <c r="I6308" s="31"/>
      <c r="J6308" s="31"/>
    </row>
    <row r="6309" spans="7:10" s="29" customFormat="1" x14ac:dyDescent="0.2">
      <c r="G6309" s="31"/>
      <c r="H6309" s="31"/>
      <c r="I6309" s="31"/>
      <c r="J6309" s="31"/>
    </row>
    <row r="6310" spans="7:10" s="29" customFormat="1" x14ac:dyDescent="0.2">
      <c r="G6310" s="31"/>
      <c r="H6310" s="31"/>
      <c r="I6310" s="31"/>
      <c r="J6310" s="31"/>
    </row>
    <row r="6311" spans="7:10" s="29" customFormat="1" x14ac:dyDescent="0.2">
      <c r="G6311" s="31"/>
      <c r="H6311" s="31"/>
      <c r="I6311" s="31"/>
      <c r="J6311" s="31"/>
    </row>
    <row r="6312" spans="7:10" s="29" customFormat="1" x14ac:dyDescent="0.2">
      <c r="G6312" s="31"/>
      <c r="H6312" s="31"/>
      <c r="I6312" s="31"/>
      <c r="J6312" s="31"/>
    </row>
    <row r="6313" spans="7:10" s="29" customFormat="1" x14ac:dyDescent="0.2">
      <c r="G6313" s="31"/>
      <c r="H6313" s="31"/>
      <c r="I6313" s="31"/>
      <c r="J6313" s="31"/>
    </row>
    <row r="6314" spans="7:10" s="29" customFormat="1" x14ac:dyDescent="0.2">
      <c r="G6314" s="31"/>
      <c r="H6314" s="31"/>
      <c r="I6314" s="31"/>
      <c r="J6314" s="31"/>
    </row>
    <row r="6315" spans="7:10" s="29" customFormat="1" x14ac:dyDescent="0.2">
      <c r="G6315" s="31"/>
      <c r="H6315" s="31"/>
      <c r="I6315" s="31"/>
      <c r="J6315" s="31"/>
    </row>
    <row r="6316" spans="7:10" s="29" customFormat="1" x14ac:dyDescent="0.2">
      <c r="G6316" s="31"/>
      <c r="H6316" s="31"/>
      <c r="I6316" s="31"/>
      <c r="J6316" s="31"/>
    </row>
    <row r="6317" spans="7:10" s="29" customFormat="1" x14ac:dyDescent="0.2">
      <c r="G6317" s="31"/>
      <c r="H6317" s="31"/>
      <c r="I6317" s="31"/>
      <c r="J6317" s="31"/>
    </row>
    <row r="6318" spans="7:10" s="29" customFormat="1" x14ac:dyDescent="0.2">
      <c r="G6318" s="31"/>
      <c r="H6318" s="31"/>
      <c r="I6318" s="31"/>
      <c r="J6318" s="31"/>
    </row>
    <row r="6319" spans="7:10" s="29" customFormat="1" x14ac:dyDescent="0.2">
      <c r="G6319" s="31"/>
      <c r="H6319" s="31"/>
      <c r="I6319" s="31"/>
      <c r="J6319" s="31"/>
    </row>
    <row r="6320" spans="7:10" s="29" customFormat="1" x14ac:dyDescent="0.2">
      <c r="G6320" s="31"/>
      <c r="H6320" s="31"/>
      <c r="I6320" s="31"/>
      <c r="J6320" s="31"/>
    </row>
    <row r="6321" spans="7:10" s="29" customFormat="1" x14ac:dyDescent="0.2">
      <c r="G6321" s="31"/>
      <c r="H6321" s="31"/>
      <c r="I6321" s="31"/>
      <c r="J6321" s="31"/>
    </row>
    <row r="6322" spans="7:10" s="29" customFormat="1" x14ac:dyDescent="0.2">
      <c r="G6322" s="31"/>
      <c r="H6322" s="31"/>
      <c r="I6322" s="31"/>
      <c r="J6322" s="31"/>
    </row>
    <row r="6323" spans="7:10" s="29" customFormat="1" x14ac:dyDescent="0.2">
      <c r="G6323" s="31"/>
      <c r="H6323" s="31"/>
      <c r="I6323" s="31"/>
      <c r="J6323" s="31"/>
    </row>
    <row r="6324" spans="7:10" s="29" customFormat="1" x14ac:dyDescent="0.2">
      <c r="G6324" s="31"/>
      <c r="H6324" s="31"/>
      <c r="I6324" s="31"/>
      <c r="J6324" s="31"/>
    </row>
    <row r="6325" spans="7:10" s="29" customFormat="1" x14ac:dyDescent="0.2">
      <c r="G6325" s="31"/>
      <c r="H6325" s="31"/>
      <c r="I6325" s="31"/>
      <c r="J6325" s="31"/>
    </row>
    <row r="6326" spans="7:10" s="29" customFormat="1" x14ac:dyDescent="0.2">
      <c r="G6326" s="31"/>
      <c r="H6326" s="31"/>
      <c r="I6326" s="31"/>
      <c r="J6326" s="31"/>
    </row>
    <row r="6327" spans="7:10" s="29" customFormat="1" x14ac:dyDescent="0.2">
      <c r="G6327" s="31"/>
      <c r="H6327" s="31"/>
      <c r="I6327" s="31"/>
      <c r="J6327" s="31"/>
    </row>
    <row r="6328" spans="7:10" s="29" customFormat="1" x14ac:dyDescent="0.2">
      <c r="G6328" s="31"/>
      <c r="H6328" s="31"/>
      <c r="I6328" s="31"/>
      <c r="J6328" s="31"/>
    </row>
    <row r="6329" spans="7:10" s="29" customFormat="1" x14ac:dyDescent="0.2">
      <c r="G6329" s="31"/>
      <c r="H6329" s="31"/>
      <c r="I6329" s="31"/>
      <c r="J6329" s="31"/>
    </row>
    <row r="6330" spans="7:10" s="29" customFormat="1" x14ac:dyDescent="0.2">
      <c r="G6330" s="31"/>
      <c r="H6330" s="31"/>
      <c r="I6330" s="31"/>
      <c r="J6330" s="31"/>
    </row>
    <row r="6331" spans="7:10" s="29" customFormat="1" x14ac:dyDescent="0.2">
      <c r="G6331" s="31"/>
      <c r="H6331" s="31"/>
      <c r="I6331" s="31"/>
      <c r="J6331" s="31"/>
    </row>
    <row r="6332" spans="7:10" s="29" customFormat="1" x14ac:dyDescent="0.2">
      <c r="G6332" s="31"/>
      <c r="H6332" s="31"/>
      <c r="I6332" s="31"/>
      <c r="J6332" s="31"/>
    </row>
    <row r="6333" spans="7:10" s="29" customFormat="1" x14ac:dyDescent="0.2">
      <c r="G6333" s="31"/>
      <c r="H6333" s="31"/>
      <c r="I6333" s="31"/>
      <c r="J6333" s="31"/>
    </row>
    <row r="6334" spans="7:10" s="29" customFormat="1" x14ac:dyDescent="0.2">
      <c r="G6334" s="31"/>
      <c r="H6334" s="31"/>
      <c r="I6334" s="31"/>
      <c r="J6334" s="31"/>
    </row>
    <row r="6335" spans="7:10" s="29" customFormat="1" x14ac:dyDescent="0.2">
      <c r="G6335" s="31"/>
      <c r="H6335" s="31"/>
      <c r="I6335" s="31"/>
      <c r="J6335" s="31"/>
    </row>
    <row r="6336" spans="7:10" s="29" customFormat="1" x14ac:dyDescent="0.2">
      <c r="G6336" s="31"/>
      <c r="H6336" s="31"/>
      <c r="I6336" s="31"/>
      <c r="J6336" s="31"/>
    </row>
    <row r="6337" spans="7:10" s="29" customFormat="1" x14ac:dyDescent="0.2">
      <c r="G6337" s="31"/>
      <c r="H6337" s="31"/>
      <c r="I6337" s="31"/>
      <c r="J6337" s="31"/>
    </row>
    <row r="6338" spans="7:10" s="29" customFormat="1" x14ac:dyDescent="0.2">
      <c r="G6338" s="31"/>
      <c r="H6338" s="31"/>
      <c r="I6338" s="31"/>
      <c r="J6338" s="31"/>
    </row>
    <row r="6339" spans="7:10" s="29" customFormat="1" x14ac:dyDescent="0.2">
      <c r="G6339" s="31"/>
      <c r="H6339" s="31"/>
      <c r="I6339" s="31"/>
      <c r="J6339" s="31"/>
    </row>
    <row r="6340" spans="7:10" s="29" customFormat="1" x14ac:dyDescent="0.2">
      <c r="G6340" s="31"/>
      <c r="H6340" s="31"/>
      <c r="I6340" s="31"/>
      <c r="J6340" s="31"/>
    </row>
    <row r="6341" spans="7:10" s="29" customFormat="1" x14ac:dyDescent="0.2">
      <c r="G6341" s="31"/>
      <c r="H6341" s="31"/>
      <c r="I6341" s="31"/>
      <c r="J6341" s="31"/>
    </row>
    <row r="6342" spans="7:10" s="29" customFormat="1" x14ac:dyDescent="0.2">
      <c r="G6342" s="31"/>
      <c r="H6342" s="31"/>
      <c r="I6342" s="31"/>
      <c r="J6342" s="31"/>
    </row>
    <row r="6343" spans="7:10" s="29" customFormat="1" x14ac:dyDescent="0.2">
      <c r="G6343" s="31"/>
      <c r="H6343" s="31"/>
      <c r="I6343" s="31"/>
      <c r="J6343" s="31"/>
    </row>
    <row r="6344" spans="7:10" s="29" customFormat="1" x14ac:dyDescent="0.2">
      <c r="G6344" s="31"/>
      <c r="H6344" s="31"/>
      <c r="I6344" s="31"/>
      <c r="J6344" s="31"/>
    </row>
    <row r="6345" spans="7:10" s="29" customFormat="1" x14ac:dyDescent="0.2">
      <c r="G6345" s="31"/>
      <c r="H6345" s="31"/>
      <c r="I6345" s="31"/>
      <c r="J6345" s="31"/>
    </row>
    <row r="6346" spans="7:10" s="29" customFormat="1" x14ac:dyDescent="0.2">
      <c r="G6346" s="31"/>
      <c r="H6346" s="31"/>
      <c r="I6346" s="31"/>
      <c r="J6346" s="31"/>
    </row>
    <row r="6347" spans="7:10" s="29" customFormat="1" x14ac:dyDescent="0.2">
      <c r="G6347" s="31"/>
      <c r="H6347" s="31"/>
      <c r="I6347" s="31"/>
      <c r="J6347" s="31"/>
    </row>
    <row r="6348" spans="7:10" s="29" customFormat="1" x14ac:dyDescent="0.2">
      <c r="G6348" s="31"/>
      <c r="H6348" s="31"/>
      <c r="I6348" s="31"/>
      <c r="J6348" s="31"/>
    </row>
    <row r="6349" spans="7:10" s="29" customFormat="1" x14ac:dyDescent="0.2">
      <c r="G6349" s="31"/>
      <c r="H6349" s="31"/>
      <c r="I6349" s="31"/>
      <c r="J6349" s="31"/>
    </row>
    <row r="6350" spans="7:10" s="29" customFormat="1" x14ac:dyDescent="0.2">
      <c r="G6350" s="31"/>
      <c r="H6350" s="31"/>
      <c r="I6350" s="31"/>
      <c r="J6350" s="31"/>
    </row>
    <row r="6351" spans="7:10" s="29" customFormat="1" x14ac:dyDescent="0.2">
      <c r="G6351" s="31"/>
      <c r="H6351" s="31"/>
      <c r="I6351" s="31"/>
      <c r="J6351" s="31"/>
    </row>
    <row r="6352" spans="7:10" s="29" customFormat="1" x14ac:dyDescent="0.2">
      <c r="G6352" s="31"/>
      <c r="H6352" s="31"/>
      <c r="I6352" s="31"/>
      <c r="J6352" s="31"/>
    </row>
    <row r="6353" spans="7:10" s="29" customFormat="1" x14ac:dyDescent="0.2">
      <c r="G6353" s="31"/>
      <c r="H6353" s="31"/>
      <c r="I6353" s="31"/>
      <c r="J6353" s="31"/>
    </row>
    <row r="6354" spans="7:10" s="29" customFormat="1" x14ac:dyDescent="0.2">
      <c r="G6354" s="31"/>
      <c r="H6354" s="31"/>
      <c r="I6354" s="31"/>
      <c r="J6354" s="31"/>
    </row>
    <row r="6355" spans="7:10" s="29" customFormat="1" x14ac:dyDescent="0.2">
      <c r="G6355" s="31"/>
      <c r="H6355" s="31"/>
      <c r="I6355" s="31"/>
      <c r="J6355" s="31"/>
    </row>
    <row r="6356" spans="7:10" s="29" customFormat="1" x14ac:dyDescent="0.2">
      <c r="G6356" s="31"/>
      <c r="H6356" s="31"/>
      <c r="I6356" s="31"/>
      <c r="J6356" s="31"/>
    </row>
    <row r="6357" spans="7:10" s="29" customFormat="1" x14ac:dyDescent="0.2">
      <c r="G6357" s="31"/>
      <c r="H6357" s="31"/>
      <c r="I6357" s="31"/>
      <c r="J6357" s="31"/>
    </row>
    <row r="6358" spans="7:10" s="29" customFormat="1" x14ac:dyDescent="0.2">
      <c r="G6358" s="31"/>
      <c r="H6358" s="31"/>
      <c r="I6358" s="31"/>
      <c r="J6358" s="31"/>
    </row>
    <row r="6359" spans="7:10" s="29" customFormat="1" x14ac:dyDescent="0.2">
      <c r="G6359" s="31"/>
      <c r="H6359" s="31"/>
      <c r="I6359" s="31"/>
      <c r="J6359" s="31"/>
    </row>
    <row r="6360" spans="7:10" s="29" customFormat="1" x14ac:dyDescent="0.2">
      <c r="G6360" s="31"/>
      <c r="H6360" s="31"/>
      <c r="I6360" s="31"/>
      <c r="J6360" s="31"/>
    </row>
    <row r="6361" spans="7:10" s="29" customFormat="1" x14ac:dyDescent="0.2">
      <c r="G6361" s="31"/>
      <c r="H6361" s="31"/>
      <c r="I6361" s="31"/>
      <c r="J6361" s="31"/>
    </row>
    <row r="6362" spans="7:10" s="29" customFormat="1" x14ac:dyDescent="0.2">
      <c r="G6362" s="31"/>
      <c r="H6362" s="31"/>
      <c r="I6362" s="31"/>
      <c r="J6362" s="31"/>
    </row>
    <row r="6363" spans="7:10" s="29" customFormat="1" x14ac:dyDescent="0.2">
      <c r="G6363" s="31"/>
      <c r="H6363" s="31"/>
      <c r="I6363" s="31"/>
      <c r="J6363" s="31"/>
    </row>
    <row r="6364" spans="7:10" s="29" customFormat="1" x14ac:dyDescent="0.2">
      <c r="G6364" s="31"/>
      <c r="H6364" s="31"/>
      <c r="I6364" s="31"/>
      <c r="J6364" s="31"/>
    </row>
    <row r="6365" spans="7:10" s="29" customFormat="1" x14ac:dyDescent="0.2">
      <c r="G6365" s="31"/>
      <c r="H6365" s="31"/>
      <c r="I6365" s="31"/>
      <c r="J6365" s="31"/>
    </row>
    <row r="6366" spans="7:10" s="29" customFormat="1" x14ac:dyDescent="0.2">
      <c r="G6366" s="31"/>
      <c r="H6366" s="31"/>
      <c r="I6366" s="31"/>
      <c r="J6366" s="31"/>
    </row>
    <row r="6367" spans="7:10" s="29" customFormat="1" x14ac:dyDescent="0.2">
      <c r="G6367" s="31"/>
      <c r="H6367" s="31"/>
      <c r="I6367" s="31"/>
      <c r="J6367" s="31"/>
    </row>
    <row r="6368" spans="7:10" s="29" customFormat="1" x14ac:dyDescent="0.2">
      <c r="G6368" s="31"/>
      <c r="H6368" s="31"/>
      <c r="I6368" s="31"/>
      <c r="J6368" s="31"/>
    </row>
    <row r="6369" spans="7:10" s="29" customFormat="1" x14ac:dyDescent="0.2">
      <c r="G6369" s="31"/>
      <c r="H6369" s="31"/>
      <c r="I6369" s="31"/>
      <c r="J6369" s="31"/>
    </row>
    <row r="6370" spans="7:10" s="29" customFormat="1" x14ac:dyDescent="0.2">
      <c r="G6370" s="31"/>
      <c r="H6370" s="31"/>
      <c r="I6370" s="31"/>
      <c r="J6370" s="31"/>
    </row>
    <row r="6371" spans="7:10" s="29" customFormat="1" x14ac:dyDescent="0.2">
      <c r="G6371" s="31"/>
      <c r="H6371" s="31"/>
      <c r="I6371" s="31"/>
      <c r="J6371" s="31"/>
    </row>
    <row r="6372" spans="7:10" s="29" customFormat="1" x14ac:dyDescent="0.2">
      <c r="G6372" s="31"/>
      <c r="H6372" s="31"/>
      <c r="I6372" s="31"/>
      <c r="J6372" s="31"/>
    </row>
    <row r="6373" spans="7:10" s="29" customFormat="1" x14ac:dyDescent="0.2">
      <c r="G6373" s="31"/>
      <c r="H6373" s="31"/>
      <c r="I6373" s="31"/>
      <c r="J6373" s="31"/>
    </row>
    <row r="6374" spans="7:10" s="29" customFormat="1" x14ac:dyDescent="0.2">
      <c r="G6374" s="31"/>
      <c r="H6374" s="31"/>
      <c r="I6374" s="31"/>
      <c r="J6374" s="31"/>
    </row>
    <row r="6375" spans="7:10" s="29" customFormat="1" x14ac:dyDescent="0.2">
      <c r="G6375" s="31"/>
      <c r="H6375" s="31"/>
      <c r="I6375" s="31"/>
      <c r="J6375" s="31"/>
    </row>
    <row r="6376" spans="7:10" s="29" customFormat="1" x14ac:dyDescent="0.2">
      <c r="G6376" s="31"/>
      <c r="H6376" s="31"/>
      <c r="I6376" s="31"/>
      <c r="J6376" s="31"/>
    </row>
    <row r="6377" spans="7:10" s="29" customFormat="1" x14ac:dyDescent="0.2">
      <c r="G6377" s="31"/>
      <c r="H6377" s="31"/>
      <c r="I6377" s="31"/>
      <c r="J6377" s="31"/>
    </row>
    <row r="6378" spans="7:10" s="29" customFormat="1" x14ac:dyDescent="0.2">
      <c r="G6378" s="31"/>
      <c r="H6378" s="31"/>
      <c r="I6378" s="31"/>
      <c r="J6378" s="31"/>
    </row>
    <row r="6379" spans="7:10" s="29" customFormat="1" x14ac:dyDescent="0.2">
      <c r="G6379" s="31"/>
      <c r="H6379" s="31"/>
      <c r="I6379" s="31"/>
      <c r="J6379" s="31"/>
    </row>
    <row r="6380" spans="7:10" s="29" customFormat="1" x14ac:dyDescent="0.2">
      <c r="G6380" s="31"/>
      <c r="H6380" s="31"/>
      <c r="I6380" s="31"/>
      <c r="J6380" s="31"/>
    </row>
    <row r="6381" spans="7:10" s="29" customFormat="1" x14ac:dyDescent="0.2">
      <c r="G6381" s="31"/>
      <c r="H6381" s="31"/>
      <c r="I6381" s="31"/>
      <c r="J6381" s="31"/>
    </row>
    <row r="6382" spans="7:10" s="29" customFormat="1" x14ac:dyDescent="0.2">
      <c r="G6382" s="31"/>
      <c r="H6382" s="31"/>
      <c r="I6382" s="31"/>
      <c r="J6382" s="31"/>
    </row>
    <row r="6383" spans="7:10" s="29" customFormat="1" x14ac:dyDescent="0.2">
      <c r="G6383" s="31"/>
      <c r="H6383" s="31"/>
      <c r="I6383" s="31"/>
      <c r="J6383" s="31"/>
    </row>
    <row r="6384" spans="7:10" s="29" customFormat="1" x14ac:dyDescent="0.2">
      <c r="G6384" s="31"/>
      <c r="H6384" s="31"/>
      <c r="I6384" s="31"/>
      <c r="J6384" s="31"/>
    </row>
    <row r="6385" spans="7:10" s="29" customFormat="1" x14ac:dyDescent="0.2">
      <c r="G6385" s="31"/>
      <c r="H6385" s="31"/>
      <c r="I6385" s="31"/>
      <c r="J6385" s="31"/>
    </row>
    <row r="6386" spans="7:10" s="29" customFormat="1" x14ac:dyDescent="0.2">
      <c r="G6386" s="31"/>
      <c r="H6386" s="31"/>
      <c r="I6386" s="31"/>
      <c r="J6386" s="31"/>
    </row>
    <row r="6387" spans="7:10" s="29" customFormat="1" x14ac:dyDescent="0.2">
      <c r="G6387" s="31"/>
      <c r="H6387" s="31"/>
      <c r="I6387" s="31"/>
      <c r="J6387" s="31"/>
    </row>
    <row r="6388" spans="7:10" s="29" customFormat="1" x14ac:dyDescent="0.2">
      <c r="G6388" s="31"/>
      <c r="H6388" s="31"/>
      <c r="I6388" s="31"/>
      <c r="J6388" s="31"/>
    </row>
    <row r="6389" spans="7:10" s="29" customFormat="1" x14ac:dyDescent="0.2">
      <c r="G6389" s="31"/>
      <c r="H6389" s="31"/>
      <c r="I6389" s="31"/>
      <c r="J6389" s="31"/>
    </row>
    <row r="6390" spans="7:10" s="29" customFormat="1" x14ac:dyDescent="0.2">
      <c r="G6390" s="31"/>
      <c r="H6390" s="31"/>
      <c r="I6390" s="31"/>
      <c r="J6390" s="31"/>
    </row>
    <row r="6391" spans="7:10" s="29" customFormat="1" x14ac:dyDescent="0.2">
      <c r="G6391" s="31"/>
      <c r="H6391" s="31"/>
      <c r="I6391" s="31"/>
      <c r="J6391" s="31"/>
    </row>
    <row r="6392" spans="7:10" s="29" customFormat="1" x14ac:dyDescent="0.2">
      <c r="G6392" s="31"/>
      <c r="H6392" s="31"/>
      <c r="I6392" s="31"/>
      <c r="J6392" s="31"/>
    </row>
    <row r="6393" spans="7:10" s="29" customFormat="1" x14ac:dyDescent="0.2">
      <c r="G6393" s="31"/>
      <c r="H6393" s="31"/>
      <c r="I6393" s="31"/>
      <c r="J6393" s="31"/>
    </row>
    <row r="6394" spans="7:10" s="29" customFormat="1" x14ac:dyDescent="0.2">
      <c r="G6394" s="31"/>
      <c r="H6394" s="31"/>
      <c r="I6394" s="31"/>
      <c r="J6394" s="31"/>
    </row>
    <row r="6395" spans="7:10" s="29" customFormat="1" x14ac:dyDescent="0.2">
      <c r="G6395" s="31"/>
      <c r="H6395" s="31"/>
      <c r="I6395" s="31"/>
      <c r="J6395" s="31"/>
    </row>
    <row r="6396" spans="7:10" s="29" customFormat="1" x14ac:dyDescent="0.2">
      <c r="G6396" s="31"/>
      <c r="H6396" s="31"/>
      <c r="I6396" s="31"/>
      <c r="J6396" s="31"/>
    </row>
    <row r="6397" spans="7:10" s="29" customFormat="1" x14ac:dyDescent="0.2">
      <c r="G6397" s="31"/>
      <c r="H6397" s="31"/>
      <c r="I6397" s="31"/>
      <c r="J6397" s="31"/>
    </row>
    <row r="6398" spans="7:10" s="29" customFormat="1" x14ac:dyDescent="0.2">
      <c r="G6398" s="31"/>
      <c r="H6398" s="31"/>
      <c r="I6398" s="31"/>
      <c r="J6398" s="31"/>
    </row>
    <row r="6399" spans="7:10" s="29" customFormat="1" x14ac:dyDescent="0.2">
      <c r="G6399" s="31"/>
      <c r="H6399" s="31"/>
      <c r="I6399" s="31"/>
      <c r="J6399" s="31"/>
    </row>
    <row r="6400" spans="7:10" s="29" customFormat="1" x14ac:dyDescent="0.2">
      <c r="G6400" s="31"/>
      <c r="H6400" s="31"/>
      <c r="I6400" s="31"/>
      <c r="J6400" s="31"/>
    </row>
    <row r="6401" spans="7:10" s="29" customFormat="1" x14ac:dyDescent="0.2">
      <c r="G6401" s="31"/>
      <c r="H6401" s="31"/>
      <c r="I6401" s="31"/>
      <c r="J6401" s="31"/>
    </row>
    <row r="6402" spans="7:10" s="29" customFormat="1" x14ac:dyDescent="0.2">
      <c r="G6402" s="31"/>
      <c r="H6402" s="31"/>
      <c r="I6402" s="31"/>
      <c r="J6402" s="31"/>
    </row>
    <row r="6403" spans="7:10" s="29" customFormat="1" x14ac:dyDescent="0.2">
      <c r="G6403" s="31"/>
      <c r="H6403" s="31"/>
      <c r="I6403" s="31"/>
      <c r="J6403" s="31"/>
    </row>
    <row r="6404" spans="7:10" s="29" customFormat="1" x14ac:dyDescent="0.2">
      <c r="G6404" s="31"/>
      <c r="H6404" s="31"/>
      <c r="I6404" s="31"/>
      <c r="J6404" s="31"/>
    </row>
    <row r="6405" spans="7:10" s="29" customFormat="1" x14ac:dyDescent="0.2">
      <c r="G6405" s="31"/>
      <c r="H6405" s="31"/>
      <c r="I6405" s="31"/>
      <c r="J6405" s="31"/>
    </row>
    <row r="6406" spans="7:10" s="29" customFormat="1" x14ac:dyDescent="0.2">
      <c r="G6406" s="31"/>
      <c r="H6406" s="31"/>
      <c r="I6406" s="31"/>
      <c r="J6406" s="31"/>
    </row>
    <row r="6407" spans="7:10" s="29" customFormat="1" x14ac:dyDescent="0.2">
      <c r="G6407" s="31"/>
      <c r="H6407" s="31"/>
      <c r="I6407" s="31"/>
      <c r="J6407" s="31"/>
    </row>
    <row r="6408" spans="7:10" s="29" customFormat="1" x14ac:dyDescent="0.2">
      <c r="G6408" s="31"/>
      <c r="H6408" s="31"/>
      <c r="I6408" s="31"/>
      <c r="J6408" s="31"/>
    </row>
    <row r="6409" spans="7:10" s="29" customFormat="1" x14ac:dyDescent="0.2">
      <c r="G6409" s="31"/>
      <c r="H6409" s="31"/>
      <c r="I6409" s="31"/>
      <c r="J6409" s="31"/>
    </row>
    <row r="6410" spans="7:10" s="29" customFormat="1" x14ac:dyDescent="0.2">
      <c r="G6410" s="31"/>
      <c r="H6410" s="31"/>
      <c r="I6410" s="31"/>
      <c r="J6410" s="31"/>
    </row>
    <row r="6411" spans="7:10" s="29" customFormat="1" x14ac:dyDescent="0.2">
      <c r="G6411" s="31"/>
      <c r="H6411" s="31"/>
      <c r="I6411" s="31"/>
      <c r="J6411" s="31"/>
    </row>
    <row r="6412" spans="7:10" s="29" customFormat="1" x14ac:dyDescent="0.2">
      <c r="G6412" s="31"/>
      <c r="H6412" s="31"/>
      <c r="I6412" s="31"/>
      <c r="J6412" s="31"/>
    </row>
    <row r="6413" spans="7:10" s="29" customFormat="1" x14ac:dyDescent="0.2">
      <c r="G6413" s="31"/>
      <c r="H6413" s="31"/>
      <c r="I6413" s="31"/>
      <c r="J6413" s="31"/>
    </row>
    <row r="6414" spans="7:10" s="29" customFormat="1" x14ac:dyDescent="0.2">
      <c r="G6414" s="31"/>
      <c r="H6414" s="31"/>
      <c r="I6414" s="31"/>
      <c r="J6414" s="31"/>
    </row>
    <row r="6415" spans="7:10" s="29" customFormat="1" x14ac:dyDescent="0.2">
      <c r="G6415" s="31"/>
      <c r="H6415" s="31"/>
      <c r="I6415" s="31"/>
      <c r="J6415" s="31"/>
    </row>
    <row r="6416" spans="7:10" s="29" customFormat="1" x14ac:dyDescent="0.2">
      <c r="G6416" s="31"/>
      <c r="H6416" s="31"/>
      <c r="I6416" s="31"/>
      <c r="J6416" s="31"/>
    </row>
    <row r="6417" spans="7:10" s="29" customFormat="1" x14ac:dyDescent="0.2">
      <c r="G6417" s="31"/>
      <c r="H6417" s="31"/>
      <c r="I6417" s="31"/>
      <c r="J6417" s="31"/>
    </row>
    <row r="6418" spans="7:10" s="29" customFormat="1" x14ac:dyDescent="0.2">
      <c r="G6418" s="31"/>
      <c r="H6418" s="31"/>
      <c r="I6418" s="31"/>
      <c r="J6418" s="31"/>
    </row>
    <row r="6419" spans="7:10" s="29" customFormat="1" x14ac:dyDescent="0.2">
      <c r="G6419" s="31"/>
      <c r="H6419" s="31"/>
      <c r="I6419" s="31"/>
      <c r="J6419" s="31"/>
    </row>
    <row r="6420" spans="7:10" s="29" customFormat="1" x14ac:dyDescent="0.2">
      <c r="G6420" s="31"/>
      <c r="H6420" s="31"/>
      <c r="I6420" s="31"/>
      <c r="J6420" s="31"/>
    </row>
    <row r="6421" spans="7:10" s="29" customFormat="1" x14ac:dyDescent="0.2">
      <c r="G6421" s="31"/>
      <c r="H6421" s="31"/>
      <c r="I6421" s="31"/>
      <c r="J6421" s="31"/>
    </row>
    <row r="6422" spans="7:10" s="29" customFormat="1" x14ac:dyDescent="0.2">
      <c r="G6422" s="31"/>
      <c r="H6422" s="31"/>
      <c r="I6422" s="31"/>
      <c r="J6422" s="31"/>
    </row>
    <row r="6423" spans="7:10" s="29" customFormat="1" x14ac:dyDescent="0.2">
      <c r="G6423" s="31"/>
      <c r="H6423" s="31"/>
      <c r="I6423" s="31"/>
      <c r="J6423" s="31"/>
    </row>
    <row r="6424" spans="7:10" s="29" customFormat="1" x14ac:dyDescent="0.2">
      <c r="G6424" s="31"/>
      <c r="H6424" s="31"/>
      <c r="I6424" s="31"/>
      <c r="J6424" s="31"/>
    </row>
    <row r="6425" spans="7:10" s="29" customFormat="1" x14ac:dyDescent="0.2">
      <c r="G6425" s="31"/>
      <c r="H6425" s="31"/>
      <c r="I6425" s="31"/>
      <c r="J6425" s="31"/>
    </row>
    <row r="6426" spans="7:10" s="29" customFormat="1" x14ac:dyDescent="0.2">
      <c r="G6426" s="31"/>
      <c r="H6426" s="31"/>
      <c r="I6426" s="31"/>
      <c r="J6426" s="31"/>
    </row>
    <row r="6427" spans="7:10" s="29" customFormat="1" x14ac:dyDescent="0.2">
      <c r="G6427" s="31"/>
      <c r="H6427" s="31"/>
      <c r="I6427" s="31"/>
      <c r="J6427" s="31"/>
    </row>
    <row r="6428" spans="7:10" s="29" customFormat="1" x14ac:dyDescent="0.2">
      <c r="G6428" s="31"/>
      <c r="H6428" s="31"/>
      <c r="I6428" s="31"/>
      <c r="J6428" s="31"/>
    </row>
    <row r="6429" spans="7:10" s="29" customFormat="1" x14ac:dyDescent="0.2">
      <c r="G6429" s="31"/>
      <c r="H6429" s="31"/>
      <c r="I6429" s="31"/>
      <c r="J6429" s="31"/>
    </row>
    <row r="6430" spans="7:10" s="29" customFormat="1" x14ac:dyDescent="0.2">
      <c r="G6430" s="31"/>
      <c r="H6430" s="31"/>
      <c r="I6430" s="31"/>
      <c r="J6430" s="31"/>
    </row>
    <row r="6431" spans="7:10" s="29" customFormat="1" x14ac:dyDescent="0.2">
      <c r="G6431" s="31"/>
      <c r="H6431" s="31"/>
      <c r="I6431" s="31"/>
      <c r="J6431" s="31"/>
    </row>
    <row r="6432" spans="7:10" s="29" customFormat="1" x14ac:dyDescent="0.2">
      <c r="G6432" s="31"/>
      <c r="H6432" s="31"/>
      <c r="I6432" s="31"/>
      <c r="J6432" s="31"/>
    </row>
    <row r="6433" spans="7:10" s="29" customFormat="1" x14ac:dyDescent="0.2">
      <c r="G6433" s="31"/>
      <c r="H6433" s="31"/>
      <c r="I6433" s="31"/>
      <c r="J6433" s="31"/>
    </row>
    <row r="6434" spans="7:10" s="29" customFormat="1" x14ac:dyDescent="0.2">
      <c r="G6434" s="31"/>
      <c r="H6434" s="31"/>
      <c r="I6434" s="31"/>
      <c r="J6434" s="31"/>
    </row>
    <row r="6435" spans="7:10" s="29" customFormat="1" x14ac:dyDescent="0.2">
      <c r="G6435" s="31"/>
      <c r="H6435" s="31"/>
      <c r="I6435" s="31"/>
      <c r="J6435" s="31"/>
    </row>
    <row r="6436" spans="7:10" s="29" customFormat="1" x14ac:dyDescent="0.2">
      <c r="G6436" s="31"/>
      <c r="H6436" s="31"/>
      <c r="I6436" s="31"/>
      <c r="J6436" s="31"/>
    </row>
    <row r="6437" spans="7:10" s="29" customFormat="1" x14ac:dyDescent="0.2">
      <c r="G6437" s="31"/>
      <c r="H6437" s="31"/>
      <c r="I6437" s="31"/>
      <c r="J6437" s="31"/>
    </row>
    <row r="6438" spans="7:10" s="29" customFormat="1" x14ac:dyDescent="0.2">
      <c r="G6438" s="31"/>
      <c r="H6438" s="31"/>
      <c r="I6438" s="31"/>
      <c r="J6438" s="31"/>
    </row>
    <row r="6439" spans="7:10" s="29" customFormat="1" x14ac:dyDescent="0.2">
      <c r="G6439" s="31"/>
      <c r="H6439" s="31"/>
      <c r="I6439" s="31"/>
      <c r="J6439" s="31"/>
    </row>
    <row r="6440" spans="7:10" s="29" customFormat="1" x14ac:dyDescent="0.2">
      <c r="G6440" s="31"/>
      <c r="H6440" s="31"/>
      <c r="I6440" s="31"/>
      <c r="J6440" s="31"/>
    </row>
    <row r="6441" spans="7:10" s="29" customFormat="1" x14ac:dyDescent="0.2">
      <c r="G6441" s="31"/>
      <c r="H6441" s="31"/>
      <c r="I6441" s="31"/>
      <c r="J6441" s="31"/>
    </row>
    <row r="6442" spans="7:10" s="29" customFormat="1" x14ac:dyDescent="0.2">
      <c r="G6442" s="31"/>
      <c r="H6442" s="31"/>
      <c r="I6442" s="31"/>
      <c r="J6442" s="31"/>
    </row>
    <row r="6443" spans="7:10" s="29" customFormat="1" x14ac:dyDescent="0.2">
      <c r="G6443" s="31"/>
      <c r="H6443" s="31"/>
      <c r="I6443" s="31"/>
      <c r="J6443" s="31"/>
    </row>
    <row r="6444" spans="7:10" s="29" customFormat="1" x14ac:dyDescent="0.2">
      <c r="G6444" s="31"/>
      <c r="H6444" s="31"/>
      <c r="I6444" s="31"/>
      <c r="J6444" s="31"/>
    </row>
    <row r="6445" spans="7:10" s="29" customFormat="1" x14ac:dyDescent="0.2">
      <c r="G6445" s="31"/>
      <c r="H6445" s="31"/>
      <c r="I6445" s="31"/>
      <c r="J6445" s="31"/>
    </row>
    <row r="6446" spans="7:10" s="29" customFormat="1" x14ac:dyDescent="0.2">
      <c r="G6446" s="31"/>
      <c r="H6446" s="31"/>
      <c r="I6446" s="31"/>
      <c r="J6446" s="31"/>
    </row>
    <row r="6447" spans="7:10" s="29" customFormat="1" x14ac:dyDescent="0.2">
      <c r="G6447" s="31"/>
      <c r="H6447" s="31"/>
      <c r="I6447" s="31"/>
      <c r="J6447" s="31"/>
    </row>
    <row r="6448" spans="7:10" s="29" customFormat="1" x14ac:dyDescent="0.2">
      <c r="G6448" s="31"/>
      <c r="H6448" s="31"/>
      <c r="I6448" s="31"/>
      <c r="J6448" s="31"/>
    </row>
    <row r="6449" spans="7:10" s="29" customFormat="1" x14ac:dyDescent="0.2">
      <c r="G6449" s="31"/>
      <c r="H6449" s="31"/>
      <c r="I6449" s="31"/>
      <c r="J6449" s="31"/>
    </row>
    <row r="6450" spans="7:10" s="29" customFormat="1" x14ac:dyDescent="0.2">
      <c r="G6450" s="31"/>
      <c r="H6450" s="31"/>
      <c r="I6450" s="31"/>
      <c r="J6450" s="31"/>
    </row>
    <row r="6451" spans="7:10" s="29" customFormat="1" x14ac:dyDescent="0.2">
      <c r="G6451" s="31"/>
      <c r="H6451" s="31"/>
      <c r="I6451" s="31"/>
      <c r="J6451" s="31"/>
    </row>
    <row r="6452" spans="7:10" s="29" customFormat="1" x14ac:dyDescent="0.2">
      <c r="G6452" s="31"/>
      <c r="H6452" s="31"/>
      <c r="I6452" s="31"/>
      <c r="J6452" s="31"/>
    </row>
    <row r="6453" spans="7:10" s="29" customFormat="1" x14ac:dyDescent="0.2">
      <c r="G6453" s="31"/>
      <c r="H6453" s="31"/>
      <c r="I6453" s="31"/>
      <c r="J6453" s="31"/>
    </row>
    <row r="6454" spans="7:10" s="29" customFormat="1" x14ac:dyDescent="0.2">
      <c r="G6454" s="31"/>
      <c r="H6454" s="31"/>
      <c r="I6454" s="31"/>
      <c r="J6454" s="31"/>
    </row>
    <row r="6455" spans="7:10" s="29" customFormat="1" x14ac:dyDescent="0.2">
      <c r="G6455" s="31"/>
      <c r="H6455" s="31"/>
      <c r="I6455" s="31"/>
      <c r="J6455" s="31"/>
    </row>
    <row r="6456" spans="7:10" s="29" customFormat="1" x14ac:dyDescent="0.2">
      <c r="G6456" s="31"/>
      <c r="H6456" s="31"/>
      <c r="I6456" s="31"/>
      <c r="J6456" s="31"/>
    </row>
    <row r="6457" spans="7:10" s="29" customFormat="1" x14ac:dyDescent="0.2">
      <c r="G6457" s="31"/>
      <c r="H6457" s="31"/>
      <c r="I6457" s="31"/>
      <c r="J6457" s="31"/>
    </row>
    <row r="6458" spans="7:10" s="29" customFormat="1" x14ac:dyDescent="0.2">
      <c r="G6458" s="31"/>
      <c r="H6458" s="31"/>
      <c r="I6458" s="31"/>
      <c r="J6458" s="31"/>
    </row>
    <row r="6459" spans="7:10" s="29" customFormat="1" x14ac:dyDescent="0.2">
      <c r="G6459" s="31"/>
      <c r="H6459" s="31"/>
      <c r="I6459" s="31"/>
      <c r="J6459" s="31"/>
    </row>
    <row r="6460" spans="7:10" s="29" customFormat="1" x14ac:dyDescent="0.2">
      <c r="G6460" s="31"/>
      <c r="H6460" s="31"/>
      <c r="I6460" s="31"/>
      <c r="J6460" s="31"/>
    </row>
    <row r="6461" spans="7:10" s="29" customFormat="1" x14ac:dyDescent="0.2">
      <c r="G6461" s="31"/>
      <c r="H6461" s="31"/>
      <c r="I6461" s="31"/>
      <c r="J6461" s="31"/>
    </row>
    <row r="6462" spans="7:10" s="29" customFormat="1" x14ac:dyDescent="0.2">
      <c r="G6462" s="31"/>
      <c r="H6462" s="31"/>
      <c r="I6462" s="31"/>
      <c r="J6462" s="31"/>
    </row>
    <row r="6463" spans="7:10" s="29" customFormat="1" x14ac:dyDescent="0.2">
      <c r="G6463" s="31"/>
      <c r="H6463" s="31"/>
      <c r="I6463" s="31"/>
      <c r="J6463" s="31"/>
    </row>
    <row r="6464" spans="7:10" s="29" customFormat="1" x14ac:dyDescent="0.2">
      <c r="G6464" s="31"/>
      <c r="H6464" s="31"/>
      <c r="I6464" s="31"/>
      <c r="J6464" s="31"/>
    </row>
    <row r="6465" spans="7:10" s="29" customFormat="1" x14ac:dyDescent="0.2">
      <c r="G6465" s="31"/>
      <c r="H6465" s="31"/>
      <c r="I6465" s="31"/>
      <c r="J6465" s="31"/>
    </row>
    <row r="6466" spans="7:10" s="29" customFormat="1" x14ac:dyDescent="0.2">
      <c r="G6466" s="31"/>
      <c r="H6466" s="31"/>
      <c r="I6466" s="31"/>
      <c r="J6466" s="31"/>
    </row>
    <row r="6467" spans="7:10" s="29" customFormat="1" x14ac:dyDescent="0.2">
      <c r="G6467" s="31"/>
      <c r="H6467" s="31"/>
      <c r="I6467" s="31"/>
      <c r="J6467" s="31"/>
    </row>
    <row r="6468" spans="7:10" s="29" customFormat="1" x14ac:dyDescent="0.2">
      <c r="G6468" s="31"/>
      <c r="H6468" s="31"/>
      <c r="I6468" s="31"/>
      <c r="J6468" s="31"/>
    </row>
    <row r="6469" spans="7:10" s="29" customFormat="1" x14ac:dyDescent="0.2">
      <c r="G6469" s="31"/>
      <c r="H6469" s="31"/>
      <c r="I6469" s="31"/>
      <c r="J6469" s="31"/>
    </row>
    <row r="6470" spans="7:10" s="29" customFormat="1" x14ac:dyDescent="0.2">
      <c r="G6470" s="31"/>
      <c r="H6470" s="31"/>
      <c r="I6470" s="31"/>
      <c r="J6470" s="31"/>
    </row>
    <row r="6471" spans="7:10" s="29" customFormat="1" x14ac:dyDescent="0.2">
      <c r="G6471" s="31"/>
      <c r="H6471" s="31"/>
      <c r="I6471" s="31"/>
      <c r="J6471" s="31"/>
    </row>
    <row r="6472" spans="7:10" s="29" customFormat="1" x14ac:dyDescent="0.2">
      <c r="G6472" s="31"/>
      <c r="H6472" s="31"/>
      <c r="I6472" s="31"/>
      <c r="J6472" s="31"/>
    </row>
    <row r="6473" spans="7:10" s="29" customFormat="1" x14ac:dyDescent="0.2">
      <c r="G6473" s="31"/>
      <c r="H6473" s="31"/>
      <c r="I6473" s="31"/>
      <c r="J6473" s="31"/>
    </row>
    <row r="6474" spans="7:10" s="29" customFormat="1" x14ac:dyDescent="0.2">
      <c r="G6474" s="31"/>
      <c r="H6474" s="31"/>
      <c r="I6474" s="31"/>
      <c r="J6474" s="31"/>
    </row>
    <row r="6475" spans="7:10" s="29" customFormat="1" x14ac:dyDescent="0.2">
      <c r="G6475" s="31"/>
      <c r="H6475" s="31"/>
      <c r="I6475" s="31"/>
      <c r="J6475" s="31"/>
    </row>
    <row r="6476" spans="7:10" s="29" customFormat="1" x14ac:dyDescent="0.2">
      <c r="G6476" s="31"/>
      <c r="H6476" s="31"/>
      <c r="I6476" s="31"/>
      <c r="J6476" s="31"/>
    </row>
    <row r="6477" spans="7:10" s="29" customFormat="1" x14ac:dyDescent="0.2">
      <c r="G6477" s="31"/>
      <c r="H6477" s="31"/>
      <c r="I6477" s="31"/>
      <c r="J6477" s="31"/>
    </row>
    <row r="6478" spans="7:10" s="29" customFormat="1" x14ac:dyDescent="0.2">
      <c r="G6478" s="31"/>
      <c r="H6478" s="31"/>
      <c r="I6478" s="31"/>
      <c r="J6478" s="31"/>
    </row>
    <row r="6479" spans="7:10" s="29" customFormat="1" x14ac:dyDescent="0.2">
      <c r="G6479" s="31"/>
      <c r="H6479" s="31"/>
      <c r="I6479" s="31"/>
      <c r="J6479" s="31"/>
    </row>
    <row r="6480" spans="7:10" s="29" customFormat="1" x14ac:dyDescent="0.2">
      <c r="G6480" s="31"/>
      <c r="H6480" s="31"/>
      <c r="I6480" s="31"/>
      <c r="J6480" s="31"/>
    </row>
    <row r="6481" spans="7:10" s="29" customFormat="1" x14ac:dyDescent="0.2">
      <c r="G6481" s="31"/>
      <c r="H6481" s="31"/>
      <c r="I6481" s="31"/>
      <c r="J6481" s="31"/>
    </row>
    <row r="6482" spans="7:10" s="29" customFormat="1" x14ac:dyDescent="0.2">
      <c r="G6482" s="31"/>
      <c r="H6482" s="31"/>
      <c r="I6482" s="31"/>
      <c r="J6482" s="31"/>
    </row>
    <row r="6483" spans="7:10" s="29" customFormat="1" x14ac:dyDescent="0.2">
      <c r="G6483" s="31"/>
      <c r="H6483" s="31"/>
      <c r="I6483" s="31"/>
      <c r="J6483" s="31"/>
    </row>
    <row r="6484" spans="7:10" s="29" customFormat="1" x14ac:dyDescent="0.2">
      <c r="G6484" s="31"/>
      <c r="H6484" s="31"/>
      <c r="I6484" s="31"/>
      <c r="J6484" s="31"/>
    </row>
    <row r="6485" spans="7:10" s="29" customFormat="1" x14ac:dyDescent="0.2">
      <c r="G6485" s="31"/>
      <c r="H6485" s="31"/>
      <c r="I6485" s="31"/>
      <c r="J6485" s="31"/>
    </row>
    <row r="6486" spans="7:10" s="29" customFormat="1" x14ac:dyDescent="0.2">
      <c r="G6486" s="31"/>
      <c r="H6486" s="31"/>
      <c r="I6486" s="31"/>
      <c r="J6486" s="31"/>
    </row>
    <row r="6487" spans="7:10" s="29" customFormat="1" x14ac:dyDescent="0.2">
      <c r="G6487" s="31"/>
      <c r="H6487" s="31"/>
      <c r="I6487" s="31"/>
      <c r="J6487" s="31"/>
    </row>
    <row r="6488" spans="7:10" s="29" customFormat="1" x14ac:dyDescent="0.2">
      <c r="G6488" s="31"/>
      <c r="H6488" s="31"/>
      <c r="I6488" s="31"/>
      <c r="J6488" s="31"/>
    </row>
    <row r="6489" spans="7:10" s="29" customFormat="1" x14ac:dyDescent="0.2">
      <c r="G6489" s="31"/>
      <c r="H6489" s="31"/>
      <c r="I6489" s="31"/>
      <c r="J6489" s="31"/>
    </row>
    <row r="6490" spans="7:10" s="29" customFormat="1" x14ac:dyDescent="0.2">
      <c r="G6490" s="31"/>
      <c r="H6490" s="31"/>
      <c r="I6490" s="31"/>
      <c r="J6490" s="31"/>
    </row>
    <row r="6491" spans="7:10" s="29" customFormat="1" x14ac:dyDescent="0.2">
      <c r="G6491" s="31"/>
      <c r="H6491" s="31"/>
      <c r="I6491" s="31"/>
      <c r="J6491" s="31"/>
    </row>
    <row r="6492" spans="7:10" s="29" customFormat="1" x14ac:dyDescent="0.2">
      <c r="G6492" s="31"/>
      <c r="H6492" s="31"/>
      <c r="I6492" s="31"/>
      <c r="J6492" s="31"/>
    </row>
    <row r="6493" spans="7:10" s="29" customFormat="1" x14ac:dyDescent="0.2">
      <c r="G6493" s="31"/>
      <c r="H6493" s="31"/>
      <c r="I6493" s="31"/>
      <c r="J6493" s="31"/>
    </row>
    <row r="6494" spans="7:10" s="29" customFormat="1" x14ac:dyDescent="0.2">
      <c r="G6494" s="31"/>
      <c r="H6494" s="31"/>
      <c r="I6494" s="31"/>
      <c r="J6494" s="31"/>
    </row>
    <row r="6495" spans="7:10" s="29" customFormat="1" x14ac:dyDescent="0.2">
      <c r="G6495" s="31"/>
      <c r="H6495" s="31"/>
      <c r="I6495" s="31"/>
      <c r="J6495" s="31"/>
    </row>
    <row r="6496" spans="7:10" s="29" customFormat="1" x14ac:dyDescent="0.2">
      <c r="G6496" s="31"/>
      <c r="H6496" s="31"/>
      <c r="I6496" s="31"/>
      <c r="J6496" s="31"/>
    </row>
    <row r="6497" spans="7:10" s="29" customFormat="1" x14ac:dyDescent="0.2">
      <c r="G6497" s="31"/>
      <c r="H6497" s="31"/>
      <c r="I6497" s="31"/>
      <c r="J6497" s="31"/>
    </row>
    <row r="6498" spans="7:10" s="29" customFormat="1" x14ac:dyDescent="0.2">
      <c r="G6498" s="31"/>
      <c r="H6498" s="31"/>
      <c r="I6498" s="31"/>
      <c r="J6498" s="31"/>
    </row>
    <row r="6499" spans="7:10" s="29" customFormat="1" x14ac:dyDescent="0.2">
      <c r="G6499" s="31"/>
      <c r="H6499" s="31"/>
      <c r="I6499" s="31"/>
      <c r="J6499" s="31"/>
    </row>
    <row r="6500" spans="7:10" s="29" customFormat="1" x14ac:dyDescent="0.2">
      <c r="G6500" s="31"/>
      <c r="H6500" s="31"/>
      <c r="I6500" s="31"/>
      <c r="J6500" s="31"/>
    </row>
    <row r="6501" spans="7:10" s="29" customFormat="1" x14ac:dyDescent="0.2">
      <c r="G6501" s="31"/>
      <c r="H6501" s="31"/>
      <c r="I6501" s="31"/>
      <c r="J6501" s="31"/>
    </row>
    <row r="6502" spans="7:10" s="29" customFormat="1" x14ac:dyDescent="0.2">
      <c r="G6502" s="31"/>
      <c r="H6502" s="31"/>
      <c r="I6502" s="31"/>
      <c r="J6502" s="31"/>
    </row>
    <row r="6503" spans="7:10" s="29" customFormat="1" x14ac:dyDescent="0.2">
      <c r="G6503" s="31"/>
      <c r="H6503" s="31"/>
      <c r="I6503" s="31"/>
      <c r="J6503" s="31"/>
    </row>
    <row r="6504" spans="7:10" s="29" customFormat="1" x14ac:dyDescent="0.2">
      <c r="G6504" s="31"/>
      <c r="H6504" s="31"/>
      <c r="I6504" s="31"/>
      <c r="J6504" s="31"/>
    </row>
    <row r="6505" spans="7:10" s="29" customFormat="1" x14ac:dyDescent="0.2">
      <c r="G6505" s="31"/>
      <c r="H6505" s="31"/>
      <c r="I6505" s="31"/>
      <c r="J6505" s="31"/>
    </row>
    <row r="6506" spans="7:10" s="29" customFormat="1" x14ac:dyDescent="0.2">
      <c r="G6506" s="31"/>
      <c r="H6506" s="31"/>
      <c r="I6506" s="31"/>
      <c r="J6506" s="31"/>
    </row>
    <row r="6507" spans="7:10" s="29" customFormat="1" x14ac:dyDescent="0.2">
      <c r="G6507" s="31"/>
      <c r="H6507" s="31"/>
      <c r="I6507" s="31"/>
      <c r="J6507" s="31"/>
    </row>
    <row r="6508" spans="7:10" s="29" customFormat="1" x14ac:dyDescent="0.2">
      <c r="G6508" s="31"/>
      <c r="H6508" s="31"/>
      <c r="I6508" s="31"/>
      <c r="J6508" s="31"/>
    </row>
    <row r="6509" spans="7:10" s="29" customFormat="1" x14ac:dyDescent="0.2">
      <c r="G6509" s="31"/>
      <c r="H6509" s="31"/>
      <c r="I6509" s="31"/>
      <c r="J6509" s="31"/>
    </row>
    <row r="6510" spans="7:10" s="29" customFormat="1" x14ac:dyDescent="0.2">
      <c r="G6510" s="31"/>
      <c r="H6510" s="31"/>
      <c r="I6510" s="31"/>
      <c r="J6510" s="31"/>
    </row>
    <row r="6511" spans="7:10" s="29" customFormat="1" x14ac:dyDescent="0.2">
      <c r="G6511" s="31"/>
      <c r="H6511" s="31"/>
      <c r="I6511" s="31"/>
      <c r="J6511" s="31"/>
    </row>
    <row r="6512" spans="7:10" s="29" customFormat="1" x14ac:dyDescent="0.2">
      <c r="G6512" s="31"/>
      <c r="H6512" s="31"/>
      <c r="I6512" s="31"/>
      <c r="J6512" s="31"/>
    </row>
    <row r="6513" spans="7:10" s="29" customFormat="1" x14ac:dyDescent="0.2">
      <c r="G6513" s="31"/>
      <c r="H6513" s="31"/>
      <c r="I6513" s="31"/>
      <c r="J6513" s="31"/>
    </row>
    <row r="6514" spans="7:10" s="29" customFormat="1" x14ac:dyDescent="0.2">
      <c r="G6514" s="31"/>
      <c r="H6514" s="31"/>
      <c r="I6514" s="31"/>
      <c r="J6514" s="31"/>
    </row>
    <row r="6515" spans="7:10" s="29" customFormat="1" x14ac:dyDescent="0.2">
      <c r="G6515" s="31"/>
      <c r="H6515" s="31"/>
      <c r="I6515" s="31"/>
      <c r="J6515" s="31"/>
    </row>
    <row r="6516" spans="7:10" s="29" customFormat="1" x14ac:dyDescent="0.2">
      <c r="G6516" s="31"/>
      <c r="H6516" s="31"/>
      <c r="I6516" s="31"/>
      <c r="J6516" s="31"/>
    </row>
    <row r="6517" spans="7:10" s="29" customFormat="1" x14ac:dyDescent="0.2">
      <c r="G6517" s="31"/>
      <c r="H6517" s="31"/>
      <c r="I6517" s="31"/>
      <c r="J6517" s="31"/>
    </row>
    <row r="6518" spans="7:10" s="29" customFormat="1" x14ac:dyDescent="0.2">
      <c r="G6518" s="31"/>
      <c r="H6518" s="31"/>
      <c r="I6518" s="31"/>
      <c r="J6518" s="31"/>
    </row>
    <row r="6519" spans="7:10" s="29" customFormat="1" x14ac:dyDescent="0.2">
      <c r="G6519" s="31"/>
      <c r="H6519" s="31"/>
      <c r="I6519" s="31"/>
      <c r="J6519" s="31"/>
    </row>
    <row r="6520" spans="7:10" s="29" customFormat="1" x14ac:dyDescent="0.2">
      <c r="G6520" s="31"/>
      <c r="H6520" s="31"/>
      <c r="I6520" s="31"/>
      <c r="J6520" s="31"/>
    </row>
    <row r="6521" spans="7:10" s="29" customFormat="1" x14ac:dyDescent="0.2">
      <c r="G6521" s="31"/>
      <c r="H6521" s="31"/>
      <c r="I6521" s="31"/>
      <c r="J6521" s="31"/>
    </row>
    <row r="6522" spans="7:10" s="29" customFormat="1" x14ac:dyDescent="0.2">
      <c r="G6522" s="31"/>
      <c r="H6522" s="31"/>
      <c r="I6522" s="31"/>
      <c r="J6522" s="31"/>
    </row>
    <row r="6523" spans="7:10" s="29" customFormat="1" x14ac:dyDescent="0.2">
      <c r="G6523" s="31"/>
      <c r="H6523" s="31"/>
      <c r="I6523" s="31"/>
      <c r="J6523" s="31"/>
    </row>
    <row r="6524" spans="7:10" s="29" customFormat="1" x14ac:dyDescent="0.2">
      <c r="G6524" s="31"/>
      <c r="H6524" s="31"/>
      <c r="I6524" s="31"/>
      <c r="J6524" s="31"/>
    </row>
    <row r="6525" spans="7:10" s="29" customFormat="1" x14ac:dyDescent="0.2">
      <c r="G6525" s="31"/>
      <c r="H6525" s="31"/>
      <c r="I6525" s="31"/>
      <c r="J6525" s="31"/>
    </row>
    <row r="6526" spans="7:10" s="29" customFormat="1" x14ac:dyDescent="0.2">
      <c r="G6526" s="31"/>
      <c r="H6526" s="31"/>
      <c r="I6526" s="31"/>
      <c r="J6526" s="31"/>
    </row>
    <row r="6527" spans="7:10" s="29" customFormat="1" x14ac:dyDescent="0.2">
      <c r="G6527" s="31"/>
      <c r="H6527" s="31"/>
      <c r="I6527" s="31"/>
      <c r="J6527" s="31"/>
    </row>
    <row r="6528" spans="7:10" s="29" customFormat="1" x14ac:dyDescent="0.2">
      <c r="G6528" s="31"/>
      <c r="H6528" s="31"/>
      <c r="I6528" s="31"/>
      <c r="J6528" s="31"/>
    </row>
    <row r="6529" spans="7:10" s="29" customFormat="1" x14ac:dyDescent="0.2">
      <c r="G6529" s="31"/>
      <c r="H6529" s="31"/>
      <c r="I6529" s="31"/>
      <c r="J6529" s="31"/>
    </row>
    <row r="6530" spans="7:10" s="29" customFormat="1" x14ac:dyDescent="0.2">
      <c r="G6530" s="31"/>
      <c r="H6530" s="31"/>
      <c r="I6530" s="31"/>
      <c r="J6530" s="31"/>
    </row>
    <row r="6531" spans="7:10" s="29" customFormat="1" x14ac:dyDescent="0.2">
      <c r="G6531" s="31"/>
      <c r="H6531" s="31"/>
      <c r="I6531" s="31"/>
      <c r="J6531" s="31"/>
    </row>
    <row r="6532" spans="7:10" s="29" customFormat="1" x14ac:dyDescent="0.2">
      <c r="G6532" s="31"/>
      <c r="H6532" s="31"/>
      <c r="I6532" s="31"/>
      <c r="J6532" s="31"/>
    </row>
    <row r="6533" spans="7:10" s="29" customFormat="1" x14ac:dyDescent="0.2">
      <c r="G6533" s="31"/>
      <c r="H6533" s="31"/>
      <c r="I6533" s="31"/>
      <c r="J6533" s="31"/>
    </row>
    <row r="6534" spans="7:10" s="29" customFormat="1" x14ac:dyDescent="0.2">
      <c r="G6534" s="31"/>
      <c r="H6534" s="31"/>
      <c r="I6534" s="31"/>
      <c r="J6534" s="31"/>
    </row>
    <row r="6535" spans="7:10" s="29" customFormat="1" x14ac:dyDescent="0.2">
      <c r="G6535" s="31"/>
      <c r="H6535" s="31"/>
      <c r="I6535" s="31"/>
      <c r="J6535" s="31"/>
    </row>
    <row r="6536" spans="7:10" s="29" customFormat="1" x14ac:dyDescent="0.2">
      <c r="G6536" s="31"/>
      <c r="H6536" s="31"/>
      <c r="I6536" s="31"/>
      <c r="J6536" s="31"/>
    </row>
    <row r="6537" spans="7:10" s="29" customFormat="1" x14ac:dyDescent="0.2">
      <c r="G6537" s="31"/>
      <c r="H6537" s="31"/>
      <c r="I6537" s="31"/>
      <c r="J6537" s="31"/>
    </row>
    <row r="6538" spans="7:10" s="29" customFormat="1" x14ac:dyDescent="0.2">
      <c r="G6538" s="31"/>
      <c r="H6538" s="31"/>
      <c r="I6538" s="31"/>
      <c r="J6538" s="31"/>
    </row>
    <row r="6539" spans="7:10" s="29" customFormat="1" x14ac:dyDescent="0.2">
      <c r="G6539" s="31"/>
      <c r="H6539" s="31"/>
      <c r="I6539" s="31"/>
      <c r="J6539" s="31"/>
    </row>
    <row r="6540" spans="7:10" s="29" customFormat="1" x14ac:dyDescent="0.2">
      <c r="G6540" s="31"/>
      <c r="H6540" s="31"/>
      <c r="I6540" s="31"/>
      <c r="J6540" s="31"/>
    </row>
    <row r="6541" spans="7:10" s="29" customFormat="1" x14ac:dyDescent="0.2">
      <c r="G6541" s="31"/>
      <c r="H6541" s="31"/>
      <c r="I6541" s="31"/>
      <c r="J6541" s="31"/>
    </row>
    <row r="6542" spans="7:10" s="29" customFormat="1" x14ac:dyDescent="0.2">
      <c r="G6542" s="31"/>
      <c r="H6542" s="31"/>
      <c r="I6542" s="31"/>
      <c r="J6542" s="31"/>
    </row>
    <row r="6543" spans="7:10" s="29" customFormat="1" x14ac:dyDescent="0.2">
      <c r="G6543" s="31"/>
      <c r="H6543" s="31"/>
      <c r="I6543" s="31"/>
      <c r="J6543" s="31"/>
    </row>
    <row r="6544" spans="7:10" s="29" customFormat="1" x14ac:dyDescent="0.2">
      <c r="G6544" s="31"/>
      <c r="H6544" s="31"/>
      <c r="I6544" s="31"/>
      <c r="J6544" s="31"/>
    </row>
    <row r="6545" spans="7:10" s="29" customFormat="1" x14ac:dyDescent="0.2">
      <c r="G6545" s="31"/>
      <c r="H6545" s="31"/>
      <c r="I6545" s="31"/>
      <c r="J6545" s="31"/>
    </row>
    <row r="6546" spans="7:10" s="29" customFormat="1" x14ac:dyDescent="0.2">
      <c r="G6546" s="31"/>
      <c r="H6546" s="31"/>
      <c r="I6546" s="31"/>
      <c r="J6546" s="31"/>
    </row>
    <row r="6547" spans="7:10" s="29" customFormat="1" x14ac:dyDescent="0.2">
      <c r="G6547" s="31"/>
      <c r="H6547" s="31"/>
      <c r="I6547" s="31"/>
      <c r="J6547" s="31"/>
    </row>
    <row r="6548" spans="7:10" s="29" customFormat="1" x14ac:dyDescent="0.2">
      <c r="G6548" s="31"/>
      <c r="H6548" s="31"/>
      <c r="I6548" s="31"/>
      <c r="J6548" s="31"/>
    </row>
    <row r="6549" spans="7:10" s="29" customFormat="1" x14ac:dyDescent="0.2">
      <c r="G6549" s="31"/>
      <c r="H6549" s="31"/>
      <c r="I6549" s="31"/>
      <c r="J6549" s="31"/>
    </row>
    <row r="6550" spans="7:10" s="29" customFormat="1" x14ac:dyDescent="0.2">
      <c r="G6550" s="31"/>
      <c r="H6550" s="31"/>
      <c r="I6550" s="31"/>
      <c r="J6550" s="31"/>
    </row>
    <row r="6551" spans="7:10" s="29" customFormat="1" x14ac:dyDescent="0.2">
      <c r="G6551" s="31"/>
      <c r="H6551" s="31"/>
      <c r="I6551" s="31"/>
      <c r="J6551" s="31"/>
    </row>
    <row r="6552" spans="7:10" s="29" customFormat="1" x14ac:dyDescent="0.2">
      <c r="G6552" s="31"/>
      <c r="H6552" s="31"/>
      <c r="I6552" s="31"/>
      <c r="J6552" s="31"/>
    </row>
    <row r="6553" spans="7:10" s="29" customFormat="1" x14ac:dyDescent="0.2">
      <c r="G6553" s="31"/>
      <c r="H6553" s="31"/>
      <c r="I6553" s="31"/>
      <c r="J6553" s="31"/>
    </row>
    <row r="6554" spans="7:10" s="29" customFormat="1" x14ac:dyDescent="0.2">
      <c r="G6554" s="31"/>
      <c r="H6554" s="31"/>
      <c r="I6554" s="31"/>
      <c r="J6554" s="31"/>
    </row>
    <row r="6555" spans="7:10" s="29" customFormat="1" x14ac:dyDescent="0.2">
      <c r="G6555" s="31"/>
      <c r="H6555" s="31"/>
      <c r="I6555" s="31"/>
      <c r="J6555" s="31"/>
    </row>
    <row r="6556" spans="7:10" s="29" customFormat="1" x14ac:dyDescent="0.2">
      <c r="G6556" s="31"/>
      <c r="H6556" s="31"/>
      <c r="I6556" s="31"/>
      <c r="J6556" s="31"/>
    </row>
    <row r="6557" spans="7:10" s="29" customFormat="1" x14ac:dyDescent="0.2">
      <c r="G6557" s="31"/>
      <c r="H6557" s="31"/>
      <c r="I6557" s="31"/>
      <c r="J6557" s="31"/>
    </row>
    <row r="6558" spans="7:10" s="29" customFormat="1" x14ac:dyDescent="0.2">
      <c r="G6558" s="31"/>
      <c r="H6558" s="31"/>
      <c r="I6558" s="31"/>
      <c r="J6558" s="31"/>
    </row>
    <row r="6559" spans="7:10" s="29" customFormat="1" x14ac:dyDescent="0.2">
      <c r="G6559" s="31"/>
      <c r="H6559" s="31"/>
      <c r="I6559" s="31"/>
      <c r="J6559" s="31"/>
    </row>
    <row r="6560" spans="7:10" s="29" customFormat="1" x14ac:dyDescent="0.2">
      <c r="G6560" s="31"/>
      <c r="H6560" s="31"/>
      <c r="I6560" s="31"/>
      <c r="J6560" s="31"/>
    </row>
    <row r="6561" spans="7:10" s="29" customFormat="1" x14ac:dyDescent="0.2">
      <c r="G6561" s="31"/>
      <c r="H6561" s="31"/>
      <c r="I6561" s="31"/>
      <c r="J6561" s="31"/>
    </row>
    <row r="6562" spans="7:10" s="29" customFormat="1" x14ac:dyDescent="0.2">
      <c r="G6562" s="31"/>
      <c r="H6562" s="31"/>
      <c r="I6562" s="31"/>
      <c r="J6562" s="31"/>
    </row>
    <row r="6563" spans="7:10" s="29" customFormat="1" x14ac:dyDescent="0.2">
      <c r="G6563" s="31"/>
      <c r="H6563" s="31"/>
      <c r="I6563" s="31"/>
      <c r="J6563" s="31"/>
    </row>
    <row r="6564" spans="7:10" s="29" customFormat="1" x14ac:dyDescent="0.2">
      <c r="G6564" s="31"/>
      <c r="H6564" s="31"/>
      <c r="I6564" s="31"/>
      <c r="J6564" s="31"/>
    </row>
    <row r="6565" spans="7:10" s="29" customFormat="1" x14ac:dyDescent="0.2">
      <c r="G6565" s="31"/>
      <c r="H6565" s="31"/>
      <c r="I6565" s="31"/>
      <c r="J6565" s="31"/>
    </row>
    <row r="6566" spans="7:10" s="29" customFormat="1" x14ac:dyDescent="0.2">
      <c r="G6566" s="31"/>
      <c r="H6566" s="31"/>
      <c r="I6566" s="31"/>
      <c r="J6566" s="31"/>
    </row>
    <row r="6567" spans="7:10" s="29" customFormat="1" x14ac:dyDescent="0.2">
      <c r="G6567" s="31"/>
      <c r="H6567" s="31"/>
      <c r="I6567" s="31"/>
      <c r="J6567" s="31"/>
    </row>
    <row r="6568" spans="7:10" s="29" customFormat="1" x14ac:dyDescent="0.2">
      <c r="G6568" s="31"/>
      <c r="H6568" s="31"/>
      <c r="I6568" s="31"/>
      <c r="J6568" s="31"/>
    </row>
    <row r="6569" spans="7:10" s="29" customFormat="1" x14ac:dyDescent="0.2">
      <c r="G6569" s="31"/>
      <c r="H6569" s="31"/>
      <c r="I6569" s="31"/>
      <c r="J6569" s="31"/>
    </row>
    <row r="6570" spans="7:10" s="29" customFormat="1" x14ac:dyDescent="0.2">
      <c r="G6570" s="31"/>
      <c r="H6570" s="31"/>
      <c r="I6570" s="31"/>
      <c r="J6570" s="31"/>
    </row>
    <row r="6571" spans="7:10" s="29" customFormat="1" x14ac:dyDescent="0.2">
      <c r="G6571" s="31"/>
      <c r="H6571" s="31"/>
      <c r="I6571" s="31"/>
      <c r="J6571" s="31"/>
    </row>
    <row r="6572" spans="7:10" s="29" customFormat="1" x14ac:dyDescent="0.2">
      <c r="G6572" s="31"/>
      <c r="H6572" s="31"/>
      <c r="I6572" s="31"/>
      <c r="J6572" s="31"/>
    </row>
    <row r="6573" spans="7:10" s="29" customFormat="1" x14ac:dyDescent="0.2">
      <c r="G6573" s="31"/>
      <c r="H6573" s="31"/>
      <c r="I6573" s="31"/>
      <c r="J6573" s="31"/>
    </row>
    <row r="6574" spans="7:10" s="29" customFormat="1" x14ac:dyDescent="0.2">
      <c r="G6574" s="31"/>
      <c r="H6574" s="31"/>
      <c r="I6574" s="31"/>
      <c r="J6574" s="31"/>
    </row>
    <row r="6575" spans="7:10" s="29" customFormat="1" x14ac:dyDescent="0.2">
      <c r="G6575" s="31"/>
      <c r="H6575" s="31"/>
      <c r="I6575" s="31"/>
      <c r="J6575" s="31"/>
    </row>
    <row r="6576" spans="7:10" s="29" customFormat="1" x14ac:dyDescent="0.2">
      <c r="G6576" s="31"/>
      <c r="H6576" s="31"/>
      <c r="I6576" s="31"/>
      <c r="J6576" s="31"/>
    </row>
    <row r="6577" spans="7:10" s="29" customFormat="1" x14ac:dyDescent="0.2">
      <c r="G6577" s="31"/>
      <c r="H6577" s="31"/>
      <c r="I6577" s="31"/>
      <c r="J6577" s="31"/>
    </row>
    <row r="6578" spans="7:10" s="29" customFormat="1" x14ac:dyDescent="0.2">
      <c r="G6578" s="31"/>
      <c r="H6578" s="31"/>
      <c r="I6578" s="31"/>
      <c r="J6578" s="31"/>
    </row>
    <row r="6579" spans="7:10" s="29" customFormat="1" x14ac:dyDescent="0.2">
      <c r="G6579" s="31"/>
      <c r="H6579" s="31"/>
      <c r="I6579" s="31"/>
      <c r="J6579" s="31"/>
    </row>
    <row r="6580" spans="7:10" s="29" customFormat="1" x14ac:dyDescent="0.2">
      <c r="G6580" s="31"/>
      <c r="H6580" s="31"/>
      <c r="I6580" s="31"/>
      <c r="J6580" s="31"/>
    </row>
    <row r="6581" spans="7:10" s="29" customFormat="1" x14ac:dyDescent="0.2">
      <c r="G6581" s="31"/>
      <c r="H6581" s="31"/>
      <c r="I6581" s="31"/>
      <c r="J6581" s="31"/>
    </row>
    <row r="6582" spans="7:10" s="29" customFormat="1" x14ac:dyDescent="0.2">
      <c r="G6582" s="31"/>
      <c r="H6582" s="31"/>
      <c r="I6582" s="31"/>
      <c r="J6582" s="31"/>
    </row>
    <row r="6583" spans="7:10" s="29" customFormat="1" x14ac:dyDescent="0.2">
      <c r="G6583" s="31"/>
      <c r="H6583" s="31"/>
      <c r="I6583" s="31"/>
      <c r="J6583" s="31"/>
    </row>
    <row r="6584" spans="7:10" s="29" customFormat="1" x14ac:dyDescent="0.2">
      <c r="G6584" s="31"/>
      <c r="H6584" s="31"/>
      <c r="I6584" s="31"/>
      <c r="J6584" s="31"/>
    </row>
    <row r="6585" spans="7:10" s="29" customFormat="1" x14ac:dyDescent="0.2">
      <c r="G6585" s="31"/>
      <c r="H6585" s="31"/>
      <c r="I6585" s="31"/>
      <c r="J6585" s="31"/>
    </row>
    <row r="6586" spans="7:10" s="29" customFormat="1" x14ac:dyDescent="0.2">
      <c r="G6586" s="31"/>
      <c r="H6586" s="31"/>
      <c r="I6586" s="31"/>
      <c r="J6586" s="31"/>
    </row>
    <row r="6587" spans="7:10" s="29" customFormat="1" x14ac:dyDescent="0.2">
      <c r="G6587" s="31"/>
      <c r="H6587" s="31"/>
      <c r="I6587" s="31"/>
      <c r="J6587" s="31"/>
    </row>
    <row r="6588" spans="7:10" s="29" customFormat="1" x14ac:dyDescent="0.2">
      <c r="G6588" s="31"/>
      <c r="H6588" s="31"/>
      <c r="I6588" s="31"/>
      <c r="J6588" s="31"/>
    </row>
    <row r="6589" spans="7:10" s="29" customFormat="1" x14ac:dyDescent="0.2">
      <c r="G6589" s="31"/>
      <c r="H6589" s="31"/>
      <c r="I6589" s="31"/>
      <c r="J6589" s="31"/>
    </row>
    <row r="6590" spans="7:10" s="29" customFormat="1" x14ac:dyDescent="0.2">
      <c r="G6590" s="31"/>
      <c r="H6590" s="31"/>
      <c r="I6590" s="31"/>
      <c r="J6590" s="31"/>
    </row>
    <row r="6591" spans="7:10" s="29" customFormat="1" x14ac:dyDescent="0.2">
      <c r="G6591" s="31"/>
      <c r="H6591" s="31"/>
      <c r="I6591" s="31"/>
      <c r="J6591" s="31"/>
    </row>
    <row r="6592" spans="7:10" s="29" customFormat="1" x14ac:dyDescent="0.2">
      <c r="G6592" s="31"/>
      <c r="H6592" s="31"/>
      <c r="I6592" s="31"/>
      <c r="J6592" s="31"/>
    </row>
    <row r="6593" spans="7:10" s="29" customFormat="1" x14ac:dyDescent="0.2">
      <c r="G6593" s="31"/>
      <c r="H6593" s="31"/>
      <c r="I6593" s="31"/>
      <c r="J6593" s="31"/>
    </row>
    <row r="6594" spans="7:10" s="29" customFormat="1" x14ac:dyDescent="0.2">
      <c r="G6594" s="31"/>
      <c r="H6594" s="31"/>
      <c r="I6594" s="31"/>
      <c r="J6594" s="31"/>
    </row>
    <row r="6595" spans="7:10" s="29" customFormat="1" x14ac:dyDescent="0.2">
      <c r="G6595" s="31"/>
      <c r="H6595" s="31"/>
      <c r="I6595" s="31"/>
      <c r="J6595" s="31"/>
    </row>
    <row r="6596" spans="7:10" s="29" customFormat="1" x14ac:dyDescent="0.2">
      <c r="G6596" s="31"/>
      <c r="H6596" s="31"/>
      <c r="I6596" s="31"/>
      <c r="J6596" s="31"/>
    </row>
    <row r="6597" spans="7:10" s="29" customFormat="1" x14ac:dyDescent="0.2">
      <c r="G6597" s="31"/>
      <c r="H6597" s="31"/>
      <c r="I6597" s="31"/>
      <c r="J6597" s="31"/>
    </row>
    <row r="6598" spans="7:10" s="29" customFormat="1" x14ac:dyDescent="0.2">
      <c r="G6598" s="31"/>
      <c r="H6598" s="31"/>
      <c r="I6598" s="31"/>
      <c r="J6598" s="31"/>
    </row>
    <row r="6599" spans="7:10" s="29" customFormat="1" x14ac:dyDescent="0.2">
      <c r="G6599" s="31"/>
      <c r="H6599" s="31"/>
      <c r="I6599" s="31"/>
      <c r="J6599" s="31"/>
    </row>
    <row r="6600" spans="7:10" s="29" customFormat="1" x14ac:dyDescent="0.2">
      <c r="G6600" s="31"/>
      <c r="H6600" s="31"/>
      <c r="I6600" s="31"/>
      <c r="J6600" s="31"/>
    </row>
    <row r="6601" spans="7:10" s="29" customFormat="1" x14ac:dyDescent="0.2">
      <c r="G6601" s="31"/>
      <c r="H6601" s="31"/>
      <c r="I6601" s="31"/>
      <c r="J6601" s="31"/>
    </row>
    <row r="6602" spans="7:10" s="29" customFormat="1" x14ac:dyDescent="0.2">
      <c r="G6602" s="31"/>
      <c r="H6602" s="31"/>
      <c r="I6602" s="31"/>
      <c r="J6602" s="31"/>
    </row>
    <row r="6603" spans="7:10" s="29" customFormat="1" x14ac:dyDescent="0.2">
      <c r="G6603" s="31"/>
      <c r="H6603" s="31"/>
      <c r="I6603" s="31"/>
      <c r="J6603" s="31"/>
    </row>
    <row r="6604" spans="7:10" s="29" customFormat="1" x14ac:dyDescent="0.2">
      <c r="G6604" s="31"/>
      <c r="H6604" s="31"/>
      <c r="I6604" s="31"/>
      <c r="J6604" s="31"/>
    </row>
    <row r="6605" spans="7:10" s="29" customFormat="1" x14ac:dyDescent="0.2">
      <c r="G6605" s="31"/>
      <c r="H6605" s="31"/>
      <c r="I6605" s="31"/>
      <c r="J6605" s="31"/>
    </row>
    <row r="6606" spans="7:10" s="29" customFormat="1" x14ac:dyDescent="0.2">
      <c r="G6606" s="31"/>
      <c r="H6606" s="31"/>
      <c r="I6606" s="31"/>
      <c r="J6606" s="31"/>
    </row>
    <row r="6607" spans="7:10" s="29" customFormat="1" x14ac:dyDescent="0.2">
      <c r="G6607" s="31"/>
      <c r="H6607" s="31"/>
      <c r="I6607" s="31"/>
      <c r="J6607" s="31"/>
    </row>
    <row r="6608" spans="7:10" s="29" customFormat="1" x14ac:dyDescent="0.2">
      <c r="G6608" s="31"/>
      <c r="H6608" s="31"/>
      <c r="I6608" s="31"/>
      <c r="J6608" s="31"/>
    </row>
    <row r="6609" spans="7:10" s="29" customFormat="1" x14ac:dyDescent="0.2">
      <c r="G6609" s="31"/>
      <c r="H6609" s="31"/>
      <c r="I6609" s="31"/>
      <c r="J6609" s="31"/>
    </row>
    <row r="6610" spans="7:10" s="29" customFormat="1" x14ac:dyDescent="0.2">
      <c r="G6610" s="31"/>
      <c r="H6610" s="31"/>
      <c r="I6610" s="31"/>
      <c r="J6610" s="31"/>
    </row>
    <row r="6611" spans="7:10" s="29" customFormat="1" x14ac:dyDescent="0.2">
      <c r="G6611" s="31"/>
      <c r="H6611" s="31"/>
      <c r="I6611" s="31"/>
      <c r="J6611" s="31"/>
    </row>
    <row r="6612" spans="7:10" s="29" customFormat="1" x14ac:dyDescent="0.2">
      <c r="G6612" s="31"/>
      <c r="H6612" s="31"/>
      <c r="I6612" s="31"/>
      <c r="J6612" s="31"/>
    </row>
    <row r="6613" spans="7:10" s="29" customFormat="1" x14ac:dyDescent="0.2">
      <c r="G6613" s="31"/>
      <c r="H6613" s="31"/>
      <c r="I6613" s="31"/>
      <c r="J6613" s="31"/>
    </row>
    <row r="6614" spans="7:10" s="29" customFormat="1" x14ac:dyDescent="0.2">
      <c r="G6614" s="31"/>
      <c r="H6614" s="31"/>
      <c r="I6614" s="31"/>
      <c r="J6614" s="31"/>
    </row>
    <row r="6615" spans="7:10" s="29" customFormat="1" x14ac:dyDescent="0.2">
      <c r="G6615" s="31"/>
      <c r="H6615" s="31"/>
      <c r="I6615" s="31"/>
      <c r="J6615" s="31"/>
    </row>
    <row r="6616" spans="7:10" s="29" customFormat="1" x14ac:dyDescent="0.2">
      <c r="G6616" s="31"/>
      <c r="H6616" s="31"/>
      <c r="I6616" s="31"/>
      <c r="J6616" s="31"/>
    </row>
    <row r="6617" spans="7:10" s="29" customFormat="1" x14ac:dyDescent="0.2">
      <c r="G6617" s="31"/>
      <c r="H6617" s="31"/>
      <c r="I6617" s="31"/>
      <c r="J6617" s="31"/>
    </row>
    <row r="6618" spans="7:10" s="29" customFormat="1" x14ac:dyDescent="0.2">
      <c r="G6618" s="31"/>
      <c r="H6618" s="31"/>
      <c r="I6618" s="31"/>
      <c r="J6618" s="31"/>
    </row>
    <row r="6619" spans="7:10" s="29" customFormat="1" x14ac:dyDescent="0.2">
      <c r="G6619" s="31"/>
      <c r="H6619" s="31"/>
      <c r="I6619" s="31"/>
      <c r="J6619" s="31"/>
    </row>
    <row r="6620" spans="7:10" s="29" customFormat="1" x14ac:dyDescent="0.2">
      <c r="G6620" s="31"/>
      <c r="H6620" s="31"/>
      <c r="I6620" s="31"/>
      <c r="J6620" s="31"/>
    </row>
    <row r="6621" spans="7:10" s="29" customFormat="1" x14ac:dyDescent="0.2">
      <c r="G6621" s="31"/>
      <c r="H6621" s="31"/>
      <c r="I6621" s="31"/>
      <c r="J6621" s="31"/>
    </row>
    <row r="6622" spans="7:10" s="29" customFormat="1" x14ac:dyDescent="0.2">
      <c r="G6622" s="31"/>
      <c r="H6622" s="31"/>
      <c r="I6622" s="31"/>
      <c r="J6622" s="31"/>
    </row>
    <row r="6623" spans="7:10" s="29" customFormat="1" x14ac:dyDescent="0.2">
      <c r="G6623" s="31"/>
      <c r="H6623" s="31"/>
      <c r="I6623" s="31"/>
      <c r="J6623" s="31"/>
    </row>
    <row r="6624" spans="7:10" s="29" customFormat="1" x14ac:dyDescent="0.2">
      <c r="G6624" s="31"/>
      <c r="H6624" s="31"/>
      <c r="I6624" s="31"/>
      <c r="J6624" s="31"/>
    </row>
    <row r="6625" spans="7:10" s="29" customFormat="1" x14ac:dyDescent="0.2">
      <c r="G6625" s="31"/>
      <c r="H6625" s="31"/>
      <c r="I6625" s="31"/>
      <c r="J6625" s="31"/>
    </row>
    <row r="6626" spans="7:10" s="29" customFormat="1" x14ac:dyDescent="0.2">
      <c r="G6626" s="31"/>
      <c r="H6626" s="31"/>
      <c r="I6626" s="31"/>
      <c r="J6626" s="31"/>
    </row>
    <row r="6627" spans="7:10" s="29" customFormat="1" x14ac:dyDescent="0.2">
      <c r="G6627" s="31"/>
      <c r="H6627" s="31"/>
      <c r="I6627" s="31"/>
      <c r="J6627" s="31"/>
    </row>
    <row r="6628" spans="7:10" s="29" customFormat="1" x14ac:dyDescent="0.2">
      <c r="G6628" s="31"/>
      <c r="H6628" s="31"/>
      <c r="I6628" s="31"/>
      <c r="J6628" s="31"/>
    </row>
    <row r="6629" spans="7:10" s="29" customFormat="1" x14ac:dyDescent="0.2">
      <c r="G6629" s="31"/>
      <c r="H6629" s="31"/>
      <c r="I6629" s="31"/>
      <c r="J6629" s="31"/>
    </row>
    <row r="6630" spans="7:10" s="29" customFormat="1" x14ac:dyDescent="0.2">
      <c r="G6630" s="31"/>
      <c r="H6630" s="31"/>
      <c r="I6630" s="31"/>
      <c r="J6630" s="31"/>
    </row>
    <row r="6631" spans="7:10" s="29" customFormat="1" x14ac:dyDescent="0.2">
      <c r="G6631" s="31"/>
      <c r="H6631" s="31"/>
      <c r="I6631" s="31"/>
      <c r="J6631" s="31"/>
    </row>
    <row r="6632" spans="7:10" s="29" customFormat="1" x14ac:dyDescent="0.2">
      <c r="G6632" s="31"/>
      <c r="H6632" s="31"/>
      <c r="I6632" s="31"/>
      <c r="J6632" s="31"/>
    </row>
    <row r="6633" spans="7:10" s="29" customFormat="1" x14ac:dyDescent="0.2">
      <c r="G6633" s="31"/>
      <c r="H6633" s="31"/>
      <c r="I6633" s="31"/>
      <c r="J6633" s="31"/>
    </row>
    <row r="6634" spans="7:10" s="29" customFormat="1" x14ac:dyDescent="0.2">
      <c r="G6634" s="31"/>
      <c r="H6634" s="31"/>
      <c r="I6634" s="31"/>
      <c r="J6634" s="31"/>
    </row>
    <row r="6635" spans="7:10" s="29" customFormat="1" x14ac:dyDescent="0.2">
      <c r="G6635" s="31"/>
      <c r="H6635" s="31"/>
      <c r="I6635" s="31"/>
      <c r="J6635" s="31"/>
    </row>
    <row r="6636" spans="7:10" s="29" customFormat="1" x14ac:dyDescent="0.2">
      <c r="G6636" s="31"/>
      <c r="H6636" s="31"/>
      <c r="I6636" s="31"/>
      <c r="J6636" s="31"/>
    </row>
    <row r="6637" spans="7:10" s="29" customFormat="1" x14ac:dyDescent="0.2">
      <c r="G6637" s="31"/>
      <c r="H6637" s="31"/>
      <c r="I6637" s="31"/>
      <c r="J6637" s="31"/>
    </row>
    <row r="6638" spans="7:10" s="29" customFormat="1" x14ac:dyDescent="0.2">
      <c r="G6638" s="31"/>
      <c r="H6638" s="31"/>
      <c r="I6638" s="31"/>
      <c r="J6638" s="31"/>
    </row>
    <row r="6639" spans="7:10" s="29" customFormat="1" x14ac:dyDescent="0.2">
      <c r="G6639" s="31"/>
      <c r="H6639" s="31"/>
      <c r="I6639" s="31"/>
      <c r="J6639" s="31"/>
    </row>
    <row r="6640" spans="7:10" s="29" customFormat="1" x14ac:dyDescent="0.2">
      <c r="G6640" s="31"/>
      <c r="H6640" s="31"/>
      <c r="I6640" s="31"/>
      <c r="J6640" s="31"/>
    </row>
    <row r="6641" spans="7:10" s="29" customFormat="1" x14ac:dyDescent="0.2">
      <c r="G6641" s="31"/>
      <c r="H6641" s="31"/>
      <c r="I6641" s="31"/>
      <c r="J6641" s="31"/>
    </row>
    <row r="6642" spans="7:10" s="29" customFormat="1" x14ac:dyDescent="0.2">
      <c r="G6642" s="31"/>
      <c r="H6642" s="31"/>
      <c r="I6642" s="31"/>
      <c r="J6642" s="31"/>
    </row>
    <row r="6643" spans="7:10" s="29" customFormat="1" x14ac:dyDescent="0.2">
      <c r="G6643" s="31"/>
      <c r="H6643" s="31"/>
      <c r="I6643" s="31"/>
      <c r="J6643" s="31"/>
    </row>
    <row r="6644" spans="7:10" s="29" customFormat="1" x14ac:dyDescent="0.2">
      <c r="G6644" s="31"/>
      <c r="H6644" s="31"/>
      <c r="I6644" s="31"/>
      <c r="J6644" s="31"/>
    </row>
    <row r="6645" spans="7:10" s="29" customFormat="1" x14ac:dyDescent="0.2">
      <c r="G6645" s="31"/>
      <c r="H6645" s="31"/>
      <c r="I6645" s="31"/>
      <c r="J6645" s="31"/>
    </row>
    <row r="6646" spans="7:10" s="29" customFormat="1" x14ac:dyDescent="0.2">
      <c r="G6646" s="31"/>
      <c r="H6646" s="31"/>
      <c r="I6646" s="31"/>
      <c r="J6646" s="31"/>
    </row>
    <row r="6647" spans="7:10" s="29" customFormat="1" x14ac:dyDescent="0.2">
      <c r="G6647" s="31"/>
      <c r="H6647" s="31"/>
      <c r="I6647" s="31"/>
      <c r="J6647" s="31"/>
    </row>
    <row r="6648" spans="7:10" s="29" customFormat="1" x14ac:dyDescent="0.2">
      <c r="G6648" s="31"/>
      <c r="H6648" s="31"/>
      <c r="I6648" s="31"/>
      <c r="J6648" s="31"/>
    </row>
    <row r="6649" spans="7:10" s="29" customFormat="1" x14ac:dyDescent="0.2">
      <c r="G6649" s="31"/>
      <c r="H6649" s="31"/>
      <c r="I6649" s="31"/>
      <c r="J6649" s="31"/>
    </row>
    <row r="6650" spans="7:10" s="29" customFormat="1" x14ac:dyDescent="0.2">
      <c r="G6650" s="31"/>
      <c r="H6650" s="31"/>
      <c r="I6650" s="31"/>
      <c r="J6650" s="31"/>
    </row>
    <row r="6651" spans="7:10" s="29" customFormat="1" x14ac:dyDescent="0.2">
      <c r="G6651" s="31"/>
      <c r="H6651" s="31"/>
      <c r="I6651" s="31"/>
      <c r="J6651" s="31"/>
    </row>
    <row r="6652" spans="7:10" s="29" customFormat="1" x14ac:dyDescent="0.2">
      <c r="G6652" s="31"/>
      <c r="H6652" s="31"/>
      <c r="I6652" s="31"/>
      <c r="J6652" s="31"/>
    </row>
    <row r="6653" spans="7:10" s="29" customFormat="1" x14ac:dyDescent="0.2">
      <c r="G6653" s="31"/>
      <c r="H6653" s="31"/>
      <c r="I6653" s="31"/>
      <c r="J6653" s="31"/>
    </row>
    <row r="6654" spans="7:10" s="29" customFormat="1" x14ac:dyDescent="0.2">
      <c r="G6654" s="31"/>
      <c r="H6654" s="31"/>
      <c r="I6654" s="31"/>
      <c r="J6654" s="31"/>
    </row>
    <row r="6655" spans="7:10" s="29" customFormat="1" x14ac:dyDescent="0.2">
      <c r="G6655" s="31"/>
      <c r="H6655" s="31"/>
      <c r="I6655" s="31"/>
      <c r="J6655" s="31"/>
    </row>
    <row r="6656" spans="7:10" s="29" customFormat="1" x14ac:dyDescent="0.2">
      <c r="G6656" s="31"/>
      <c r="H6656" s="31"/>
      <c r="I6656" s="31"/>
      <c r="J6656" s="31"/>
    </row>
    <row r="6657" spans="7:10" s="29" customFormat="1" x14ac:dyDescent="0.2">
      <c r="G6657" s="31"/>
      <c r="H6657" s="31"/>
      <c r="I6657" s="31"/>
      <c r="J6657" s="31"/>
    </row>
    <row r="6658" spans="7:10" s="29" customFormat="1" x14ac:dyDescent="0.2">
      <c r="G6658" s="31"/>
      <c r="H6658" s="31"/>
      <c r="I6658" s="31"/>
      <c r="J6658" s="31"/>
    </row>
    <row r="6659" spans="7:10" s="29" customFormat="1" x14ac:dyDescent="0.2">
      <c r="G6659" s="31"/>
      <c r="H6659" s="31"/>
      <c r="I6659" s="31"/>
      <c r="J6659" s="31"/>
    </row>
    <row r="6660" spans="7:10" s="29" customFormat="1" x14ac:dyDescent="0.2">
      <c r="G6660" s="31"/>
      <c r="H6660" s="31"/>
      <c r="I6660" s="31"/>
      <c r="J6660" s="31"/>
    </row>
    <row r="6661" spans="7:10" s="29" customFormat="1" x14ac:dyDescent="0.2">
      <c r="G6661" s="31"/>
      <c r="H6661" s="31"/>
      <c r="I6661" s="31"/>
      <c r="J6661" s="31"/>
    </row>
    <row r="6662" spans="7:10" s="29" customFormat="1" x14ac:dyDescent="0.2">
      <c r="G6662" s="31"/>
      <c r="H6662" s="31"/>
      <c r="I6662" s="31"/>
      <c r="J6662" s="31"/>
    </row>
    <row r="6663" spans="7:10" s="29" customFormat="1" x14ac:dyDescent="0.2">
      <c r="G6663" s="31"/>
      <c r="H6663" s="31"/>
      <c r="I6663" s="31"/>
      <c r="J6663" s="31"/>
    </row>
    <row r="6664" spans="7:10" s="29" customFormat="1" x14ac:dyDescent="0.2">
      <c r="G6664" s="31"/>
      <c r="H6664" s="31"/>
      <c r="I6664" s="31"/>
      <c r="J6664" s="31"/>
    </row>
    <row r="6665" spans="7:10" s="29" customFormat="1" x14ac:dyDescent="0.2">
      <c r="G6665" s="31"/>
      <c r="H6665" s="31"/>
      <c r="I6665" s="31"/>
      <c r="J6665" s="31"/>
    </row>
    <row r="6666" spans="7:10" s="29" customFormat="1" x14ac:dyDescent="0.2">
      <c r="G6666" s="31"/>
      <c r="H6666" s="31"/>
      <c r="I6666" s="31"/>
      <c r="J6666" s="31"/>
    </row>
    <row r="6667" spans="7:10" s="29" customFormat="1" x14ac:dyDescent="0.2">
      <c r="G6667" s="31"/>
      <c r="H6667" s="31"/>
      <c r="I6667" s="31"/>
      <c r="J6667" s="31"/>
    </row>
    <row r="6668" spans="7:10" s="29" customFormat="1" x14ac:dyDescent="0.2">
      <c r="G6668" s="31"/>
      <c r="H6668" s="31"/>
      <c r="I6668" s="31"/>
      <c r="J6668" s="31"/>
    </row>
    <row r="6669" spans="7:10" s="29" customFormat="1" x14ac:dyDescent="0.2">
      <c r="G6669" s="31"/>
      <c r="H6669" s="31"/>
      <c r="I6669" s="31"/>
      <c r="J6669" s="31"/>
    </row>
    <row r="6670" spans="7:10" s="29" customFormat="1" x14ac:dyDescent="0.2">
      <c r="G6670" s="31"/>
      <c r="H6670" s="31"/>
      <c r="I6670" s="31"/>
      <c r="J6670" s="31"/>
    </row>
    <row r="6671" spans="7:10" s="29" customFormat="1" x14ac:dyDescent="0.2">
      <c r="G6671" s="31"/>
      <c r="H6671" s="31"/>
      <c r="I6671" s="31"/>
      <c r="J6671" s="31"/>
    </row>
    <row r="6672" spans="7:10" s="29" customFormat="1" x14ac:dyDescent="0.2">
      <c r="G6672" s="31"/>
      <c r="H6672" s="31"/>
      <c r="I6672" s="31"/>
      <c r="J6672" s="31"/>
    </row>
    <row r="6673" spans="7:10" s="29" customFormat="1" x14ac:dyDescent="0.2">
      <c r="G6673" s="31"/>
      <c r="H6673" s="31"/>
      <c r="I6673" s="31"/>
      <c r="J6673" s="31"/>
    </row>
    <row r="6674" spans="7:10" s="29" customFormat="1" x14ac:dyDescent="0.2">
      <c r="G6674" s="31"/>
      <c r="H6674" s="31"/>
      <c r="I6674" s="31"/>
      <c r="J6674" s="31"/>
    </row>
    <row r="6675" spans="7:10" s="29" customFormat="1" x14ac:dyDescent="0.2">
      <c r="G6675" s="31"/>
      <c r="H6675" s="31"/>
      <c r="I6675" s="31"/>
      <c r="J6675" s="31"/>
    </row>
    <row r="6676" spans="7:10" s="29" customFormat="1" x14ac:dyDescent="0.2">
      <c r="G6676" s="31"/>
      <c r="H6676" s="31"/>
      <c r="I6676" s="31"/>
      <c r="J6676" s="31"/>
    </row>
    <row r="6677" spans="7:10" s="29" customFormat="1" x14ac:dyDescent="0.2">
      <c r="G6677" s="31"/>
      <c r="H6677" s="31"/>
      <c r="I6677" s="31"/>
      <c r="J6677" s="31"/>
    </row>
    <row r="6678" spans="7:10" s="29" customFormat="1" x14ac:dyDescent="0.2">
      <c r="G6678" s="31"/>
      <c r="H6678" s="31"/>
      <c r="I6678" s="31"/>
      <c r="J6678" s="31"/>
    </row>
    <row r="6679" spans="7:10" s="29" customFormat="1" x14ac:dyDescent="0.2">
      <c r="G6679" s="31"/>
      <c r="H6679" s="31"/>
      <c r="I6679" s="31"/>
      <c r="J6679" s="31"/>
    </row>
    <row r="6680" spans="7:10" s="29" customFormat="1" x14ac:dyDescent="0.2">
      <c r="G6680" s="31"/>
      <c r="H6680" s="31"/>
      <c r="I6680" s="31"/>
      <c r="J6680" s="31"/>
    </row>
    <row r="6681" spans="7:10" s="29" customFormat="1" x14ac:dyDescent="0.2">
      <c r="G6681" s="31"/>
      <c r="H6681" s="31"/>
      <c r="I6681" s="31"/>
      <c r="J6681" s="31"/>
    </row>
    <row r="6682" spans="7:10" s="29" customFormat="1" x14ac:dyDescent="0.2">
      <c r="G6682" s="31"/>
      <c r="H6682" s="31"/>
      <c r="I6682" s="31"/>
      <c r="J6682" s="31"/>
    </row>
    <row r="6683" spans="7:10" s="29" customFormat="1" x14ac:dyDescent="0.2">
      <c r="G6683" s="31"/>
      <c r="H6683" s="31"/>
      <c r="I6683" s="31"/>
      <c r="J6683" s="31"/>
    </row>
    <row r="6684" spans="7:10" s="29" customFormat="1" x14ac:dyDescent="0.2">
      <c r="G6684" s="31"/>
      <c r="H6684" s="31"/>
      <c r="I6684" s="31"/>
      <c r="J6684" s="31"/>
    </row>
    <row r="6685" spans="7:10" s="29" customFormat="1" x14ac:dyDescent="0.2">
      <c r="G6685" s="31"/>
      <c r="H6685" s="31"/>
      <c r="I6685" s="31"/>
      <c r="J6685" s="31"/>
    </row>
    <row r="6686" spans="7:10" s="29" customFormat="1" x14ac:dyDescent="0.2">
      <c r="G6686" s="31"/>
      <c r="H6686" s="31"/>
      <c r="I6686" s="31"/>
      <c r="J6686" s="31"/>
    </row>
    <row r="6687" spans="7:10" s="29" customFormat="1" x14ac:dyDescent="0.2">
      <c r="G6687" s="31"/>
      <c r="H6687" s="31"/>
      <c r="I6687" s="31"/>
      <c r="J6687" s="31"/>
    </row>
    <row r="6688" spans="7:10" s="29" customFormat="1" x14ac:dyDescent="0.2">
      <c r="G6688" s="31"/>
      <c r="H6688" s="31"/>
      <c r="I6688" s="31"/>
      <c r="J6688" s="31"/>
    </row>
    <row r="6689" spans="7:10" s="29" customFormat="1" x14ac:dyDescent="0.2">
      <c r="G6689" s="31"/>
      <c r="H6689" s="31"/>
      <c r="I6689" s="31"/>
      <c r="J6689" s="31"/>
    </row>
    <row r="6690" spans="7:10" s="29" customFormat="1" x14ac:dyDescent="0.2">
      <c r="G6690" s="31"/>
      <c r="H6690" s="31"/>
      <c r="I6690" s="31"/>
      <c r="J6690" s="31"/>
    </row>
    <row r="6691" spans="7:10" s="29" customFormat="1" x14ac:dyDescent="0.2">
      <c r="G6691" s="31"/>
      <c r="H6691" s="31"/>
      <c r="I6691" s="31"/>
      <c r="J6691" s="31"/>
    </row>
    <row r="6692" spans="7:10" s="29" customFormat="1" x14ac:dyDescent="0.2">
      <c r="G6692" s="31"/>
      <c r="H6692" s="31"/>
      <c r="I6692" s="31"/>
      <c r="J6692" s="31"/>
    </row>
    <row r="6693" spans="7:10" s="29" customFormat="1" x14ac:dyDescent="0.2">
      <c r="G6693" s="31"/>
      <c r="H6693" s="31"/>
      <c r="I6693" s="31"/>
      <c r="J6693" s="31"/>
    </row>
    <row r="6694" spans="7:10" s="29" customFormat="1" x14ac:dyDescent="0.2">
      <c r="G6694" s="31"/>
      <c r="H6694" s="31"/>
      <c r="I6694" s="31"/>
      <c r="J6694" s="31"/>
    </row>
    <row r="6695" spans="7:10" s="29" customFormat="1" x14ac:dyDescent="0.2">
      <c r="G6695" s="31"/>
      <c r="H6695" s="31"/>
      <c r="I6695" s="31"/>
      <c r="J6695" s="31"/>
    </row>
    <row r="6696" spans="7:10" s="29" customFormat="1" x14ac:dyDescent="0.2">
      <c r="G6696" s="31"/>
      <c r="H6696" s="31"/>
      <c r="I6696" s="31"/>
      <c r="J6696" s="31"/>
    </row>
    <row r="6697" spans="7:10" s="29" customFormat="1" x14ac:dyDescent="0.2">
      <c r="G6697" s="31"/>
      <c r="H6697" s="31"/>
      <c r="I6697" s="31"/>
      <c r="J6697" s="31"/>
    </row>
    <row r="6698" spans="7:10" s="29" customFormat="1" x14ac:dyDescent="0.2">
      <c r="G6698" s="31"/>
      <c r="H6698" s="31"/>
      <c r="I6698" s="31"/>
      <c r="J6698" s="31"/>
    </row>
    <row r="6699" spans="7:10" s="29" customFormat="1" x14ac:dyDescent="0.2">
      <c r="G6699" s="31"/>
      <c r="H6699" s="31"/>
      <c r="I6699" s="31"/>
      <c r="J6699" s="31"/>
    </row>
    <row r="6700" spans="7:10" s="29" customFormat="1" x14ac:dyDescent="0.2">
      <c r="G6700" s="31"/>
      <c r="H6700" s="31"/>
      <c r="I6700" s="31"/>
      <c r="J6700" s="31"/>
    </row>
    <row r="6701" spans="7:10" s="29" customFormat="1" x14ac:dyDescent="0.2">
      <c r="G6701" s="31"/>
      <c r="H6701" s="31"/>
      <c r="I6701" s="31"/>
      <c r="J6701" s="31"/>
    </row>
    <row r="6702" spans="7:10" s="29" customFormat="1" x14ac:dyDescent="0.2">
      <c r="G6702" s="31"/>
      <c r="H6702" s="31"/>
      <c r="I6702" s="31"/>
      <c r="J6702" s="31"/>
    </row>
    <row r="6703" spans="7:10" s="29" customFormat="1" x14ac:dyDescent="0.2">
      <c r="G6703" s="31"/>
      <c r="H6703" s="31"/>
      <c r="I6703" s="31"/>
      <c r="J6703" s="31"/>
    </row>
    <row r="6704" spans="7:10" s="29" customFormat="1" x14ac:dyDescent="0.2">
      <c r="G6704" s="31"/>
      <c r="H6704" s="31"/>
      <c r="I6704" s="31"/>
      <c r="J6704" s="31"/>
    </row>
    <row r="6705" spans="7:10" s="29" customFormat="1" x14ac:dyDescent="0.2">
      <c r="G6705" s="31"/>
      <c r="H6705" s="31"/>
      <c r="I6705" s="31"/>
      <c r="J6705" s="31"/>
    </row>
    <row r="6706" spans="7:10" s="29" customFormat="1" x14ac:dyDescent="0.2">
      <c r="G6706" s="31"/>
      <c r="H6706" s="31"/>
      <c r="I6706" s="31"/>
      <c r="J6706" s="31"/>
    </row>
    <row r="6707" spans="7:10" s="29" customFormat="1" x14ac:dyDescent="0.2">
      <c r="G6707" s="31"/>
      <c r="H6707" s="31"/>
      <c r="I6707" s="31"/>
      <c r="J6707" s="31"/>
    </row>
    <row r="6708" spans="7:10" s="29" customFormat="1" x14ac:dyDescent="0.2">
      <c r="G6708" s="31"/>
      <c r="H6708" s="31"/>
      <c r="I6708" s="31"/>
      <c r="J6708" s="31"/>
    </row>
    <row r="6709" spans="7:10" s="29" customFormat="1" x14ac:dyDescent="0.2">
      <c r="G6709" s="31"/>
      <c r="H6709" s="31"/>
      <c r="I6709" s="31"/>
      <c r="J6709" s="31"/>
    </row>
    <row r="6710" spans="7:10" s="29" customFormat="1" x14ac:dyDescent="0.2">
      <c r="G6710" s="31"/>
      <c r="H6710" s="31"/>
      <c r="I6710" s="31"/>
      <c r="J6710" s="31"/>
    </row>
    <row r="6711" spans="7:10" s="29" customFormat="1" x14ac:dyDescent="0.2">
      <c r="G6711" s="31"/>
      <c r="H6711" s="31"/>
      <c r="I6711" s="31"/>
      <c r="J6711" s="31"/>
    </row>
    <row r="6712" spans="7:10" s="29" customFormat="1" x14ac:dyDescent="0.2">
      <c r="G6712" s="31"/>
      <c r="H6712" s="31"/>
      <c r="I6712" s="31"/>
      <c r="J6712" s="31"/>
    </row>
    <row r="6713" spans="7:10" s="29" customFormat="1" x14ac:dyDescent="0.2">
      <c r="G6713" s="31"/>
      <c r="H6713" s="31"/>
      <c r="I6713" s="31"/>
      <c r="J6713" s="31"/>
    </row>
    <row r="6714" spans="7:10" s="29" customFormat="1" x14ac:dyDescent="0.2">
      <c r="G6714" s="31"/>
      <c r="H6714" s="31"/>
      <c r="I6714" s="31"/>
      <c r="J6714" s="31"/>
    </row>
    <row r="6715" spans="7:10" s="29" customFormat="1" x14ac:dyDescent="0.2">
      <c r="G6715" s="31"/>
      <c r="H6715" s="31"/>
      <c r="I6715" s="31"/>
      <c r="J6715" s="31"/>
    </row>
    <row r="6716" spans="7:10" s="29" customFormat="1" x14ac:dyDescent="0.2">
      <c r="G6716" s="31"/>
      <c r="H6716" s="31"/>
      <c r="I6716" s="31"/>
      <c r="J6716" s="31"/>
    </row>
    <row r="6717" spans="7:10" s="29" customFormat="1" x14ac:dyDescent="0.2">
      <c r="G6717" s="31"/>
      <c r="H6717" s="31"/>
      <c r="I6717" s="31"/>
      <c r="J6717" s="31"/>
    </row>
    <row r="6718" spans="7:10" s="29" customFormat="1" x14ac:dyDescent="0.2">
      <c r="G6718" s="31"/>
      <c r="H6718" s="31"/>
      <c r="I6718" s="31"/>
      <c r="J6718" s="31"/>
    </row>
    <row r="6719" spans="7:10" s="29" customFormat="1" x14ac:dyDescent="0.2">
      <c r="G6719" s="31"/>
      <c r="H6719" s="31"/>
      <c r="I6719" s="31"/>
      <c r="J6719" s="31"/>
    </row>
    <row r="6720" spans="7:10" s="29" customFormat="1" x14ac:dyDescent="0.2">
      <c r="G6720" s="31"/>
      <c r="H6720" s="31"/>
      <c r="I6720" s="31"/>
      <c r="J6720" s="31"/>
    </row>
    <row r="6721" spans="7:10" s="29" customFormat="1" x14ac:dyDescent="0.2">
      <c r="G6721" s="31"/>
      <c r="H6721" s="31"/>
      <c r="I6721" s="31"/>
      <c r="J6721" s="31"/>
    </row>
    <row r="6722" spans="7:10" s="29" customFormat="1" x14ac:dyDescent="0.2">
      <c r="G6722" s="31"/>
      <c r="H6722" s="31"/>
      <c r="I6722" s="31"/>
      <c r="J6722" s="31"/>
    </row>
    <row r="6723" spans="7:10" s="29" customFormat="1" x14ac:dyDescent="0.2">
      <c r="G6723" s="31"/>
      <c r="H6723" s="31"/>
      <c r="I6723" s="31"/>
      <c r="J6723" s="31"/>
    </row>
    <row r="6724" spans="7:10" s="29" customFormat="1" x14ac:dyDescent="0.2">
      <c r="G6724" s="31"/>
      <c r="H6724" s="31"/>
      <c r="I6724" s="31"/>
      <c r="J6724" s="31"/>
    </row>
    <row r="6725" spans="7:10" s="29" customFormat="1" x14ac:dyDescent="0.2">
      <c r="G6725" s="31"/>
      <c r="H6725" s="31"/>
      <c r="I6725" s="31"/>
      <c r="J6725" s="31"/>
    </row>
    <row r="6726" spans="7:10" s="29" customFormat="1" x14ac:dyDescent="0.2">
      <c r="G6726" s="31"/>
      <c r="H6726" s="31"/>
      <c r="I6726" s="31"/>
      <c r="J6726" s="31"/>
    </row>
    <row r="6727" spans="7:10" s="29" customFormat="1" x14ac:dyDescent="0.2">
      <c r="G6727" s="31"/>
      <c r="H6727" s="31"/>
      <c r="I6727" s="31"/>
      <c r="J6727" s="31"/>
    </row>
    <row r="6728" spans="7:10" s="29" customFormat="1" x14ac:dyDescent="0.2">
      <c r="G6728" s="31"/>
      <c r="H6728" s="31"/>
      <c r="I6728" s="31"/>
      <c r="J6728" s="31"/>
    </row>
    <row r="6729" spans="7:10" s="29" customFormat="1" x14ac:dyDescent="0.2">
      <c r="G6729" s="31"/>
      <c r="H6729" s="31"/>
      <c r="I6729" s="31"/>
      <c r="J6729" s="31"/>
    </row>
    <row r="6730" spans="7:10" s="29" customFormat="1" x14ac:dyDescent="0.2">
      <c r="G6730" s="31"/>
      <c r="H6730" s="31"/>
      <c r="I6730" s="31"/>
      <c r="J6730" s="31"/>
    </row>
    <row r="6731" spans="7:10" s="29" customFormat="1" x14ac:dyDescent="0.2">
      <c r="G6731" s="31"/>
      <c r="H6731" s="31"/>
      <c r="I6731" s="31"/>
      <c r="J6731" s="31"/>
    </row>
    <row r="6732" spans="7:10" s="29" customFormat="1" x14ac:dyDescent="0.2">
      <c r="G6732" s="31"/>
      <c r="H6732" s="31"/>
      <c r="I6732" s="31"/>
      <c r="J6732" s="31"/>
    </row>
    <row r="6733" spans="7:10" s="29" customFormat="1" x14ac:dyDescent="0.2">
      <c r="G6733" s="31"/>
      <c r="H6733" s="31"/>
      <c r="I6733" s="31"/>
      <c r="J6733" s="31"/>
    </row>
    <row r="6734" spans="7:10" s="29" customFormat="1" x14ac:dyDescent="0.2">
      <c r="G6734" s="31"/>
      <c r="H6734" s="31"/>
      <c r="I6734" s="31"/>
      <c r="J6734" s="31"/>
    </row>
    <row r="6735" spans="7:10" s="29" customFormat="1" x14ac:dyDescent="0.2">
      <c r="G6735" s="31"/>
      <c r="H6735" s="31"/>
      <c r="I6735" s="31"/>
      <c r="J6735" s="31"/>
    </row>
    <row r="6736" spans="7:10" s="29" customFormat="1" x14ac:dyDescent="0.2">
      <c r="G6736" s="31"/>
      <c r="H6736" s="31"/>
      <c r="I6736" s="31"/>
      <c r="J6736" s="31"/>
    </row>
    <row r="6737" spans="7:10" s="29" customFormat="1" x14ac:dyDescent="0.2">
      <c r="G6737" s="31"/>
      <c r="H6737" s="31"/>
      <c r="I6737" s="31"/>
      <c r="J6737" s="31"/>
    </row>
    <row r="6738" spans="7:10" s="29" customFormat="1" x14ac:dyDescent="0.2">
      <c r="G6738" s="31"/>
      <c r="H6738" s="31"/>
      <c r="I6738" s="31"/>
      <c r="J6738" s="31"/>
    </row>
    <row r="6739" spans="7:10" s="29" customFormat="1" x14ac:dyDescent="0.2">
      <c r="G6739" s="31"/>
      <c r="H6739" s="31"/>
      <c r="I6739" s="31"/>
      <c r="J6739" s="31"/>
    </row>
    <row r="6740" spans="7:10" s="29" customFormat="1" x14ac:dyDescent="0.2">
      <c r="G6740" s="31"/>
      <c r="H6740" s="31"/>
      <c r="I6740" s="31"/>
      <c r="J6740" s="31"/>
    </row>
    <row r="6741" spans="7:10" s="29" customFormat="1" x14ac:dyDescent="0.2">
      <c r="G6741" s="31"/>
      <c r="H6741" s="31"/>
      <c r="I6741" s="31"/>
      <c r="J6741" s="31"/>
    </row>
    <row r="6742" spans="7:10" s="29" customFormat="1" x14ac:dyDescent="0.2">
      <c r="G6742" s="31"/>
      <c r="H6742" s="31"/>
      <c r="I6742" s="31"/>
      <c r="J6742" s="31"/>
    </row>
    <row r="6743" spans="7:10" s="29" customFormat="1" x14ac:dyDescent="0.2">
      <c r="G6743" s="31"/>
      <c r="H6743" s="31"/>
      <c r="I6743" s="31"/>
      <c r="J6743" s="31"/>
    </row>
    <row r="6744" spans="7:10" s="29" customFormat="1" x14ac:dyDescent="0.2">
      <c r="G6744" s="31"/>
      <c r="H6744" s="31"/>
      <c r="I6744" s="31"/>
      <c r="J6744" s="31"/>
    </row>
    <row r="6745" spans="7:10" s="29" customFormat="1" x14ac:dyDescent="0.2">
      <c r="G6745" s="31"/>
      <c r="H6745" s="31"/>
      <c r="I6745" s="31"/>
      <c r="J6745" s="31"/>
    </row>
    <row r="6746" spans="7:10" s="29" customFormat="1" x14ac:dyDescent="0.2">
      <c r="G6746" s="31"/>
      <c r="H6746" s="31"/>
      <c r="I6746" s="31"/>
      <c r="J6746" s="31"/>
    </row>
    <row r="6747" spans="7:10" s="29" customFormat="1" x14ac:dyDescent="0.2">
      <c r="G6747" s="31"/>
      <c r="H6747" s="31"/>
      <c r="I6747" s="31"/>
      <c r="J6747" s="31"/>
    </row>
    <row r="6748" spans="7:10" s="29" customFormat="1" x14ac:dyDescent="0.2">
      <c r="G6748" s="31"/>
      <c r="H6748" s="31"/>
      <c r="I6748" s="31"/>
      <c r="J6748" s="31"/>
    </row>
    <row r="6749" spans="7:10" s="29" customFormat="1" x14ac:dyDescent="0.2">
      <c r="G6749" s="31"/>
      <c r="H6749" s="31"/>
      <c r="I6749" s="31"/>
      <c r="J6749" s="31"/>
    </row>
    <row r="6750" spans="7:10" s="29" customFormat="1" x14ac:dyDescent="0.2">
      <c r="G6750" s="31"/>
      <c r="H6750" s="31"/>
      <c r="I6750" s="31"/>
      <c r="J6750" s="31"/>
    </row>
    <row r="6751" spans="7:10" s="29" customFormat="1" x14ac:dyDescent="0.2">
      <c r="G6751" s="31"/>
      <c r="H6751" s="31"/>
      <c r="I6751" s="31"/>
      <c r="J6751" s="31"/>
    </row>
    <row r="6752" spans="7:10" s="29" customFormat="1" x14ac:dyDescent="0.2">
      <c r="G6752" s="31"/>
      <c r="H6752" s="31"/>
      <c r="I6752" s="31"/>
      <c r="J6752" s="31"/>
    </row>
    <row r="6753" spans="7:10" s="29" customFormat="1" x14ac:dyDescent="0.2">
      <c r="G6753" s="31"/>
      <c r="H6753" s="31"/>
      <c r="I6753" s="31"/>
      <c r="J6753" s="31"/>
    </row>
    <row r="6754" spans="7:10" s="29" customFormat="1" x14ac:dyDescent="0.2">
      <c r="G6754" s="31"/>
      <c r="H6754" s="31"/>
      <c r="I6754" s="31"/>
      <c r="J6754" s="31"/>
    </row>
    <row r="6755" spans="7:10" s="29" customFormat="1" x14ac:dyDescent="0.2">
      <c r="G6755" s="31"/>
      <c r="H6755" s="31"/>
      <c r="I6755" s="31"/>
      <c r="J6755" s="31"/>
    </row>
    <row r="6756" spans="7:10" s="29" customFormat="1" x14ac:dyDescent="0.2">
      <c r="G6756" s="31"/>
      <c r="H6756" s="31"/>
      <c r="I6756" s="31"/>
      <c r="J6756" s="31"/>
    </row>
    <row r="6757" spans="7:10" s="29" customFormat="1" x14ac:dyDescent="0.2">
      <c r="G6757" s="31"/>
      <c r="H6757" s="31"/>
      <c r="I6757" s="31"/>
      <c r="J6757" s="31"/>
    </row>
    <row r="6758" spans="7:10" s="29" customFormat="1" x14ac:dyDescent="0.2">
      <c r="G6758" s="31"/>
      <c r="H6758" s="31"/>
      <c r="I6758" s="31"/>
      <c r="J6758" s="31"/>
    </row>
    <row r="6759" spans="7:10" s="29" customFormat="1" x14ac:dyDescent="0.2">
      <c r="G6759" s="31"/>
      <c r="H6759" s="31"/>
      <c r="I6759" s="31"/>
      <c r="J6759" s="31"/>
    </row>
    <row r="6760" spans="7:10" s="29" customFormat="1" x14ac:dyDescent="0.2">
      <c r="G6760" s="31"/>
      <c r="H6760" s="31"/>
      <c r="I6760" s="31"/>
      <c r="J6760" s="31"/>
    </row>
    <row r="6761" spans="7:10" s="29" customFormat="1" x14ac:dyDescent="0.2">
      <c r="G6761" s="31"/>
      <c r="H6761" s="31"/>
      <c r="I6761" s="31"/>
      <c r="J6761" s="31"/>
    </row>
    <row r="6762" spans="7:10" s="29" customFormat="1" x14ac:dyDescent="0.2">
      <c r="G6762" s="31"/>
      <c r="H6762" s="31"/>
      <c r="I6762" s="31"/>
      <c r="J6762" s="31"/>
    </row>
    <row r="6763" spans="7:10" s="29" customFormat="1" x14ac:dyDescent="0.2">
      <c r="G6763" s="31"/>
      <c r="H6763" s="31"/>
      <c r="I6763" s="31"/>
      <c r="J6763" s="31"/>
    </row>
    <row r="6764" spans="7:10" s="29" customFormat="1" x14ac:dyDescent="0.2">
      <c r="G6764" s="31"/>
      <c r="H6764" s="31"/>
      <c r="I6764" s="31"/>
      <c r="J6764" s="31"/>
    </row>
    <row r="6765" spans="7:10" s="29" customFormat="1" x14ac:dyDescent="0.2">
      <c r="G6765" s="31"/>
      <c r="H6765" s="31"/>
      <c r="I6765" s="31"/>
      <c r="J6765" s="31"/>
    </row>
    <row r="6766" spans="7:10" s="29" customFormat="1" x14ac:dyDescent="0.2">
      <c r="G6766" s="31"/>
      <c r="H6766" s="31"/>
      <c r="I6766" s="31"/>
      <c r="J6766" s="31"/>
    </row>
    <row r="6767" spans="7:10" s="29" customFormat="1" x14ac:dyDescent="0.2">
      <c r="G6767" s="31"/>
      <c r="H6767" s="31"/>
      <c r="I6767" s="31"/>
      <c r="J6767" s="31"/>
    </row>
    <row r="6768" spans="7:10" s="29" customFormat="1" x14ac:dyDescent="0.2">
      <c r="G6768" s="31"/>
      <c r="H6768" s="31"/>
      <c r="I6768" s="31"/>
      <c r="J6768" s="31"/>
    </row>
    <row r="6769" spans="7:10" s="29" customFormat="1" x14ac:dyDescent="0.2">
      <c r="G6769" s="31"/>
      <c r="H6769" s="31"/>
      <c r="I6769" s="31"/>
      <c r="J6769" s="31"/>
    </row>
    <row r="6770" spans="7:10" s="29" customFormat="1" x14ac:dyDescent="0.2">
      <c r="G6770" s="31"/>
      <c r="H6770" s="31"/>
      <c r="I6770" s="31"/>
      <c r="J6770" s="31"/>
    </row>
    <row r="6771" spans="7:10" s="29" customFormat="1" x14ac:dyDescent="0.2">
      <c r="G6771" s="31"/>
      <c r="H6771" s="31"/>
      <c r="I6771" s="31"/>
      <c r="J6771" s="31"/>
    </row>
    <row r="6772" spans="7:10" s="29" customFormat="1" x14ac:dyDescent="0.2">
      <c r="G6772" s="31"/>
      <c r="H6772" s="31"/>
      <c r="I6772" s="31"/>
      <c r="J6772" s="31"/>
    </row>
    <row r="6773" spans="7:10" s="29" customFormat="1" x14ac:dyDescent="0.2">
      <c r="G6773" s="31"/>
      <c r="H6773" s="31"/>
      <c r="I6773" s="31"/>
      <c r="J6773" s="31"/>
    </row>
    <row r="6774" spans="7:10" s="29" customFormat="1" x14ac:dyDescent="0.2">
      <c r="G6774" s="31"/>
      <c r="H6774" s="31"/>
      <c r="I6774" s="31"/>
      <c r="J6774" s="31"/>
    </row>
    <row r="6775" spans="7:10" s="29" customFormat="1" x14ac:dyDescent="0.2">
      <c r="G6775" s="31"/>
      <c r="H6775" s="31"/>
      <c r="I6775" s="31"/>
      <c r="J6775" s="31"/>
    </row>
    <row r="6776" spans="7:10" s="29" customFormat="1" x14ac:dyDescent="0.2">
      <c r="G6776" s="31"/>
      <c r="H6776" s="31"/>
      <c r="I6776" s="31"/>
      <c r="J6776" s="31"/>
    </row>
    <row r="6777" spans="7:10" s="29" customFormat="1" x14ac:dyDescent="0.2">
      <c r="G6777" s="31"/>
      <c r="H6777" s="31"/>
      <c r="I6777" s="31"/>
      <c r="J6777" s="31"/>
    </row>
    <row r="6778" spans="7:10" s="29" customFormat="1" x14ac:dyDescent="0.2">
      <c r="G6778" s="31"/>
      <c r="H6778" s="31"/>
      <c r="I6778" s="31"/>
      <c r="J6778" s="31"/>
    </row>
    <row r="6779" spans="7:10" s="29" customFormat="1" x14ac:dyDescent="0.2">
      <c r="G6779" s="31"/>
      <c r="H6779" s="31"/>
      <c r="I6779" s="31"/>
      <c r="J6779" s="31"/>
    </row>
    <row r="6780" spans="7:10" s="29" customFormat="1" x14ac:dyDescent="0.2">
      <c r="G6780" s="31"/>
      <c r="H6780" s="31"/>
      <c r="I6780" s="31"/>
      <c r="J6780" s="31"/>
    </row>
    <row r="6781" spans="7:10" s="29" customFormat="1" x14ac:dyDescent="0.2">
      <c r="G6781" s="31"/>
      <c r="H6781" s="31"/>
      <c r="I6781" s="31"/>
      <c r="J6781" s="31"/>
    </row>
    <row r="6782" spans="7:10" s="29" customFormat="1" x14ac:dyDescent="0.2">
      <c r="G6782" s="31"/>
      <c r="H6782" s="31"/>
      <c r="I6782" s="31"/>
      <c r="J6782" s="31"/>
    </row>
    <row r="6783" spans="7:10" s="29" customFormat="1" x14ac:dyDescent="0.2">
      <c r="G6783" s="31"/>
      <c r="H6783" s="31"/>
      <c r="I6783" s="31"/>
      <c r="J6783" s="31"/>
    </row>
    <row r="6784" spans="7:10" s="29" customFormat="1" x14ac:dyDescent="0.2">
      <c r="G6784" s="31"/>
      <c r="H6784" s="31"/>
      <c r="I6784" s="31"/>
      <c r="J6784" s="31"/>
    </row>
    <row r="6785" spans="7:10" s="29" customFormat="1" x14ac:dyDescent="0.2">
      <c r="G6785" s="31"/>
      <c r="H6785" s="31"/>
      <c r="I6785" s="31"/>
      <c r="J6785" s="31"/>
    </row>
    <row r="6786" spans="7:10" s="29" customFormat="1" x14ac:dyDescent="0.2">
      <c r="G6786" s="31"/>
      <c r="H6786" s="31"/>
      <c r="I6786" s="31"/>
      <c r="J6786" s="31"/>
    </row>
    <row r="6787" spans="7:10" s="29" customFormat="1" x14ac:dyDescent="0.2">
      <c r="G6787" s="31"/>
      <c r="H6787" s="31"/>
      <c r="I6787" s="31"/>
      <c r="J6787" s="31"/>
    </row>
    <row r="6788" spans="7:10" s="29" customFormat="1" x14ac:dyDescent="0.2">
      <c r="G6788" s="31"/>
      <c r="H6788" s="31"/>
      <c r="I6788" s="31"/>
      <c r="J6788" s="31"/>
    </row>
    <row r="6789" spans="7:10" s="29" customFormat="1" x14ac:dyDescent="0.2">
      <c r="G6789" s="31"/>
      <c r="H6789" s="31"/>
      <c r="I6789" s="31"/>
      <c r="J6789" s="31"/>
    </row>
    <row r="6790" spans="7:10" s="29" customFormat="1" x14ac:dyDescent="0.2">
      <c r="G6790" s="31"/>
      <c r="H6790" s="31"/>
      <c r="I6790" s="31"/>
      <c r="J6790" s="31"/>
    </row>
    <row r="6791" spans="7:10" s="29" customFormat="1" x14ac:dyDescent="0.2">
      <c r="G6791" s="31"/>
      <c r="H6791" s="31"/>
      <c r="I6791" s="31"/>
      <c r="J6791" s="31"/>
    </row>
    <row r="6792" spans="7:10" s="29" customFormat="1" x14ac:dyDescent="0.2">
      <c r="G6792" s="31"/>
      <c r="H6792" s="31"/>
      <c r="I6792" s="31"/>
      <c r="J6792" s="31"/>
    </row>
    <row r="6793" spans="7:10" s="29" customFormat="1" x14ac:dyDescent="0.2">
      <c r="G6793" s="31"/>
      <c r="H6793" s="31"/>
      <c r="I6793" s="31"/>
      <c r="J6793" s="31"/>
    </row>
    <row r="6794" spans="7:10" s="29" customFormat="1" x14ac:dyDescent="0.2">
      <c r="G6794" s="31"/>
      <c r="H6794" s="31"/>
      <c r="I6794" s="31"/>
      <c r="J6794" s="31"/>
    </row>
    <row r="6795" spans="7:10" s="29" customFormat="1" x14ac:dyDescent="0.2">
      <c r="G6795" s="31"/>
      <c r="H6795" s="31"/>
      <c r="I6795" s="31"/>
      <c r="J6795" s="31"/>
    </row>
    <row r="6796" spans="7:10" s="29" customFormat="1" x14ac:dyDescent="0.2">
      <c r="G6796" s="31"/>
      <c r="H6796" s="31"/>
      <c r="I6796" s="31"/>
      <c r="J6796" s="31"/>
    </row>
    <row r="6797" spans="7:10" s="29" customFormat="1" x14ac:dyDescent="0.2">
      <c r="G6797" s="31"/>
      <c r="H6797" s="31"/>
      <c r="I6797" s="31"/>
      <c r="J6797" s="31"/>
    </row>
    <row r="6798" spans="7:10" s="29" customFormat="1" x14ac:dyDescent="0.2">
      <c r="G6798" s="31"/>
      <c r="H6798" s="31"/>
      <c r="I6798" s="31"/>
      <c r="J6798" s="31"/>
    </row>
    <row r="6799" spans="7:10" s="29" customFormat="1" x14ac:dyDescent="0.2">
      <c r="G6799" s="31"/>
      <c r="H6799" s="31"/>
      <c r="I6799" s="31"/>
      <c r="J6799" s="31"/>
    </row>
    <row r="6800" spans="7:10" s="29" customFormat="1" x14ac:dyDescent="0.2">
      <c r="G6800" s="31"/>
      <c r="H6800" s="31"/>
      <c r="I6800" s="31"/>
      <c r="J6800" s="31"/>
    </row>
    <row r="6801" spans="7:10" s="29" customFormat="1" x14ac:dyDescent="0.2">
      <c r="G6801" s="31"/>
      <c r="H6801" s="31"/>
      <c r="I6801" s="31"/>
      <c r="J6801" s="31"/>
    </row>
    <row r="6802" spans="7:10" s="29" customFormat="1" x14ac:dyDescent="0.2">
      <c r="G6802" s="31"/>
      <c r="H6802" s="31"/>
      <c r="I6802" s="31"/>
      <c r="J6802" s="31"/>
    </row>
    <row r="6803" spans="7:10" s="29" customFormat="1" x14ac:dyDescent="0.2">
      <c r="G6803" s="31"/>
      <c r="H6803" s="31"/>
      <c r="I6803" s="31"/>
      <c r="J6803" s="31"/>
    </row>
    <row r="6804" spans="7:10" s="29" customFormat="1" x14ac:dyDescent="0.2">
      <c r="G6804" s="31"/>
      <c r="H6804" s="31"/>
      <c r="I6804" s="31"/>
      <c r="J6804" s="31"/>
    </row>
    <row r="6805" spans="7:10" s="29" customFormat="1" x14ac:dyDescent="0.2">
      <c r="G6805" s="31"/>
      <c r="H6805" s="31"/>
      <c r="I6805" s="31"/>
      <c r="J6805" s="31"/>
    </row>
    <row r="6806" spans="7:10" s="29" customFormat="1" x14ac:dyDescent="0.2">
      <c r="G6806" s="31"/>
      <c r="H6806" s="31"/>
      <c r="I6806" s="31"/>
      <c r="J6806" s="31"/>
    </row>
    <row r="6807" spans="7:10" s="29" customFormat="1" x14ac:dyDescent="0.2">
      <c r="G6807" s="31"/>
      <c r="H6807" s="31"/>
      <c r="I6807" s="31"/>
      <c r="J6807" s="31"/>
    </row>
    <row r="6808" spans="7:10" s="29" customFormat="1" x14ac:dyDescent="0.2">
      <c r="G6808" s="31"/>
      <c r="H6808" s="31"/>
      <c r="I6808" s="31"/>
      <c r="J6808" s="31"/>
    </row>
    <row r="6809" spans="7:10" s="29" customFormat="1" x14ac:dyDescent="0.2">
      <c r="G6809" s="31"/>
      <c r="H6809" s="31"/>
      <c r="I6809" s="31"/>
      <c r="J6809" s="31"/>
    </row>
    <row r="6810" spans="7:10" s="29" customFormat="1" x14ac:dyDescent="0.2">
      <c r="G6810" s="31"/>
      <c r="H6810" s="31"/>
      <c r="I6810" s="31"/>
      <c r="J6810" s="31"/>
    </row>
    <row r="6811" spans="7:10" s="29" customFormat="1" x14ac:dyDescent="0.2">
      <c r="G6811" s="31"/>
      <c r="H6811" s="31"/>
      <c r="I6811" s="31"/>
      <c r="J6811" s="31"/>
    </row>
    <row r="6812" spans="7:10" s="29" customFormat="1" x14ac:dyDescent="0.2">
      <c r="G6812" s="31"/>
      <c r="H6812" s="31"/>
      <c r="I6812" s="31"/>
      <c r="J6812" s="31"/>
    </row>
    <row r="6813" spans="7:10" s="29" customFormat="1" x14ac:dyDescent="0.2">
      <c r="G6813" s="31"/>
      <c r="H6813" s="31"/>
      <c r="I6813" s="31"/>
      <c r="J6813" s="31"/>
    </row>
    <row r="6814" spans="7:10" s="29" customFormat="1" x14ac:dyDescent="0.2">
      <c r="G6814" s="31"/>
      <c r="H6814" s="31"/>
      <c r="I6814" s="31"/>
      <c r="J6814" s="31"/>
    </row>
    <row r="6815" spans="7:10" s="29" customFormat="1" x14ac:dyDescent="0.2">
      <c r="G6815" s="31"/>
      <c r="H6815" s="31"/>
      <c r="I6815" s="31"/>
      <c r="J6815" s="31"/>
    </row>
    <row r="6816" spans="7:10" s="29" customFormat="1" x14ac:dyDescent="0.2">
      <c r="G6816" s="31"/>
      <c r="H6816" s="31"/>
      <c r="I6816" s="31"/>
      <c r="J6816" s="31"/>
    </row>
    <row r="6817" spans="7:10" s="29" customFormat="1" x14ac:dyDescent="0.2">
      <c r="G6817" s="31"/>
      <c r="H6817" s="31"/>
      <c r="I6817" s="31"/>
      <c r="J6817" s="31"/>
    </row>
    <row r="6818" spans="7:10" s="29" customFormat="1" x14ac:dyDescent="0.2">
      <c r="G6818" s="31"/>
      <c r="H6818" s="31"/>
      <c r="I6818" s="31"/>
      <c r="J6818" s="31"/>
    </row>
    <row r="6819" spans="7:10" s="29" customFormat="1" x14ac:dyDescent="0.2">
      <c r="G6819" s="31"/>
      <c r="H6819" s="31"/>
      <c r="I6819" s="31"/>
      <c r="J6819" s="31"/>
    </row>
    <row r="6820" spans="7:10" s="29" customFormat="1" x14ac:dyDescent="0.2">
      <c r="G6820" s="31"/>
      <c r="H6820" s="31"/>
      <c r="I6820" s="31"/>
      <c r="J6820" s="31"/>
    </row>
    <row r="6821" spans="7:10" s="29" customFormat="1" x14ac:dyDescent="0.2">
      <c r="G6821" s="31"/>
      <c r="H6821" s="31"/>
      <c r="I6821" s="31"/>
      <c r="J6821" s="31"/>
    </row>
    <row r="6822" spans="7:10" s="29" customFormat="1" x14ac:dyDescent="0.2">
      <c r="G6822" s="31"/>
      <c r="H6822" s="31"/>
      <c r="I6822" s="31"/>
      <c r="J6822" s="31"/>
    </row>
    <row r="6823" spans="7:10" s="29" customFormat="1" x14ac:dyDescent="0.2">
      <c r="G6823" s="31"/>
      <c r="H6823" s="31"/>
      <c r="I6823" s="31"/>
      <c r="J6823" s="31"/>
    </row>
    <row r="6824" spans="7:10" s="29" customFormat="1" x14ac:dyDescent="0.2">
      <c r="G6824" s="31"/>
      <c r="H6824" s="31"/>
      <c r="I6824" s="31"/>
      <c r="J6824" s="31"/>
    </row>
    <row r="6825" spans="7:10" s="29" customFormat="1" x14ac:dyDescent="0.2">
      <c r="G6825" s="31"/>
      <c r="H6825" s="31"/>
      <c r="I6825" s="31"/>
      <c r="J6825" s="31"/>
    </row>
    <row r="6826" spans="7:10" s="29" customFormat="1" x14ac:dyDescent="0.2">
      <c r="G6826" s="31"/>
      <c r="H6826" s="31"/>
      <c r="I6826" s="31"/>
      <c r="J6826" s="31"/>
    </row>
    <row r="6827" spans="7:10" s="29" customFormat="1" x14ac:dyDescent="0.2">
      <c r="G6827" s="31"/>
      <c r="H6827" s="31"/>
      <c r="I6827" s="31"/>
      <c r="J6827" s="31"/>
    </row>
    <row r="6828" spans="7:10" s="29" customFormat="1" x14ac:dyDescent="0.2">
      <c r="G6828" s="31"/>
      <c r="H6828" s="31"/>
      <c r="I6828" s="31"/>
      <c r="J6828" s="31"/>
    </row>
    <row r="6829" spans="7:10" s="29" customFormat="1" x14ac:dyDescent="0.2">
      <c r="G6829" s="31"/>
      <c r="H6829" s="31"/>
      <c r="I6829" s="31"/>
      <c r="J6829" s="31"/>
    </row>
    <row r="6830" spans="7:10" s="29" customFormat="1" x14ac:dyDescent="0.2">
      <c r="G6830" s="31"/>
      <c r="H6830" s="31"/>
      <c r="I6830" s="31"/>
      <c r="J6830" s="31"/>
    </row>
    <row r="6831" spans="7:10" s="29" customFormat="1" x14ac:dyDescent="0.2">
      <c r="G6831" s="31"/>
      <c r="H6831" s="31"/>
      <c r="I6831" s="31"/>
      <c r="J6831" s="31"/>
    </row>
    <row r="6832" spans="7:10" s="29" customFormat="1" x14ac:dyDescent="0.2">
      <c r="G6832" s="31"/>
      <c r="H6832" s="31"/>
      <c r="I6832" s="31"/>
      <c r="J6832" s="31"/>
    </row>
    <row r="6833" spans="7:10" s="29" customFormat="1" x14ac:dyDescent="0.2">
      <c r="G6833" s="31"/>
      <c r="H6833" s="31"/>
      <c r="I6833" s="31"/>
      <c r="J6833" s="31"/>
    </row>
    <row r="6834" spans="7:10" s="29" customFormat="1" x14ac:dyDescent="0.2">
      <c r="G6834" s="31"/>
      <c r="H6834" s="31"/>
      <c r="I6834" s="31"/>
      <c r="J6834" s="31"/>
    </row>
    <row r="6835" spans="7:10" s="29" customFormat="1" x14ac:dyDescent="0.2">
      <c r="G6835" s="31"/>
      <c r="H6835" s="31"/>
      <c r="I6835" s="31"/>
      <c r="J6835" s="31"/>
    </row>
    <row r="6836" spans="7:10" s="29" customFormat="1" x14ac:dyDescent="0.2">
      <c r="G6836" s="31"/>
      <c r="H6836" s="31"/>
      <c r="I6836" s="31"/>
      <c r="J6836" s="31"/>
    </row>
    <row r="6837" spans="7:10" s="29" customFormat="1" x14ac:dyDescent="0.2">
      <c r="G6837" s="31"/>
      <c r="H6837" s="31"/>
      <c r="I6837" s="31"/>
      <c r="J6837" s="31"/>
    </row>
    <row r="6838" spans="7:10" s="29" customFormat="1" x14ac:dyDescent="0.2">
      <c r="G6838" s="31"/>
      <c r="H6838" s="31"/>
      <c r="I6838" s="31"/>
      <c r="J6838" s="31"/>
    </row>
    <row r="6839" spans="7:10" s="29" customFormat="1" x14ac:dyDescent="0.2">
      <c r="G6839" s="31"/>
      <c r="H6839" s="31"/>
      <c r="I6839" s="31"/>
      <c r="J6839" s="31"/>
    </row>
    <row r="6840" spans="7:10" s="29" customFormat="1" x14ac:dyDescent="0.2">
      <c r="G6840" s="31"/>
      <c r="H6840" s="31"/>
      <c r="I6840" s="31"/>
      <c r="J6840" s="31"/>
    </row>
    <row r="6841" spans="7:10" s="29" customFormat="1" x14ac:dyDescent="0.2">
      <c r="G6841" s="31"/>
      <c r="H6841" s="31"/>
      <c r="I6841" s="31"/>
      <c r="J6841" s="31"/>
    </row>
    <row r="6842" spans="7:10" s="29" customFormat="1" x14ac:dyDescent="0.2">
      <c r="G6842" s="31"/>
      <c r="H6842" s="31"/>
      <c r="I6842" s="31"/>
      <c r="J6842" s="31"/>
    </row>
    <row r="6843" spans="7:10" s="29" customFormat="1" x14ac:dyDescent="0.2">
      <c r="G6843" s="31"/>
      <c r="H6843" s="31"/>
      <c r="I6843" s="31"/>
      <c r="J6843" s="31"/>
    </row>
    <row r="6844" spans="7:10" s="29" customFormat="1" x14ac:dyDescent="0.2">
      <c r="G6844" s="31"/>
      <c r="H6844" s="31"/>
      <c r="I6844" s="31"/>
      <c r="J6844" s="31"/>
    </row>
    <row r="6845" spans="7:10" s="29" customFormat="1" x14ac:dyDescent="0.2">
      <c r="G6845" s="31"/>
      <c r="H6845" s="31"/>
      <c r="I6845" s="31"/>
      <c r="J6845" s="31"/>
    </row>
    <row r="6846" spans="7:10" s="29" customFormat="1" x14ac:dyDescent="0.2">
      <c r="G6846" s="31"/>
      <c r="H6846" s="31"/>
      <c r="I6846" s="31"/>
      <c r="J6846" s="31"/>
    </row>
    <row r="6847" spans="7:10" s="29" customFormat="1" x14ac:dyDescent="0.2">
      <c r="G6847" s="31"/>
      <c r="H6847" s="31"/>
      <c r="I6847" s="31"/>
      <c r="J6847" s="31"/>
    </row>
    <row r="6848" spans="7:10" s="29" customFormat="1" x14ac:dyDescent="0.2">
      <c r="G6848" s="31"/>
      <c r="H6848" s="31"/>
      <c r="I6848" s="31"/>
      <c r="J6848" s="31"/>
    </row>
    <row r="6849" spans="7:10" s="29" customFormat="1" x14ac:dyDescent="0.2">
      <c r="G6849" s="31"/>
      <c r="H6849" s="31"/>
      <c r="I6849" s="31"/>
      <c r="J6849" s="31"/>
    </row>
    <row r="6850" spans="7:10" s="29" customFormat="1" x14ac:dyDescent="0.2">
      <c r="G6850" s="31"/>
      <c r="H6850" s="31"/>
      <c r="I6850" s="31"/>
      <c r="J6850" s="31"/>
    </row>
    <row r="6851" spans="7:10" s="29" customFormat="1" x14ac:dyDescent="0.2">
      <c r="G6851" s="31"/>
      <c r="H6851" s="31"/>
      <c r="I6851" s="31"/>
      <c r="J6851" s="31"/>
    </row>
    <row r="6852" spans="7:10" s="29" customFormat="1" x14ac:dyDescent="0.2">
      <c r="G6852" s="31"/>
      <c r="H6852" s="31"/>
      <c r="I6852" s="31"/>
      <c r="J6852" s="31"/>
    </row>
    <row r="6853" spans="7:10" s="29" customFormat="1" x14ac:dyDescent="0.2">
      <c r="G6853" s="31"/>
      <c r="H6853" s="31"/>
      <c r="I6853" s="31"/>
      <c r="J6853" s="31"/>
    </row>
    <row r="6854" spans="7:10" s="29" customFormat="1" x14ac:dyDescent="0.2">
      <c r="G6854" s="31"/>
      <c r="H6854" s="31"/>
      <c r="I6854" s="31"/>
      <c r="J6854" s="31"/>
    </row>
    <row r="6855" spans="7:10" s="29" customFormat="1" x14ac:dyDescent="0.2">
      <c r="G6855" s="31"/>
      <c r="H6855" s="31"/>
      <c r="I6855" s="31"/>
      <c r="J6855" s="31"/>
    </row>
    <row r="6856" spans="7:10" s="29" customFormat="1" x14ac:dyDescent="0.2">
      <c r="G6856" s="31"/>
      <c r="H6856" s="31"/>
      <c r="I6856" s="31"/>
      <c r="J6856" s="31"/>
    </row>
    <row r="6857" spans="7:10" s="29" customFormat="1" x14ac:dyDescent="0.2">
      <c r="G6857" s="31"/>
      <c r="H6857" s="31"/>
      <c r="I6857" s="31"/>
      <c r="J6857" s="31"/>
    </row>
    <row r="6858" spans="7:10" s="29" customFormat="1" x14ac:dyDescent="0.2">
      <c r="G6858" s="31"/>
      <c r="H6858" s="31"/>
      <c r="I6858" s="31"/>
      <c r="J6858" s="31"/>
    </row>
    <row r="6859" spans="7:10" s="29" customFormat="1" x14ac:dyDescent="0.2">
      <c r="G6859" s="31"/>
      <c r="H6859" s="31"/>
      <c r="I6859" s="31"/>
      <c r="J6859" s="31"/>
    </row>
    <row r="6860" spans="7:10" s="29" customFormat="1" x14ac:dyDescent="0.2">
      <c r="G6860" s="31"/>
      <c r="H6860" s="31"/>
      <c r="I6860" s="31"/>
      <c r="J6860" s="31"/>
    </row>
    <row r="6861" spans="7:10" s="29" customFormat="1" x14ac:dyDescent="0.2">
      <c r="G6861" s="31"/>
      <c r="H6861" s="31"/>
      <c r="I6861" s="31"/>
      <c r="J6861" s="31"/>
    </row>
    <row r="6862" spans="7:10" s="29" customFormat="1" x14ac:dyDescent="0.2">
      <c r="G6862" s="31"/>
      <c r="H6862" s="31"/>
      <c r="I6862" s="31"/>
      <c r="J6862" s="31"/>
    </row>
    <row r="6863" spans="7:10" s="29" customFormat="1" x14ac:dyDescent="0.2">
      <c r="G6863" s="31"/>
      <c r="H6863" s="31"/>
      <c r="I6863" s="31"/>
      <c r="J6863" s="31"/>
    </row>
    <row r="6864" spans="7:10" s="29" customFormat="1" x14ac:dyDescent="0.2">
      <c r="G6864" s="31"/>
      <c r="H6864" s="31"/>
      <c r="I6864" s="31"/>
      <c r="J6864" s="31"/>
    </row>
    <row r="6865" spans="7:10" s="29" customFormat="1" x14ac:dyDescent="0.2">
      <c r="G6865" s="31"/>
      <c r="H6865" s="31"/>
      <c r="I6865" s="31"/>
      <c r="J6865" s="31"/>
    </row>
    <row r="6866" spans="7:10" s="29" customFormat="1" x14ac:dyDescent="0.2">
      <c r="G6866" s="31"/>
      <c r="H6866" s="31"/>
      <c r="I6866" s="31"/>
      <c r="J6866" s="31"/>
    </row>
    <row r="6867" spans="7:10" s="29" customFormat="1" x14ac:dyDescent="0.2">
      <c r="G6867" s="31"/>
      <c r="H6867" s="31"/>
      <c r="I6867" s="31"/>
      <c r="J6867" s="31"/>
    </row>
    <row r="6868" spans="7:10" s="29" customFormat="1" x14ac:dyDescent="0.2">
      <c r="G6868" s="31"/>
      <c r="H6868" s="31"/>
      <c r="I6868" s="31"/>
      <c r="J6868" s="31"/>
    </row>
    <row r="6869" spans="7:10" s="29" customFormat="1" x14ac:dyDescent="0.2">
      <c r="G6869" s="31"/>
      <c r="H6869" s="31"/>
      <c r="I6869" s="31"/>
      <c r="J6869" s="31"/>
    </row>
    <row r="6870" spans="7:10" s="29" customFormat="1" x14ac:dyDescent="0.2">
      <c r="G6870" s="31"/>
      <c r="H6870" s="31"/>
      <c r="I6870" s="31"/>
      <c r="J6870" s="31"/>
    </row>
    <row r="6871" spans="7:10" s="29" customFormat="1" x14ac:dyDescent="0.2">
      <c r="G6871" s="31"/>
      <c r="H6871" s="31"/>
      <c r="I6871" s="31"/>
      <c r="J6871" s="31"/>
    </row>
    <row r="6872" spans="7:10" s="29" customFormat="1" x14ac:dyDescent="0.2">
      <c r="G6872" s="31"/>
      <c r="H6872" s="31"/>
      <c r="I6872" s="31"/>
      <c r="J6872" s="31"/>
    </row>
    <row r="6873" spans="7:10" s="29" customFormat="1" x14ac:dyDescent="0.2">
      <c r="G6873" s="31"/>
      <c r="H6873" s="31"/>
      <c r="I6873" s="31"/>
      <c r="J6873" s="31"/>
    </row>
    <row r="6874" spans="7:10" s="29" customFormat="1" x14ac:dyDescent="0.2">
      <c r="G6874" s="31"/>
      <c r="H6874" s="31"/>
      <c r="I6874" s="31"/>
      <c r="J6874" s="31"/>
    </row>
    <row r="6875" spans="7:10" s="29" customFormat="1" x14ac:dyDescent="0.2">
      <c r="G6875" s="31"/>
      <c r="H6875" s="31"/>
      <c r="I6875" s="31"/>
      <c r="J6875" s="31"/>
    </row>
    <row r="6876" spans="7:10" s="29" customFormat="1" x14ac:dyDescent="0.2">
      <c r="G6876" s="31"/>
      <c r="H6876" s="31"/>
      <c r="I6876" s="31"/>
      <c r="J6876" s="31"/>
    </row>
    <row r="6877" spans="7:10" s="29" customFormat="1" x14ac:dyDescent="0.2">
      <c r="G6877" s="31"/>
      <c r="H6877" s="31"/>
      <c r="I6877" s="31"/>
      <c r="J6877" s="31"/>
    </row>
    <row r="6878" spans="7:10" s="29" customFormat="1" x14ac:dyDescent="0.2">
      <c r="G6878" s="31"/>
      <c r="H6878" s="31"/>
      <c r="I6878" s="31"/>
      <c r="J6878" s="31"/>
    </row>
    <row r="6879" spans="7:10" s="29" customFormat="1" x14ac:dyDescent="0.2">
      <c r="G6879" s="31"/>
      <c r="H6879" s="31"/>
      <c r="I6879" s="31"/>
      <c r="J6879" s="31"/>
    </row>
    <row r="6880" spans="7:10" s="29" customFormat="1" x14ac:dyDescent="0.2">
      <c r="G6880" s="31"/>
      <c r="H6880" s="31"/>
      <c r="I6880" s="31"/>
      <c r="J6880" s="31"/>
    </row>
    <row r="6881" spans="7:10" s="29" customFormat="1" x14ac:dyDescent="0.2">
      <c r="G6881" s="31"/>
      <c r="H6881" s="31"/>
      <c r="I6881" s="31"/>
      <c r="J6881" s="31"/>
    </row>
    <row r="6882" spans="7:10" s="29" customFormat="1" x14ac:dyDescent="0.2">
      <c r="G6882" s="31"/>
      <c r="H6882" s="31"/>
      <c r="I6882" s="31"/>
      <c r="J6882" s="31"/>
    </row>
    <row r="6883" spans="7:10" s="29" customFormat="1" x14ac:dyDescent="0.2">
      <c r="G6883" s="31"/>
      <c r="H6883" s="31"/>
      <c r="I6883" s="31"/>
      <c r="J6883" s="31"/>
    </row>
    <row r="6884" spans="7:10" s="29" customFormat="1" x14ac:dyDescent="0.2">
      <c r="G6884" s="31"/>
      <c r="H6884" s="31"/>
      <c r="I6884" s="31"/>
      <c r="J6884" s="31"/>
    </row>
    <row r="6885" spans="7:10" s="29" customFormat="1" x14ac:dyDescent="0.2">
      <c r="G6885" s="31"/>
      <c r="H6885" s="31"/>
      <c r="I6885" s="31"/>
      <c r="J6885" s="31"/>
    </row>
    <row r="6886" spans="7:10" s="29" customFormat="1" x14ac:dyDescent="0.2">
      <c r="G6886" s="31"/>
      <c r="H6886" s="31"/>
      <c r="I6886" s="31"/>
      <c r="J6886" s="31"/>
    </row>
    <row r="6887" spans="7:10" s="29" customFormat="1" x14ac:dyDescent="0.2">
      <c r="G6887" s="31"/>
      <c r="H6887" s="31"/>
      <c r="I6887" s="31"/>
      <c r="J6887" s="31"/>
    </row>
    <row r="6888" spans="7:10" s="29" customFormat="1" x14ac:dyDescent="0.2">
      <c r="G6888" s="31"/>
      <c r="H6888" s="31"/>
      <c r="I6888" s="31"/>
      <c r="J6888" s="31"/>
    </row>
    <row r="6889" spans="7:10" s="29" customFormat="1" x14ac:dyDescent="0.2">
      <c r="G6889" s="31"/>
      <c r="H6889" s="31"/>
      <c r="I6889" s="31"/>
      <c r="J6889" s="31"/>
    </row>
    <row r="6890" spans="7:10" s="29" customFormat="1" x14ac:dyDescent="0.2">
      <c r="G6890" s="31"/>
      <c r="H6890" s="31"/>
      <c r="I6890" s="31"/>
      <c r="J6890" s="31"/>
    </row>
    <row r="6891" spans="7:10" s="29" customFormat="1" x14ac:dyDescent="0.2">
      <c r="G6891" s="31"/>
      <c r="H6891" s="31"/>
      <c r="I6891" s="31"/>
      <c r="J6891" s="31"/>
    </row>
    <row r="6892" spans="7:10" s="29" customFormat="1" x14ac:dyDescent="0.2">
      <c r="G6892" s="31"/>
      <c r="H6892" s="31"/>
      <c r="I6892" s="31"/>
      <c r="J6892" s="31"/>
    </row>
    <row r="6893" spans="7:10" s="29" customFormat="1" x14ac:dyDescent="0.2">
      <c r="G6893" s="31"/>
      <c r="H6893" s="31"/>
      <c r="I6893" s="31"/>
      <c r="J6893" s="31"/>
    </row>
    <row r="6894" spans="7:10" s="29" customFormat="1" x14ac:dyDescent="0.2">
      <c r="G6894" s="31"/>
      <c r="H6894" s="31"/>
      <c r="I6894" s="31"/>
      <c r="J6894" s="31"/>
    </row>
    <row r="6895" spans="7:10" s="29" customFormat="1" x14ac:dyDescent="0.2">
      <c r="G6895" s="31"/>
      <c r="H6895" s="31"/>
      <c r="I6895" s="31"/>
      <c r="J6895" s="31"/>
    </row>
    <row r="6896" spans="7:10" s="29" customFormat="1" x14ac:dyDescent="0.2">
      <c r="G6896" s="31"/>
      <c r="H6896" s="31"/>
      <c r="I6896" s="31"/>
      <c r="J6896" s="31"/>
    </row>
    <row r="6897" spans="7:10" s="29" customFormat="1" x14ac:dyDescent="0.2">
      <c r="G6897" s="31"/>
      <c r="H6897" s="31"/>
      <c r="I6897" s="31"/>
      <c r="J6897" s="31"/>
    </row>
    <row r="6898" spans="7:10" s="29" customFormat="1" x14ac:dyDescent="0.2">
      <c r="G6898" s="31"/>
      <c r="H6898" s="31"/>
      <c r="I6898" s="31"/>
      <c r="J6898" s="31"/>
    </row>
    <row r="6899" spans="7:10" s="29" customFormat="1" x14ac:dyDescent="0.2">
      <c r="G6899" s="31"/>
      <c r="H6899" s="31"/>
      <c r="I6899" s="31"/>
      <c r="J6899" s="31"/>
    </row>
    <row r="6900" spans="7:10" s="29" customFormat="1" x14ac:dyDescent="0.2">
      <c r="G6900" s="31"/>
      <c r="H6900" s="31"/>
      <c r="I6900" s="31"/>
      <c r="J6900" s="31"/>
    </row>
    <row r="6901" spans="7:10" s="29" customFormat="1" x14ac:dyDescent="0.2">
      <c r="G6901" s="31"/>
      <c r="H6901" s="31"/>
      <c r="I6901" s="31"/>
      <c r="J6901" s="31"/>
    </row>
    <row r="6902" spans="7:10" s="29" customFormat="1" x14ac:dyDescent="0.2">
      <c r="G6902" s="31"/>
      <c r="H6902" s="31"/>
      <c r="I6902" s="31"/>
      <c r="J6902" s="31"/>
    </row>
    <row r="6903" spans="7:10" s="29" customFormat="1" x14ac:dyDescent="0.2">
      <c r="G6903" s="31"/>
      <c r="H6903" s="31"/>
      <c r="I6903" s="31"/>
      <c r="J6903" s="31"/>
    </row>
    <row r="6904" spans="7:10" s="29" customFormat="1" x14ac:dyDescent="0.2">
      <c r="G6904" s="31"/>
      <c r="H6904" s="31"/>
      <c r="I6904" s="31"/>
      <c r="J6904" s="31"/>
    </row>
    <row r="6905" spans="7:10" s="29" customFormat="1" x14ac:dyDescent="0.2">
      <c r="G6905" s="31"/>
      <c r="H6905" s="31"/>
      <c r="I6905" s="31"/>
      <c r="J6905" s="31"/>
    </row>
    <row r="6906" spans="7:10" s="29" customFormat="1" x14ac:dyDescent="0.2">
      <c r="G6906" s="31"/>
      <c r="H6906" s="31"/>
      <c r="I6906" s="31"/>
      <c r="J6906" s="31"/>
    </row>
    <row r="6907" spans="7:10" s="29" customFormat="1" x14ac:dyDescent="0.2">
      <c r="G6907" s="31"/>
      <c r="H6907" s="31"/>
      <c r="I6907" s="31"/>
      <c r="J6907" s="31"/>
    </row>
    <row r="6908" spans="7:10" s="29" customFormat="1" x14ac:dyDescent="0.2">
      <c r="G6908" s="31"/>
      <c r="H6908" s="31"/>
      <c r="I6908" s="31"/>
      <c r="J6908" s="31"/>
    </row>
    <row r="6909" spans="7:10" s="29" customFormat="1" x14ac:dyDescent="0.2">
      <c r="G6909" s="31"/>
      <c r="H6909" s="31"/>
      <c r="I6909" s="31"/>
      <c r="J6909" s="31"/>
    </row>
    <row r="6910" spans="7:10" s="29" customFormat="1" x14ac:dyDescent="0.2">
      <c r="G6910" s="31"/>
      <c r="H6910" s="31"/>
      <c r="I6910" s="31"/>
      <c r="J6910" s="31"/>
    </row>
    <row r="6911" spans="7:10" s="29" customFormat="1" x14ac:dyDescent="0.2">
      <c r="G6911" s="31"/>
      <c r="H6911" s="31"/>
      <c r="I6911" s="31"/>
      <c r="J6911" s="31"/>
    </row>
    <row r="6912" spans="7:10" s="29" customFormat="1" x14ac:dyDescent="0.2">
      <c r="G6912" s="31"/>
      <c r="H6912" s="31"/>
      <c r="I6912" s="31"/>
      <c r="J6912" s="31"/>
    </row>
    <row r="6913" spans="7:10" s="29" customFormat="1" x14ac:dyDescent="0.2">
      <c r="G6913" s="31"/>
      <c r="H6913" s="31"/>
      <c r="I6913" s="31"/>
      <c r="J6913" s="31"/>
    </row>
    <row r="6914" spans="7:10" s="29" customFormat="1" x14ac:dyDescent="0.2">
      <c r="G6914" s="31"/>
      <c r="H6914" s="31"/>
      <c r="I6914" s="31"/>
      <c r="J6914" s="31"/>
    </row>
    <row r="6915" spans="7:10" s="29" customFormat="1" x14ac:dyDescent="0.2">
      <c r="G6915" s="31"/>
      <c r="H6915" s="31"/>
      <c r="I6915" s="31"/>
      <c r="J6915" s="31"/>
    </row>
    <row r="6916" spans="7:10" s="29" customFormat="1" x14ac:dyDescent="0.2">
      <c r="G6916" s="31"/>
      <c r="H6916" s="31"/>
      <c r="I6916" s="31"/>
      <c r="J6916" s="31"/>
    </row>
    <row r="6917" spans="7:10" s="29" customFormat="1" x14ac:dyDescent="0.2">
      <c r="G6917" s="31"/>
      <c r="H6917" s="31"/>
      <c r="I6917" s="31"/>
      <c r="J6917" s="31"/>
    </row>
    <row r="6918" spans="7:10" s="29" customFormat="1" x14ac:dyDescent="0.2">
      <c r="G6918" s="31"/>
      <c r="H6918" s="31"/>
      <c r="I6918" s="31"/>
      <c r="J6918" s="31"/>
    </row>
    <row r="6919" spans="7:10" s="29" customFormat="1" x14ac:dyDescent="0.2">
      <c r="G6919" s="31"/>
      <c r="H6919" s="31"/>
      <c r="I6919" s="31"/>
      <c r="J6919" s="31"/>
    </row>
    <row r="6920" spans="7:10" s="29" customFormat="1" x14ac:dyDescent="0.2">
      <c r="G6920" s="31"/>
      <c r="H6920" s="31"/>
      <c r="I6920" s="31"/>
      <c r="J6920" s="31"/>
    </row>
    <row r="6921" spans="7:10" s="29" customFormat="1" x14ac:dyDescent="0.2">
      <c r="G6921" s="31"/>
      <c r="H6921" s="31"/>
      <c r="I6921" s="31"/>
      <c r="J6921" s="31"/>
    </row>
    <row r="6922" spans="7:10" s="29" customFormat="1" x14ac:dyDescent="0.2">
      <c r="G6922" s="31"/>
      <c r="H6922" s="31"/>
      <c r="I6922" s="31"/>
      <c r="J6922" s="31"/>
    </row>
    <row r="6923" spans="7:10" s="29" customFormat="1" x14ac:dyDescent="0.2">
      <c r="G6923" s="31"/>
      <c r="H6923" s="31"/>
      <c r="I6923" s="31"/>
      <c r="J6923" s="31"/>
    </row>
    <row r="6924" spans="7:10" s="29" customFormat="1" x14ac:dyDescent="0.2">
      <c r="G6924" s="31"/>
      <c r="H6924" s="31"/>
      <c r="I6924" s="31"/>
      <c r="J6924" s="31"/>
    </row>
    <row r="6925" spans="7:10" s="29" customFormat="1" x14ac:dyDescent="0.2">
      <c r="G6925" s="31"/>
      <c r="H6925" s="31"/>
      <c r="I6925" s="31"/>
      <c r="J6925" s="31"/>
    </row>
    <row r="6926" spans="7:10" s="29" customFormat="1" x14ac:dyDescent="0.2">
      <c r="G6926" s="31"/>
      <c r="H6926" s="31"/>
      <c r="I6926" s="31"/>
      <c r="J6926" s="31"/>
    </row>
    <row r="6927" spans="7:10" s="29" customFormat="1" x14ac:dyDescent="0.2">
      <c r="G6927" s="31"/>
      <c r="H6927" s="31"/>
      <c r="I6927" s="31"/>
      <c r="J6927" s="31"/>
    </row>
    <row r="6928" spans="7:10" s="29" customFormat="1" x14ac:dyDescent="0.2">
      <c r="G6928" s="31"/>
      <c r="H6928" s="31"/>
      <c r="I6928" s="31"/>
      <c r="J6928" s="31"/>
    </row>
    <row r="6929" spans="7:10" s="29" customFormat="1" x14ac:dyDescent="0.2">
      <c r="G6929" s="31"/>
      <c r="H6929" s="31"/>
      <c r="I6929" s="31"/>
      <c r="J6929" s="31"/>
    </row>
    <row r="6930" spans="7:10" s="29" customFormat="1" x14ac:dyDescent="0.2">
      <c r="G6930" s="31"/>
      <c r="H6930" s="31"/>
      <c r="I6930" s="31"/>
      <c r="J6930" s="31"/>
    </row>
    <row r="6931" spans="7:10" s="29" customFormat="1" x14ac:dyDescent="0.2">
      <c r="G6931" s="31"/>
      <c r="H6931" s="31"/>
      <c r="I6931" s="31"/>
      <c r="J6931" s="31"/>
    </row>
    <row r="6932" spans="7:10" s="29" customFormat="1" x14ac:dyDescent="0.2">
      <c r="G6932" s="31"/>
      <c r="H6932" s="31"/>
      <c r="I6932" s="31"/>
      <c r="J6932" s="31"/>
    </row>
    <row r="6933" spans="7:10" s="29" customFormat="1" x14ac:dyDescent="0.2">
      <c r="G6933" s="31"/>
      <c r="H6933" s="31"/>
      <c r="I6933" s="31"/>
      <c r="J6933" s="31"/>
    </row>
    <row r="6934" spans="7:10" s="29" customFormat="1" x14ac:dyDescent="0.2">
      <c r="G6934" s="31"/>
      <c r="H6934" s="31"/>
      <c r="I6934" s="31"/>
      <c r="J6934" s="31"/>
    </row>
    <row r="6935" spans="7:10" s="29" customFormat="1" x14ac:dyDescent="0.2">
      <c r="G6935" s="31"/>
      <c r="H6935" s="31"/>
      <c r="I6935" s="31"/>
      <c r="J6935" s="31"/>
    </row>
    <row r="6936" spans="7:10" s="29" customFormat="1" x14ac:dyDescent="0.2">
      <c r="G6936" s="31"/>
      <c r="H6936" s="31"/>
      <c r="I6936" s="31"/>
      <c r="J6936" s="31"/>
    </row>
    <row r="6937" spans="7:10" s="29" customFormat="1" x14ac:dyDescent="0.2">
      <c r="G6937" s="31"/>
      <c r="H6937" s="31"/>
      <c r="I6937" s="31"/>
      <c r="J6937" s="31"/>
    </row>
    <row r="6938" spans="7:10" s="29" customFormat="1" x14ac:dyDescent="0.2">
      <c r="G6938" s="31"/>
      <c r="H6938" s="31"/>
      <c r="I6938" s="31"/>
      <c r="J6938" s="31"/>
    </row>
    <row r="6939" spans="7:10" s="29" customFormat="1" x14ac:dyDescent="0.2">
      <c r="G6939" s="31"/>
      <c r="H6939" s="31"/>
      <c r="I6939" s="31"/>
      <c r="J6939" s="31"/>
    </row>
    <row r="6940" spans="7:10" s="29" customFormat="1" x14ac:dyDescent="0.2">
      <c r="G6940" s="31"/>
      <c r="H6940" s="31"/>
      <c r="I6940" s="31"/>
      <c r="J6940" s="31"/>
    </row>
    <row r="6941" spans="7:10" s="29" customFormat="1" x14ac:dyDescent="0.2">
      <c r="G6941" s="31"/>
      <c r="H6941" s="31"/>
      <c r="I6941" s="31"/>
      <c r="J6941" s="31"/>
    </row>
    <row r="6942" spans="7:10" s="29" customFormat="1" x14ac:dyDescent="0.2">
      <c r="G6942" s="31"/>
      <c r="H6942" s="31"/>
      <c r="I6942" s="31"/>
      <c r="J6942" s="31"/>
    </row>
    <row r="6943" spans="7:10" s="29" customFormat="1" x14ac:dyDescent="0.2">
      <c r="G6943" s="31"/>
      <c r="H6943" s="31"/>
      <c r="I6943" s="31"/>
      <c r="J6943" s="31"/>
    </row>
    <row r="6944" spans="7:10" s="29" customFormat="1" x14ac:dyDescent="0.2">
      <c r="G6944" s="31"/>
      <c r="H6944" s="31"/>
      <c r="I6944" s="31"/>
      <c r="J6944" s="31"/>
    </row>
    <row r="6945" spans="7:10" s="29" customFormat="1" x14ac:dyDescent="0.2">
      <c r="G6945" s="31"/>
      <c r="H6945" s="31"/>
      <c r="I6945" s="31"/>
      <c r="J6945" s="31"/>
    </row>
    <row r="6946" spans="7:10" s="29" customFormat="1" x14ac:dyDescent="0.2">
      <c r="G6946" s="31"/>
      <c r="H6946" s="31"/>
      <c r="I6946" s="31"/>
      <c r="J6946" s="31"/>
    </row>
    <row r="6947" spans="7:10" s="29" customFormat="1" x14ac:dyDescent="0.2">
      <c r="G6947" s="31"/>
      <c r="H6947" s="31"/>
      <c r="I6947" s="31"/>
      <c r="J6947" s="31"/>
    </row>
    <row r="6948" spans="7:10" s="29" customFormat="1" x14ac:dyDescent="0.2">
      <c r="G6948" s="31"/>
      <c r="H6948" s="31"/>
      <c r="I6948" s="31"/>
      <c r="J6948" s="31"/>
    </row>
    <row r="6949" spans="7:10" s="29" customFormat="1" x14ac:dyDescent="0.2">
      <c r="G6949" s="31"/>
      <c r="H6949" s="31"/>
      <c r="I6949" s="31"/>
      <c r="J6949" s="31"/>
    </row>
    <row r="6950" spans="7:10" s="29" customFormat="1" x14ac:dyDescent="0.2">
      <c r="G6950" s="31"/>
      <c r="H6950" s="31"/>
      <c r="I6950" s="31"/>
      <c r="J6950" s="31"/>
    </row>
    <row r="6951" spans="7:10" s="29" customFormat="1" x14ac:dyDescent="0.2">
      <c r="G6951" s="31"/>
      <c r="H6951" s="31"/>
      <c r="I6951" s="31"/>
      <c r="J6951" s="31"/>
    </row>
    <row r="6952" spans="7:10" s="29" customFormat="1" x14ac:dyDescent="0.2">
      <c r="G6952" s="31"/>
      <c r="H6952" s="31"/>
      <c r="I6952" s="31"/>
      <c r="J6952" s="31"/>
    </row>
    <row r="6953" spans="7:10" s="29" customFormat="1" x14ac:dyDescent="0.2">
      <c r="G6953" s="31"/>
      <c r="H6953" s="31"/>
      <c r="I6953" s="31"/>
      <c r="J6953" s="31"/>
    </row>
    <row r="6954" spans="7:10" s="29" customFormat="1" x14ac:dyDescent="0.2">
      <c r="G6954" s="31"/>
      <c r="H6954" s="31"/>
      <c r="I6954" s="31"/>
      <c r="J6954" s="31"/>
    </row>
    <row r="6955" spans="7:10" s="29" customFormat="1" x14ac:dyDescent="0.2">
      <c r="G6955" s="31"/>
      <c r="H6955" s="31"/>
      <c r="I6955" s="31"/>
      <c r="J6955" s="31"/>
    </row>
    <row r="6956" spans="7:10" s="29" customFormat="1" x14ac:dyDescent="0.2">
      <c r="G6956" s="31"/>
      <c r="H6956" s="31"/>
      <c r="I6956" s="31"/>
      <c r="J6956" s="31"/>
    </row>
    <row r="6957" spans="7:10" s="29" customFormat="1" x14ac:dyDescent="0.2">
      <c r="G6957" s="31"/>
      <c r="H6957" s="31"/>
      <c r="I6957" s="31"/>
      <c r="J6957" s="31"/>
    </row>
    <row r="6958" spans="7:10" s="29" customFormat="1" x14ac:dyDescent="0.2">
      <c r="G6958" s="31"/>
      <c r="H6958" s="31"/>
      <c r="I6958" s="31"/>
      <c r="J6958" s="31"/>
    </row>
    <row r="6959" spans="7:10" s="29" customFormat="1" x14ac:dyDescent="0.2">
      <c r="G6959" s="31"/>
      <c r="H6959" s="31"/>
      <c r="I6959" s="31"/>
      <c r="J6959" s="31"/>
    </row>
    <row r="6960" spans="7:10" s="29" customFormat="1" x14ac:dyDescent="0.2">
      <c r="G6960" s="31"/>
      <c r="H6960" s="31"/>
      <c r="I6960" s="31"/>
      <c r="J6960" s="31"/>
    </row>
    <row r="6961" spans="7:10" s="29" customFormat="1" x14ac:dyDescent="0.2">
      <c r="G6961" s="31"/>
      <c r="H6961" s="31"/>
      <c r="I6961" s="31"/>
      <c r="J6961" s="31"/>
    </row>
    <row r="6962" spans="7:10" s="29" customFormat="1" x14ac:dyDescent="0.2">
      <c r="G6962" s="31"/>
      <c r="H6962" s="31"/>
      <c r="I6962" s="31"/>
      <c r="J6962" s="31"/>
    </row>
    <row r="6963" spans="7:10" s="29" customFormat="1" x14ac:dyDescent="0.2">
      <c r="G6963" s="31"/>
      <c r="H6963" s="31"/>
      <c r="I6963" s="31"/>
      <c r="J6963" s="31"/>
    </row>
    <row r="6964" spans="7:10" s="29" customFormat="1" x14ac:dyDescent="0.2">
      <c r="G6964" s="31"/>
      <c r="H6964" s="31"/>
      <c r="I6964" s="31"/>
      <c r="J6964" s="31"/>
    </row>
    <row r="6965" spans="7:10" s="29" customFormat="1" x14ac:dyDescent="0.2">
      <c r="G6965" s="31"/>
      <c r="H6965" s="31"/>
      <c r="I6965" s="31"/>
      <c r="J6965" s="31"/>
    </row>
    <row r="6966" spans="7:10" s="29" customFormat="1" x14ac:dyDescent="0.2">
      <c r="G6966" s="31"/>
      <c r="H6966" s="31"/>
      <c r="I6966" s="31"/>
      <c r="J6966" s="31"/>
    </row>
    <row r="6967" spans="7:10" s="29" customFormat="1" x14ac:dyDescent="0.2">
      <c r="G6967" s="31"/>
      <c r="H6967" s="31"/>
      <c r="I6967" s="31"/>
      <c r="J6967" s="31"/>
    </row>
    <row r="6968" spans="7:10" s="29" customFormat="1" x14ac:dyDescent="0.2">
      <c r="G6968" s="31"/>
      <c r="H6968" s="31"/>
      <c r="I6968" s="31"/>
      <c r="J6968" s="31"/>
    </row>
    <row r="6969" spans="7:10" s="29" customFormat="1" x14ac:dyDescent="0.2">
      <c r="G6969" s="31"/>
      <c r="H6969" s="31"/>
      <c r="I6969" s="31"/>
      <c r="J6969" s="31"/>
    </row>
    <row r="6970" spans="7:10" s="29" customFormat="1" x14ac:dyDescent="0.2">
      <c r="G6970" s="31"/>
      <c r="H6970" s="31"/>
      <c r="I6970" s="31"/>
      <c r="J6970" s="31"/>
    </row>
    <row r="6971" spans="7:10" s="29" customFormat="1" x14ac:dyDescent="0.2">
      <c r="G6971" s="31"/>
      <c r="H6971" s="31"/>
      <c r="I6971" s="31"/>
      <c r="J6971" s="31"/>
    </row>
    <row r="6972" spans="7:10" s="29" customFormat="1" x14ac:dyDescent="0.2">
      <c r="G6972" s="31"/>
      <c r="H6972" s="31"/>
      <c r="I6972" s="31"/>
      <c r="J6972" s="31"/>
    </row>
    <row r="6973" spans="7:10" s="29" customFormat="1" x14ac:dyDescent="0.2">
      <c r="G6973" s="31"/>
      <c r="H6973" s="31"/>
      <c r="I6973" s="31"/>
      <c r="J6973" s="31"/>
    </row>
    <row r="6974" spans="7:10" s="29" customFormat="1" x14ac:dyDescent="0.2">
      <c r="G6974" s="31"/>
      <c r="H6974" s="31"/>
      <c r="I6974" s="31"/>
      <c r="J6974" s="31"/>
    </row>
    <row r="6975" spans="7:10" s="29" customFormat="1" x14ac:dyDescent="0.2">
      <c r="G6975" s="31"/>
      <c r="H6975" s="31"/>
      <c r="I6975" s="31"/>
      <c r="J6975" s="31"/>
    </row>
    <row r="6976" spans="7:10" s="29" customFormat="1" x14ac:dyDescent="0.2">
      <c r="G6976" s="31"/>
      <c r="H6976" s="31"/>
      <c r="I6976" s="31"/>
      <c r="J6976" s="31"/>
    </row>
    <row r="6977" spans="7:10" s="29" customFormat="1" x14ac:dyDescent="0.2">
      <c r="G6977" s="31"/>
      <c r="H6977" s="31"/>
      <c r="I6977" s="31"/>
      <c r="J6977" s="31"/>
    </row>
    <row r="6978" spans="7:10" s="29" customFormat="1" x14ac:dyDescent="0.2">
      <c r="G6978" s="31"/>
      <c r="H6978" s="31"/>
      <c r="I6978" s="31"/>
      <c r="J6978" s="31"/>
    </row>
    <row r="6979" spans="7:10" s="29" customFormat="1" x14ac:dyDescent="0.2">
      <c r="G6979" s="31"/>
      <c r="H6979" s="31"/>
      <c r="I6979" s="31"/>
      <c r="J6979" s="31"/>
    </row>
    <row r="6980" spans="7:10" s="29" customFormat="1" x14ac:dyDescent="0.2">
      <c r="G6980" s="31"/>
      <c r="H6980" s="31"/>
      <c r="I6980" s="31"/>
      <c r="J6980" s="31"/>
    </row>
    <row r="6981" spans="7:10" s="29" customFormat="1" x14ac:dyDescent="0.2">
      <c r="G6981" s="31"/>
      <c r="H6981" s="31"/>
      <c r="I6981" s="31"/>
      <c r="J6981" s="31"/>
    </row>
    <row r="6982" spans="7:10" s="29" customFormat="1" x14ac:dyDescent="0.2">
      <c r="G6982" s="31"/>
      <c r="H6982" s="31"/>
      <c r="I6982" s="31"/>
      <c r="J6982" s="31"/>
    </row>
    <row r="6983" spans="7:10" s="29" customFormat="1" x14ac:dyDescent="0.2">
      <c r="G6983" s="31"/>
      <c r="H6983" s="31"/>
      <c r="I6983" s="31"/>
      <c r="J6983" s="31"/>
    </row>
    <row r="6984" spans="7:10" s="29" customFormat="1" x14ac:dyDescent="0.2">
      <c r="G6984" s="31"/>
      <c r="H6984" s="31"/>
      <c r="I6984" s="31"/>
      <c r="J6984" s="31"/>
    </row>
    <row r="6985" spans="7:10" s="29" customFormat="1" x14ac:dyDescent="0.2">
      <c r="G6985" s="31"/>
      <c r="H6985" s="31"/>
      <c r="I6985" s="31"/>
      <c r="J6985" s="31"/>
    </row>
    <row r="6986" spans="7:10" s="29" customFormat="1" x14ac:dyDescent="0.2">
      <c r="G6986" s="31"/>
      <c r="H6986" s="31"/>
      <c r="I6986" s="31"/>
      <c r="J6986" s="31"/>
    </row>
    <row r="6987" spans="7:10" s="29" customFormat="1" x14ac:dyDescent="0.2">
      <c r="G6987" s="31"/>
      <c r="H6987" s="31"/>
      <c r="I6987" s="31"/>
      <c r="J6987" s="31"/>
    </row>
    <row r="6988" spans="7:10" s="29" customFormat="1" x14ac:dyDescent="0.2">
      <c r="G6988" s="31"/>
      <c r="H6988" s="31"/>
      <c r="I6988" s="31"/>
      <c r="J6988" s="31"/>
    </row>
    <row r="6989" spans="7:10" s="29" customFormat="1" x14ac:dyDescent="0.2">
      <c r="G6989" s="31"/>
      <c r="H6989" s="31"/>
      <c r="I6989" s="31"/>
      <c r="J6989" s="31"/>
    </row>
    <row r="6990" spans="7:10" s="29" customFormat="1" x14ac:dyDescent="0.2">
      <c r="G6990" s="31"/>
      <c r="H6990" s="31"/>
      <c r="I6990" s="31"/>
      <c r="J6990" s="31"/>
    </row>
    <row r="6991" spans="7:10" s="29" customFormat="1" x14ac:dyDescent="0.2">
      <c r="G6991" s="31"/>
      <c r="H6991" s="31"/>
      <c r="I6991" s="31"/>
      <c r="J6991" s="31"/>
    </row>
    <row r="6992" spans="7:10" s="29" customFormat="1" x14ac:dyDescent="0.2">
      <c r="G6992" s="31"/>
      <c r="H6992" s="31"/>
      <c r="I6992" s="31"/>
      <c r="J6992" s="31"/>
    </row>
    <row r="6993" spans="7:10" s="29" customFormat="1" x14ac:dyDescent="0.2">
      <c r="G6993" s="31"/>
      <c r="H6993" s="31"/>
      <c r="I6993" s="31"/>
      <c r="J6993" s="31"/>
    </row>
    <row r="6994" spans="7:10" s="29" customFormat="1" x14ac:dyDescent="0.2">
      <c r="G6994" s="31"/>
      <c r="H6994" s="31"/>
      <c r="I6994" s="31"/>
      <c r="J6994" s="31"/>
    </row>
    <row r="6995" spans="7:10" s="29" customFormat="1" x14ac:dyDescent="0.2">
      <c r="G6995" s="31"/>
      <c r="H6995" s="31"/>
      <c r="I6995" s="31"/>
      <c r="J6995" s="31"/>
    </row>
    <row r="6996" spans="7:10" s="29" customFormat="1" x14ac:dyDescent="0.2">
      <c r="G6996" s="31"/>
      <c r="H6996" s="31"/>
      <c r="I6996" s="31"/>
      <c r="J6996" s="31"/>
    </row>
    <row r="6997" spans="7:10" s="29" customFormat="1" x14ac:dyDescent="0.2">
      <c r="G6997" s="31"/>
      <c r="H6997" s="31"/>
      <c r="I6997" s="31"/>
      <c r="J6997" s="31"/>
    </row>
    <row r="6998" spans="7:10" s="29" customFormat="1" x14ac:dyDescent="0.2">
      <c r="G6998" s="31"/>
      <c r="H6998" s="31"/>
      <c r="I6998" s="31"/>
      <c r="J6998" s="31"/>
    </row>
    <row r="6999" spans="7:10" s="29" customFormat="1" x14ac:dyDescent="0.2">
      <c r="G6999" s="31"/>
      <c r="H6999" s="31"/>
      <c r="I6999" s="31"/>
      <c r="J6999" s="31"/>
    </row>
    <row r="7000" spans="7:10" s="29" customFormat="1" x14ac:dyDescent="0.2">
      <c r="G7000" s="31"/>
      <c r="H7000" s="31"/>
      <c r="I7000" s="31"/>
      <c r="J7000" s="31"/>
    </row>
    <row r="7001" spans="7:10" s="29" customFormat="1" x14ac:dyDescent="0.2">
      <c r="G7001" s="31"/>
      <c r="H7001" s="31"/>
      <c r="I7001" s="31"/>
      <c r="J7001" s="31"/>
    </row>
    <row r="7002" spans="7:10" s="29" customFormat="1" x14ac:dyDescent="0.2">
      <c r="G7002" s="31"/>
      <c r="H7002" s="31"/>
      <c r="I7002" s="31"/>
      <c r="J7002" s="31"/>
    </row>
    <row r="7003" spans="7:10" s="29" customFormat="1" x14ac:dyDescent="0.2">
      <c r="G7003" s="31"/>
      <c r="H7003" s="31"/>
      <c r="I7003" s="31"/>
      <c r="J7003" s="31"/>
    </row>
    <row r="7004" spans="7:10" s="29" customFormat="1" x14ac:dyDescent="0.2">
      <c r="G7004" s="31"/>
      <c r="H7004" s="31"/>
      <c r="I7004" s="31"/>
      <c r="J7004" s="31"/>
    </row>
    <row r="7005" spans="7:10" s="29" customFormat="1" x14ac:dyDescent="0.2">
      <c r="G7005" s="31"/>
      <c r="H7005" s="31"/>
      <c r="I7005" s="31"/>
      <c r="J7005" s="31"/>
    </row>
    <row r="7006" spans="7:10" s="29" customFormat="1" x14ac:dyDescent="0.2">
      <c r="G7006" s="31"/>
      <c r="H7006" s="31"/>
      <c r="I7006" s="31"/>
      <c r="J7006" s="31"/>
    </row>
    <row r="7007" spans="7:10" s="29" customFormat="1" x14ac:dyDescent="0.2">
      <c r="G7007" s="31"/>
      <c r="H7007" s="31"/>
      <c r="I7007" s="31"/>
      <c r="J7007" s="31"/>
    </row>
    <row r="7008" spans="7:10" s="29" customFormat="1" x14ac:dyDescent="0.2">
      <c r="G7008" s="31"/>
      <c r="H7008" s="31"/>
      <c r="I7008" s="31"/>
      <c r="J7008" s="31"/>
    </row>
    <row r="7009" spans="7:10" s="29" customFormat="1" x14ac:dyDescent="0.2">
      <c r="G7009" s="31"/>
      <c r="H7009" s="31"/>
      <c r="I7009" s="31"/>
      <c r="J7009" s="31"/>
    </row>
    <row r="7010" spans="7:10" s="29" customFormat="1" x14ac:dyDescent="0.2">
      <c r="G7010" s="31"/>
      <c r="H7010" s="31"/>
      <c r="I7010" s="31"/>
      <c r="J7010" s="31"/>
    </row>
    <row r="7011" spans="7:10" s="29" customFormat="1" x14ac:dyDescent="0.2">
      <c r="G7011" s="31"/>
      <c r="H7011" s="31"/>
      <c r="I7011" s="31"/>
      <c r="J7011" s="31"/>
    </row>
    <row r="7012" spans="7:10" s="29" customFormat="1" x14ac:dyDescent="0.2">
      <c r="G7012" s="31"/>
      <c r="H7012" s="31"/>
      <c r="I7012" s="31"/>
      <c r="J7012" s="31"/>
    </row>
    <row r="7013" spans="7:10" s="29" customFormat="1" x14ac:dyDescent="0.2">
      <c r="G7013" s="31"/>
      <c r="H7013" s="31"/>
      <c r="I7013" s="31"/>
      <c r="J7013" s="31"/>
    </row>
    <row r="7014" spans="7:10" s="29" customFormat="1" x14ac:dyDescent="0.2">
      <c r="G7014" s="31"/>
      <c r="H7014" s="31"/>
      <c r="I7014" s="31"/>
      <c r="J7014" s="31"/>
    </row>
    <row r="7015" spans="7:10" s="29" customFormat="1" x14ac:dyDescent="0.2">
      <c r="G7015" s="31"/>
      <c r="H7015" s="31"/>
      <c r="I7015" s="31"/>
      <c r="J7015" s="31"/>
    </row>
    <row r="7016" spans="7:10" s="29" customFormat="1" x14ac:dyDescent="0.2">
      <c r="G7016" s="31"/>
      <c r="H7016" s="31"/>
      <c r="I7016" s="31"/>
      <c r="J7016" s="31"/>
    </row>
    <row r="7017" spans="7:10" s="29" customFormat="1" x14ac:dyDescent="0.2">
      <c r="G7017" s="31"/>
      <c r="H7017" s="31"/>
      <c r="I7017" s="31"/>
      <c r="J7017" s="31"/>
    </row>
    <row r="7018" spans="7:10" s="29" customFormat="1" x14ac:dyDescent="0.2">
      <c r="G7018" s="31"/>
      <c r="H7018" s="31"/>
      <c r="I7018" s="31"/>
      <c r="J7018" s="31"/>
    </row>
    <row r="7019" spans="7:10" s="29" customFormat="1" x14ac:dyDescent="0.2">
      <c r="G7019" s="31"/>
      <c r="H7019" s="31"/>
      <c r="I7019" s="31"/>
      <c r="J7019" s="31"/>
    </row>
    <row r="7020" spans="7:10" s="29" customFormat="1" x14ac:dyDescent="0.2">
      <c r="G7020" s="31"/>
      <c r="H7020" s="31"/>
      <c r="I7020" s="31"/>
      <c r="J7020" s="31"/>
    </row>
    <row r="7021" spans="7:10" s="29" customFormat="1" x14ac:dyDescent="0.2">
      <c r="G7021" s="31"/>
      <c r="H7021" s="31"/>
      <c r="I7021" s="31"/>
      <c r="J7021" s="31"/>
    </row>
    <row r="7022" spans="7:10" s="29" customFormat="1" x14ac:dyDescent="0.2">
      <c r="G7022" s="31"/>
      <c r="H7022" s="31"/>
      <c r="I7022" s="31"/>
      <c r="J7022" s="31"/>
    </row>
    <row r="7023" spans="7:10" s="29" customFormat="1" x14ac:dyDescent="0.2">
      <c r="G7023" s="31"/>
      <c r="H7023" s="31"/>
      <c r="I7023" s="31"/>
      <c r="J7023" s="31"/>
    </row>
    <row r="7024" spans="7:10" s="29" customFormat="1" x14ac:dyDescent="0.2">
      <c r="G7024" s="31"/>
      <c r="H7024" s="31"/>
      <c r="I7024" s="31"/>
      <c r="J7024" s="31"/>
    </row>
    <row r="7025" spans="7:10" s="29" customFormat="1" x14ac:dyDescent="0.2">
      <c r="G7025" s="31"/>
      <c r="H7025" s="31"/>
      <c r="I7025" s="31"/>
      <c r="J7025" s="31"/>
    </row>
    <row r="7026" spans="7:10" s="29" customFormat="1" x14ac:dyDescent="0.2">
      <c r="G7026" s="31"/>
      <c r="H7026" s="31"/>
      <c r="I7026" s="31"/>
      <c r="J7026" s="31"/>
    </row>
    <row r="7027" spans="7:10" s="29" customFormat="1" x14ac:dyDescent="0.2">
      <c r="G7027" s="31"/>
      <c r="H7027" s="31"/>
      <c r="I7027" s="31"/>
      <c r="J7027" s="31"/>
    </row>
    <row r="7028" spans="7:10" s="29" customFormat="1" x14ac:dyDescent="0.2">
      <c r="G7028" s="31"/>
      <c r="H7028" s="31"/>
      <c r="I7028" s="31"/>
      <c r="J7028" s="31"/>
    </row>
    <row r="7029" spans="7:10" s="29" customFormat="1" x14ac:dyDescent="0.2">
      <c r="G7029" s="31"/>
      <c r="H7029" s="31"/>
      <c r="I7029" s="31"/>
      <c r="J7029" s="31"/>
    </row>
    <row r="7030" spans="7:10" s="29" customFormat="1" x14ac:dyDescent="0.2">
      <c r="G7030" s="31"/>
      <c r="H7030" s="31"/>
      <c r="I7030" s="31"/>
      <c r="J7030" s="31"/>
    </row>
    <row r="7031" spans="7:10" s="29" customFormat="1" x14ac:dyDescent="0.2">
      <c r="G7031" s="31"/>
      <c r="H7031" s="31"/>
      <c r="I7031" s="31"/>
      <c r="J7031" s="31"/>
    </row>
    <row r="7032" spans="7:10" s="29" customFormat="1" x14ac:dyDescent="0.2">
      <c r="G7032" s="31"/>
      <c r="H7032" s="31"/>
      <c r="I7032" s="31"/>
      <c r="J7032" s="31"/>
    </row>
    <row r="7033" spans="7:10" s="29" customFormat="1" x14ac:dyDescent="0.2">
      <c r="G7033" s="31"/>
      <c r="H7033" s="31"/>
      <c r="I7033" s="31"/>
      <c r="J7033" s="31"/>
    </row>
    <row r="7034" spans="7:10" s="29" customFormat="1" x14ac:dyDescent="0.2">
      <c r="G7034" s="31"/>
      <c r="H7034" s="31"/>
      <c r="I7034" s="31"/>
      <c r="J7034" s="31"/>
    </row>
    <row r="7035" spans="7:10" s="29" customFormat="1" x14ac:dyDescent="0.2">
      <c r="G7035" s="31"/>
      <c r="H7035" s="31"/>
      <c r="I7035" s="31"/>
      <c r="J7035" s="31"/>
    </row>
    <row r="7036" spans="7:10" s="29" customFormat="1" x14ac:dyDescent="0.2">
      <c r="G7036" s="31"/>
      <c r="H7036" s="31"/>
      <c r="I7036" s="31"/>
      <c r="J7036" s="31"/>
    </row>
    <row r="7037" spans="7:10" s="29" customFormat="1" x14ac:dyDescent="0.2">
      <c r="G7037" s="31"/>
      <c r="H7037" s="31"/>
      <c r="I7037" s="31"/>
      <c r="J7037" s="31"/>
    </row>
    <row r="7038" spans="7:10" s="29" customFormat="1" x14ac:dyDescent="0.2">
      <c r="G7038" s="31"/>
      <c r="H7038" s="31"/>
      <c r="I7038" s="31"/>
      <c r="J7038" s="31"/>
    </row>
    <row r="7039" spans="7:10" s="29" customFormat="1" x14ac:dyDescent="0.2">
      <c r="G7039" s="31"/>
      <c r="H7039" s="31"/>
      <c r="I7039" s="31"/>
      <c r="J7039" s="31"/>
    </row>
    <row r="7040" spans="7:10" s="29" customFormat="1" x14ac:dyDescent="0.2">
      <c r="G7040" s="31"/>
      <c r="H7040" s="31"/>
      <c r="I7040" s="31"/>
      <c r="J7040" s="31"/>
    </row>
    <row r="7041" spans="7:10" s="29" customFormat="1" x14ac:dyDescent="0.2">
      <c r="G7041" s="31"/>
      <c r="H7041" s="31"/>
      <c r="I7041" s="31"/>
      <c r="J7041" s="31"/>
    </row>
    <row r="7042" spans="7:10" s="29" customFormat="1" x14ac:dyDescent="0.2">
      <c r="G7042" s="31"/>
      <c r="H7042" s="31"/>
      <c r="I7042" s="31"/>
      <c r="J7042" s="31"/>
    </row>
    <row r="7043" spans="7:10" s="29" customFormat="1" x14ac:dyDescent="0.2">
      <c r="G7043" s="31"/>
      <c r="H7043" s="31"/>
      <c r="I7043" s="31"/>
      <c r="J7043" s="31"/>
    </row>
    <row r="7044" spans="7:10" s="29" customFormat="1" x14ac:dyDescent="0.2">
      <c r="G7044" s="31"/>
      <c r="H7044" s="31"/>
      <c r="I7044" s="31"/>
      <c r="J7044" s="31"/>
    </row>
    <row r="7045" spans="7:10" s="29" customFormat="1" x14ac:dyDescent="0.2">
      <c r="G7045" s="31"/>
      <c r="H7045" s="31"/>
      <c r="I7045" s="31"/>
      <c r="J7045" s="31"/>
    </row>
    <row r="7046" spans="7:10" s="29" customFormat="1" x14ac:dyDescent="0.2">
      <c r="G7046" s="31"/>
      <c r="H7046" s="31"/>
      <c r="I7046" s="31"/>
      <c r="J7046" s="31"/>
    </row>
    <row r="7047" spans="7:10" s="29" customFormat="1" x14ac:dyDescent="0.2">
      <c r="G7047" s="31"/>
      <c r="H7047" s="31"/>
      <c r="I7047" s="31"/>
      <c r="J7047" s="31"/>
    </row>
    <row r="7048" spans="7:10" s="29" customFormat="1" x14ac:dyDescent="0.2">
      <c r="G7048" s="31"/>
      <c r="H7048" s="31"/>
      <c r="I7048" s="31"/>
      <c r="J7048" s="31"/>
    </row>
    <row r="7049" spans="7:10" s="29" customFormat="1" x14ac:dyDescent="0.2">
      <c r="G7049" s="31"/>
      <c r="H7049" s="31"/>
      <c r="I7049" s="31"/>
      <c r="J7049" s="31"/>
    </row>
    <row r="7050" spans="7:10" s="29" customFormat="1" x14ac:dyDescent="0.2">
      <c r="G7050" s="31"/>
      <c r="H7050" s="31"/>
      <c r="I7050" s="31"/>
      <c r="J7050" s="31"/>
    </row>
    <row r="7051" spans="7:10" s="29" customFormat="1" x14ac:dyDescent="0.2">
      <c r="G7051" s="31"/>
      <c r="H7051" s="31"/>
      <c r="I7051" s="31"/>
      <c r="J7051" s="31"/>
    </row>
    <row r="7052" spans="7:10" s="29" customFormat="1" x14ac:dyDescent="0.2">
      <c r="G7052" s="31"/>
      <c r="H7052" s="31"/>
      <c r="I7052" s="31"/>
      <c r="J7052" s="31"/>
    </row>
    <row r="7053" spans="7:10" s="29" customFormat="1" x14ac:dyDescent="0.2">
      <c r="G7053" s="31"/>
      <c r="H7053" s="31"/>
      <c r="I7053" s="31"/>
      <c r="J7053" s="31"/>
    </row>
    <row r="7054" spans="7:10" s="29" customFormat="1" x14ac:dyDescent="0.2">
      <c r="G7054" s="31"/>
      <c r="H7054" s="31"/>
      <c r="I7054" s="31"/>
      <c r="J7054" s="31"/>
    </row>
    <row r="7055" spans="7:10" s="29" customFormat="1" x14ac:dyDescent="0.2">
      <c r="G7055" s="31"/>
      <c r="H7055" s="31"/>
      <c r="I7055" s="31"/>
      <c r="J7055" s="31"/>
    </row>
    <row r="7056" spans="7:10" s="29" customFormat="1" x14ac:dyDescent="0.2">
      <c r="G7056" s="31"/>
      <c r="H7056" s="31"/>
      <c r="I7056" s="31"/>
      <c r="J7056" s="31"/>
    </row>
    <row r="7057" spans="7:10" s="29" customFormat="1" x14ac:dyDescent="0.2">
      <c r="G7057" s="31"/>
      <c r="H7057" s="31"/>
      <c r="I7057" s="31"/>
      <c r="J7057" s="31"/>
    </row>
    <row r="7058" spans="7:10" s="29" customFormat="1" x14ac:dyDescent="0.2">
      <c r="G7058" s="31"/>
      <c r="H7058" s="31"/>
      <c r="I7058" s="31"/>
      <c r="J7058" s="31"/>
    </row>
    <row r="7059" spans="7:10" s="29" customFormat="1" x14ac:dyDescent="0.2">
      <c r="G7059" s="31"/>
      <c r="H7059" s="31"/>
      <c r="I7059" s="31"/>
      <c r="J7059" s="31"/>
    </row>
    <row r="7060" spans="7:10" s="29" customFormat="1" x14ac:dyDescent="0.2">
      <c r="G7060" s="31"/>
      <c r="H7060" s="31"/>
      <c r="I7060" s="31"/>
      <c r="J7060" s="31"/>
    </row>
    <row r="7061" spans="7:10" s="29" customFormat="1" x14ac:dyDescent="0.2">
      <c r="G7061" s="31"/>
      <c r="H7061" s="31"/>
      <c r="I7061" s="31"/>
      <c r="J7061" s="31"/>
    </row>
    <row r="7062" spans="7:10" s="29" customFormat="1" x14ac:dyDescent="0.2">
      <c r="G7062" s="31"/>
      <c r="H7062" s="31"/>
      <c r="I7062" s="31"/>
      <c r="J7062" s="31"/>
    </row>
    <row r="7063" spans="7:10" s="29" customFormat="1" x14ac:dyDescent="0.2">
      <c r="G7063" s="31"/>
      <c r="H7063" s="31"/>
      <c r="I7063" s="31"/>
      <c r="J7063" s="31"/>
    </row>
    <row r="7064" spans="7:10" s="29" customFormat="1" x14ac:dyDescent="0.2">
      <c r="G7064" s="31"/>
      <c r="H7064" s="31"/>
      <c r="I7064" s="31"/>
      <c r="J7064" s="31"/>
    </row>
    <row r="7065" spans="7:10" s="29" customFormat="1" x14ac:dyDescent="0.2">
      <c r="G7065" s="31"/>
      <c r="H7065" s="31"/>
      <c r="I7065" s="31"/>
      <c r="J7065" s="31"/>
    </row>
    <row r="7066" spans="7:10" s="29" customFormat="1" x14ac:dyDescent="0.2">
      <c r="G7066" s="31"/>
      <c r="H7066" s="31"/>
      <c r="I7066" s="31"/>
      <c r="J7066" s="31"/>
    </row>
    <row r="7067" spans="7:10" s="29" customFormat="1" x14ac:dyDescent="0.2">
      <c r="G7067" s="31"/>
      <c r="H7067" s="31"/>
      <c r="I7067" s="31"/>
      <c r="J7067" s="31"/>
    </row>
    <row r="7068" spans="7:10" s="29" customFormat="1" x14ac:dyDescent="0.2">
      <c r="G7068" s="31"/>
      <c r="H7068" s="31"/>
      <c r="I7068" s="31"/>
      <c r="J7068" s="31"/>
    </row>
    <row r="7069" spans="7:10" s="29" customFormat="1" x14ac:dyDescent="0.2">
      <c r="G7069" s="31"/>
      <c r="H7069" s="31"/>
      <c r="I7069" s="31"/>
      <c r="J7069" s="31"/>
    </row>
    <row r="7070" spans="7:10" s="29" customFormat="1" x14ac:dyDescent="0.2">
      <c r="G7070" s="31"/>
      <c r="H7070" s="31"/>
      <c r="I7070" s="31"/>
      <c r="J7070" s="31"/>
    </row>
    <row r="7071" spans="7:10" s="29" customFormat="1" x14ac:dyDescent="0.2">
      <c r="G7071" s="31"/>
      <c r="H7071" s="31"/>
      <c r="I7071" s="31"/>
      <c r="J7071" s="31"/>
    </row>
    <row r="7072" spans="7:10" s="29" customFormat="1" x14ac:dyDescent="0.2">
      <c r="G7072" s="31"/>
      <c r="H7072" s="31"/>
      <c r="I7072" s="31"/>
      <c r="J7072" s="31"/>
    </row>
    <row r="7073" spans="7:10" s="29" customFormat="1" x14ac:dyDescent="0.2">
      <c r="G7073" s="31"/>
      <c r="H7073" s="31"/>
      <c r="I7073" s="31"/>
      <c r="J7073" s="31"/>
    </row>
    <row r="7074" spans="7:10" s="29" customFormat="1" x14ac:dyDescent="0.2">
      <c r="G7074" s="31"/>
      <c r="H7074" s="31"/>
      <c r="I7074" s="31"/>
      <c r="J7074" s="31"/>
    </row>
    <row r="7075" spans="7:10" s="29" customFormat="1" x14ac:dyDescent="0.2">
      <c r="G7075" s="31"/>
      <c r="H7075" s="31"/>
      <c r="I7075" s="31"/>
      <c r="J7075" s="31"/>
    </row>
    <row r="7076" spans="7:10" s="29" customFormat="1" x14ac:dyDescent="0.2">
      <c r="G7076" s="31"/>
      <c r="H7076" s="31"/>
      <c r="I7076" s="31"/>
      <c r="J7076" s="31"/>
    </row>
    <row r="7077" spans="7:10" s="29" customFormat="1" x14ac:dyDescent="0.2">
      <c r="G7077" s="31"/>
      <c r="H7077" s="31"/>
      <c r="I7077" s="31"/>
      <c r="J7077" s="31"/>
    </row>
    <row r="7078" spans="7:10" s="29" customFormat="1" x14ac:dyDescent="0.2">
      <c r="G7078" s="31"/>
      <c r="H7078" s="31"/>
      <c r="I7078" s="31"/>
      <c r="J7078" s="31"/>
    </row>
    <row r="7079" spans="7:10" s="29" customFormat="1" x14ac:dyDescent="0.2">
      <c r="G7079" s="31"/>
      <c r="H7079" s="31"/>
      <c r="I7079" s="31"/>
      <c r="J7079" s="31"/>
    </row>
    <row r="7080" spans="7:10" s="29" customFormat="1" x14ac:dyDescent="0.2">
      <c r="G7080" s="31"/>
      <c r="H7080" s="31"/>
      <c r="I7080" s="31"/>
      <c r="J7080" s="31"/>
    </row>
    <row r="7081" spans="7:10" s="29" customFormat="1" x14ac:dyDescent="0.2">
      <c r="G7081" s="31"/>
      <c r="H7081" s="31"/>
      <c r="I7081" s="31"/>
      <c r="J7081" s="31"/>
    </row>
    <row r="7082" spans="7:10" s="29" customFormat="1" x14ac:dyDescent="0.2">
      <c r="G7082" s="31"/>
      <c r="H7082" s="31"/>
      <c r="I7082" s="31"/>
      <c r="J7082" s="31"/>
    </row>
    <row r="7083" spans="7:10" s="29" customFormat="1" x14ac:dyDescent="0.2">
      <c r="G7083" s="31"/>
      <c r="H7083" s="31"/>
      <c r="I7083" s="31"/>
      <c r="J7083" s="31"/>
    </row>
    <row r="7084" spans="7:10" s="29" customFormat="1" x14ac:dyDescent="0.2">
      <c r="G7084" s="31"/>
      <c r="H7084" s="31"/>
      <c r="I7084" s="31"/>
      <c r="J7084" s="31"/>
    </row>
    <row r="7085" spans="7:10" s="29" customFormat="1" x14ac:dyDescent="0.2">
      <c r="G7085" s="31"/>
      <c r="H7085" s="31"/>
      <c r="I7085" s="31"/>
      <c r="J7085" s="31"/>
    </row>
    <row r="7086" spans="7:10" s="29" customFormat="1" x14ac:dyDescent="0.2">
      <c r="G7086" s="31"/>
      <c r="H7086" s="31"/>
      <c r="I7086" s="31"/>
      <c r="J7086" s="31"/>
    </row>
    <row r="7087" spans="7:10" s="29" customFormat="1" x14ac:dyDescent="0.2">
      <c r="G7087" s="31"/>
      <c r="H7087" s="31"/>
      <c r="I7087" s="31"/>
      <c r="J7087" s="31"/>
    </row>
    <row r="7088" spans="7:10" s="29" customFormat="1" x14ac:dyDescent="0.2">
      <c r="G7088" s="31"/>
      <c r="H7088" s="31"/>
      <c r="I7088" s="31"/>
      <c r="J7088" s="31"/>
    </row>
    <row r="7089" spans="7:10" s="29" customFormat="1" x14ac:dyDescent="0.2">
      <c r="G7089" s="31"/>
      <c r="H7089" s="31"/>
      <c r="I7089" s="31"/>
      <c r="J7089" s="31"/>
    </row>
    <row r="7090" spans="7:10" s="29" customFormat="1" x14ac:dyDescent="0.2">
      <c r="G7090" s="31"/>
      <c r="H7090" s="31"/>
      <c r="I7090" s="31"/>
      <c r="J7090" s="31"/>
    </row>
    <row r="7091" spans="7:10" s="29" customFormat="1" x14ac:dyDescent="0.2">
      <c r="G7091" s="31"/>
      <c r="H7091" s="31"/>
      <c r="I7091" s="31"/>
      <c r="J7091" s="31"/>
    </row>
    <row r="7092" spans="7:10" s="29" customFormat="1" x14ac:dyDescent="0.2">
      <c r="G7092" s="31"/>
      <c r="H7092" s="31"/>
      <c r="I7092" s="31"/>
      <c r="J7092" s="31"/>
    </row>
    <row r="7093" spans="7:10" s="29" customFormat="1" x14ac:dyDescent="0.2">
      <c r="G7093" s="31"/>
      <c r="H7093" s="31"/>
      <c r="I7093" s="31"/>
      <c r="J7093" s="31"/>
    </row>
    <row r="7094" spans="7:10" s="29" customFormat="1" x14ac:dyDescent="0.2">
      <c r="G7094" s="31"/>
      <c r="H7094" s="31"/>
      <c r="I7094" s="31"/>
      <c r="J7094" s="31"/>
    </row>
    <row r="7095" spans="7:10" s="29" customFormat="1" x14ac:dyDescent="0.2">
      <c r="G7095" s="31"/>
      <c r="H7095" s="31"/>
      <c r="I7095" s="31"/>
      <c r="J7095" s="31"/>
    </row>
    <row r="7096" spans="7:10" s="29" customFormat="1" x14ac:dyDescent="0.2">
      <c r="G7096" s="31"/>
      <c r="H7096" s="31"/>
      <c r="I7096" s="31"/>
      <c r="J7096" s="31"/>
    </row>
    <row r="7097" spans="7:10" s="29" customFormat="1" x14ac:dyDescent="0.2">
      <c r="G7097" s="31"/>
      <c r="H7097" s="31"/>
      <c r="I7097" s="31"/>
      <c r="J7097" s="31"/>
    </row>
    <row r="7098" spans="7:10" s="29" customFormat="1" x14ac:dyDescent="0.2">
      <c r="G7098" s="31"/>
      <c r="H7098" s="31"/>
      <c r="I7098" s="31"/>
      <c r="J7098" s="31"/>
    </row>
    <row r="7099" spans="7:10" s="29" customFormat="1" x14ac:dyDescent="0.2">
      <c r="G7099" s="31"/>
      <c r="H7099" s="31"/>
      <c r="I7099" s="31"/>
      <c r="J7099" s="31"/>
    </row>
    <row r="7100" spans="7:10" s="29" customFormat="1" x14ac:dyDescent="0.2">
      <c r="G7100" s="31"/>
      <c r="H7100" s="31"/>
      <c r="I7100" s="31"/>
      <c r="J7100" s="31"/>
    </row>
    <row r="7101" spans="7:10" s="29" customFormat="1" x14ac:dyDescent="0.2">
      <c r="G7101" s="31"/>
      <c r="H7101" s="31"/>
      <c r="I7101" s="31"/>
      <c r="J7101" s="31"/>
    </row>
    <row r="7102" spans="7:10" s="29" customFormat="1" x14ac:dyDescent="0.2">
      <c r="G7102" s="31"/>
      <c r="H7102" s="31"/>
      <c r="I7102" s="31"/>
      <c r="J7102" s="31"/>
    </row>
    <row r="7103" spans="7:10" s="29" customFormat="1" x14ac:dyDescent="0.2">
      <c r="G7103" s="31"/>
      <c r="H7103" s="31"/>
      <c r="I7103" s="31"/>
      <c r="J7103" s="31"/>
    </row>
    <row r="7104" spans="7:10" s="29" customFormat="1" x14ac:dyDescent="0.2">
      <c r="G7104" s="31"/>
      <c r="H7104" s="31"/>
      <c r="I7104" s="31"/>
      <c r="J7104" s="31"/>
    </row>
    <row r="7105" spans="7:10" s="29" customFormat="1" x14ac:dyDescent="0.2">
      <c r="G7105" s="31"/>
      <c r="H7105" s="31"/>
      <c r="I7105" s="31"/>
      <c r="J7105" s="31"/>
    </row>
    <row r="7106" spans="7:10" s="29" customFormat="1" x14ac:dyDescent="0.2">
      <c r="G7106" s="31"/>
      <c r="H7106" s="31"/>
      <c r="I7106" s="31"/>
      <c r="J7106" s="31"/>
    </row>
    <row r="7107" spans="7:10" s="29" customFormat="1" x14ac:dyDescent="0.2">
      <c r="G7107" s="31"/>
      <c r="H7107" s="31"/>
      <c r="I7107" s="31"/>
      <c r="J7107" s="31"/>
    </row>
    <row r="7108" spans="7:10" s="29" customFormat="1" x14ac:dyDescent="0.2">
      <c r="G7108" s="31"/>
      <c r="H7108" s="31"/>
      <c r="I7108" s="31"/>
      <c r="J7108" s="31"/>
    </row>
    <row r="7109" spans="7:10" s="29" customFormat="1" x14ac:dyDescent="0.2">
      <c r="G7109" s="31"/>
      <c r="H7109" s="31"/>
      <c r="I7109" s="31"/>
      <c r="J7109" s="31"/>
    </row>
    <row r="7110" spans="7:10" s="29" customFormat="1" x14ac:dyDescent="0.2">
      <c r="G7110" s="31"/>
      <c r="H7110" s="31"/>
      <c r="I7110" s="31"/>
      <c r="J7110" s="31"/>
    </row>
    <row r="7111" spans="7:10" s="29" customFormat="1" x14ac:dyDescent="0.2">
      <c r="G7111" s="31"/>
      <c r="H7111" s="31"/>
      <c r="I7111" s="31"/>
      <c r="J7111" s="31"/>
    </row>
    <row r="7112" spans="7:10" s="29" customFormat="1" x14ac:dyDescent="0.2">
      <c r="G7112" s="31"/>
      <c r="H7112" s="31"/>
      <c r="I7112" s="31"/>
      <c r="J7112" s="31"/>
    </row>
    <row r="7113" spans="7:10" s="29" customFormat="1" x14ac:dyDescent="0.2">
      <c r="G7113" s="31"/>
      <c r="H7113" s="31"/>
      <c r="I7113" s="31"/>
      <c r="J7113" s="31"/>
    </row>
    <row r="7114" spans="7:10" s="29" customFormat="1" x14ac:dyDescent="0.2">
      <c r="G7114" s="31"/>
      <c r="H7114" s="31"/>
      <c r="I7114" s="31"/>
      <c r="J7114" s="31"/>
    </row>
    <row r="7115" spans="7:10" s="29" customFormat="1" x14ac:dyDescent="0.2">
      <c r="G7115" s="31"/>
      <c r="H7115" s="31"/>
      <c r="I7115" s="31"/>
      <c r="J7115" s="31"/>
    </row>
    <row r="7116" spans="7:10" s="29" customFormat="1" x14ac:dyDescent="0.2">
      <c r="G7116" s="31"/>
      <c r="H7116" s="31"/>
      <c r="I7116" s="31"/>
      <c r="J7116" s="31"/>
    </row>
    <row r="7117" spans="7:10" s="29" customFormat="1" x14ac:dyDescent="0.2">
      <c r="G7117" s="31"/>
      <c r="H7117" s="31"/>
      <c r="I7117" s="31"/>
      <c r="J7117" s="31"/>
    </row>
    <row r="7118" spans="7:10" s="29" customFormat="1" x14ac:dyDescent="0.2">
      <c r="G7118" s="31"/>
      <c r="H7118" s="31"/>
      <c r="I7118" s="31"/>
      <c r="J7118" s="31"/>
    </row>
    <row r="7119" spans="7:10" s="29" customFormat="1" x14ac:dyDescent="0.2">
      <c r="G7119" s="31"/>
      <c r="H7119" s="31"/>
      <c r="I7119" s="31"/>
      <c r="J7119" s="31"/>
    </row>
    <row r="7120" spans="7:10" s="29" customFormat="1" x14ac:dyDescent="0.2">
      <c r="G7120" s="31"/>
      <c r="H7120" s="31"/>
      <c r="I7120" s="31"/>
      <c r="J7120" s="31"/>
    </row>
    <row r="7121" spans="7:10" s="29" customFormat="1" x14ac:dyDescent="0.2">
      <c r="G7121" s="31"/>
      <c r="H7121" s="31"/>
      <c r="I7121" s="31"/>
      <c r="J7121" s="31"/>
    </row>
    <row r="7122" spans="7:10" s="29" customFormat="1" x14ac:dyDescent="0.2">
      <c r="G7122" s="31"/>
      <c r="H7122" s="31"/>
      <c r="I7122" s="31"/>
      <c r="J7122" s="31"/>
    </row>
    <row r="7123" spans="7:10" s="29" customFormat="1" x14ac:dyDescent="0.2">
      <c r="G7123" s="31"/>
      <c r="H7123" s="31"/>
      <c r="I7123" s="31"/>
      <c r="J7123" s="31"/>
    </row>
    <row r="7124" spans="7:10" s="29" customFormat="1" x14ac:dyDescent="0.2">
      <c r="G7124" s="31"/>
      <c r="H7124" s="31"/>
      <c r="I7124" s="31"/>
      <c r="J7124" s="31"/>
    </row>
    <row r="7125" spans="7:10" s="29" customFormat="1" x14ac:dyDescent="0.2">
      <c r="G7125" s="31"/>
      <c r="H7125" s="31"/>
      <c r="I7125" s="31"/>
      <c r="J7125" s="31"/>
    </row>
    <row r="7126" spans="7:10" s="29" customFormat="1" x14ac:dyDescent="0.2">
      <c r="G7126" s="31"/>
      <c r="H7126" s="31"/>
      <c r="I7126" s="31"/>
      <c r="J7126" s="31"/>
    </row>
    <row r="7127" spans="7:10" s="29" customFormat="1" x14ac:dyDescent="0.2">
      <c r="G7127" s="31"/>
      <c r="H7127" s="31"/>
      <c r="I7127" s="31"/>
      <c r="J7127" s="31"/>
    </row>
    <row r="7128" spans="7:10" s="29" customFormat="1" x14ac:dyDescent="0.2">
      <c r="G7128" s="31"/>
      <c r="H7128" s="31"/>
      <c r="I7128" s="31"/>
      <c r="J7128" s="31"/>
    </row>
    <row r="7129" spans="7:10" s="29" customFormat="1" x14ac:dyDescent="0.2">
      <c r="G7129" s="31"/>
      <c r="H7129" s="31"/>
      <c r="I7129" s="31"/>
      <c r="J7129" s="31"/>
    </row>
    <row r="7130" spans="7:10" s="29" customFormat="1" x14ac:dyDescent="0.2">
      <c r="G7130" s="31"/>
      <c r="H7130" s="31"/>
      <c r="I7130" s="31"/>
      <c r="J7130" s="31"/>
    </row>
    <row r="7131" spans="7:10" s="29" customFormat="1" x14ac:dyDescent="0.2">
      <c r="G7131" s="31"/>
      <c r="H7131" s="31"/>
      <c r="I7131" s="31"/>
      <c r="J7131" s="31"/>
    </row>
    <row r="7132" spans="7:10" s="29" customFormat="1" x14ac:dyDescent="0.2">
      <c r="G7132" s="31"/>
      <c r="H7132" s="31"/>
      <c r="I7132" s="31"/>
      <c r="J7132" s="31"/>
    </row>
    <row r="7133" spans="7:10" s="29" customFormat="1" x14ac:dyDescent="0.2">
      <c r="G7133" s="31"/>
      <c r="H7133" s="31"/>
      <c r="I7133" s="31"/>
      <c r="J7133" s="31"/>
    </row>
    <row r="7134" spans="7:10" s="29" customFormat="1" x14ac:dyDescent="0.2">
      <c r="G7134" s="31"/>
      <c r="H7134" s="31"/>
      <c r="I7134" s="31"/>
      <c r="J7134" s="31"/>
    </row>
    <row r="7135" spans="7:10" s="29" customFormat="1" x14ac:dyDescent="0.2">
      <c r="G7135" s="31"/>
      <c r="H7135" s="31"/>
      <c r="I7135" s="31"/>
      <c r="J7135" s="31"/>
    </row>
    <row r="7136" spans="7:10" s="29" customFormat="1" x14ac:dyDescent="0.2">
      <c r="G7136" s="31"/>
      <c r="H7136" s="31"/>
      <c r="I7136" s="31"/>
      <c r="J7136" s="31"/>
    </row>
    <row r="7137" spans="7:10" s="29" customFormat="1" x14ac:dyDescent="0.2">
      <c r="G7137" s="31"/>
      <c r="H7137" s="31"/>
      <c r="I7137" s="31"/>
      <c r="J7137" s="31"/>
    </row>
    <row r="7138" spans="7:10" s="29" customFormat="1" x14ac:dyDescent="0.2">
      <c r="G7138" s="31"/>
      <c r="H7138" s="31"/>
      <c r="I7138" s="31"/>
      <c r="J7138" s="31"/>
    </row>
    <row r="7139" spans="7:10" s="29" customFormat="1" x14ac:dyDescent="0.2">
      <c r="G7139" s="31"/>
      <c r="H7139" s="31"/>
      <c r="I7139" s="31"/>
      <c r="J7139" s="31"/>
    </row>
    <row r="7140" spans="7:10" s="29" customFormat="1" x14ac:dyDescent="0.2">
      <c r="G7140" s="31"/>
      <c r="H7140" s="31"/>
      <c r="I7140" s="31"/>
      <c r="J7140" s="31"/>
    </row>
    <row r="7141" spans="7:10" s="29" customFormat="1" x14ac:dyDescent="0.2">
      <c r="G7141" s="31"/>
      <c r="H7141" s="31"/>
      <c r="I7141" s="31"/>
      <c r="J7141" s="31"/>
    </row>
    <row r="7142" spans="7:10" s="29" customFormat="1" x14ac:dyDescent="0.2">
      <c r="G7142" s="31"/>
      <c r="H7142" s="31"/>
      <c r="I7142" s="31"/>
      <c r="J7142" s="31"/>
    </row>
    <row r="7143" spans="7:10" s="29" customFormat="1" x14ac:dyDescent="0.2">
      <c r="G7143" s="31"/>
      <c r="H7143" s="31"/>
      <c r="I7143" s="31"/>
      <c r="J7143" s="31"/>
    </row>
    <row r="7144" spans="7:10" s="29" customFormat="1" x14ac:dyDescent="0.2">
      <c r="G7144" s="31"/>
      <c r="H7144" s="31"/>
      <c r="I7144" s="31"/>
      <c r="J7144" s="31"/>
    </row>
    <row r="7145" spans="7:10" s="29" customFormat="1" x14ac:dyDescent="0.2">
      <c r="G7145" s="31"/>
      <c r="H7145" s="31"/>
      <c r="I7145" s="31"/>
      <c r="J7145" s="31"/>
    </row>
    <row r="7146" spans="7:10" s="29" customFormat="1" x14ac:dyDescent="0.2">
      <c r="G7146" s="31"/>
      <c r="H7146" s="31"/>
      <c r="I7146" s="31"/>
      <c r="J7146" s="31"/>
    </row>
    <row r="7147" spans="7:10" s="29" customFormat="1" x14ac:dyDescent="0.2">
      <c r="G7147" s="31"/>
      <c r="H7147" s="31"/>
      <c r="I7147" s="31"/>
      <c r="J7147" s="31"/>
    </row>
    <row r="7148" spans="7:10" s="29" customFormat="1" x14ac:dyDescent="0.2">
      <c r="G7148" s="31"/>
      <c r="H7148" s="31"/>
      <c r="I7148" s="31"/>
      <c r="J7148" s="31"/>
    </row>
    <row r="7149" spans="7:10" s="29" customFormat="1" x14ac:dyDescent="0.2">
      <c r="G7149" s="31"/>
      <c r="H7149" s="31"/>
      <c r="I7149" s="31"/>
      <c r="J7149" s="31"/>
    </row>
    <row r="7150" spans="7:10" s="29" customFormat="1" x14ac:dyDescent="0.2">
      <c r="G7150" s="31"/>
      <c r="H7150" s="31"/>
      <c r="I7150" s="31"/>
      <c r="J7150" s="31"/>
    </row>
    <row r="7151" spans="7:10" s="29" customFormat="1" x14ac:dyDescent="0.2">
      <c r="G7151" s="31"/>
      <c r="H7151" s="31"/>
      <c r="I7151" s="31"/>
      <c r="J7151" s="31"/>
    </row>
    <row r="7152" spans="7:10" s="29" customFormat="1" x14ac:dyDescent="0.2">
      <c r="G7152" s="31"/>
      <c r="H7152" s="31"/>
      <c r="I7152" s="31"/>
      <c r="J7152" s="31"/>
    </row>
    <row r="7153" spans="7:10" s="29" customFormat="1" x14ac:dyDescent="0.2">
      <c r="G7153" s="31"/>
      <c r="H7153" s="31"/>
      <c r="I7153" s="31"/>
      <c r="J7153" s="31"/>
    </row>
    <row r="7154" spans="7:10" s="29" customFormat="1" x14ac:dyDescent="0.2">
      <c r="G7154" s="31"/>
      <c r="H7154" s="31"/>
      <c r="I7154" s="31"/>
      <c r="J7154" s="31"/>
    </row>
    <row r="7155" spans="7:10" s="29" customFormat="1" x14ac:dyDescent="0.2">
      <c r="G7155" s="31"/>
      <c r="H7155" s="31"/>
      <c r="I7155" s="31"/>
      <c r="J7155" s="31"/>
    </row>
    <row r="7156" spans="7:10" s="29" customFormat="1" x14ac:dyDescent="0.2">
      <c r="G7156" s="31"/>
      <c r="H7156" s="31"/>
      <c r="I7156" s="31"/>
      <c r="J7156" s="31"/>
    </row>
    <row r="7157" spans="7:10" s="29" customFormat="1" x14ac:dyDescent="0.2">
      <c r="G7157" s="31"/>
      <c r="H7157" s="31"/>
      <c r="I7157" s="31"/>
      <c r="J7157" s="31"/>
    </row>
    <row r="7158" spans="7:10" s="29" customFormat="1" x14ac:dyDescent="0.2">
      <c r="G7158" s="31"/>
      <c r="H7158" s="31"/>
      <c r="I7158" s="31"/>
      <c r="J7158" s="31"/>
    </row>
    <row r="7159" spans="7:10" s="29" customFormat="1" x14ac:dyDescent="0.2">
      <c r="G7159" s="31"/>
      <c r="H7159" s="31"/>
      <c r="I7159" s="31"/>
      <c r="J7159" s="31"/>
    </row>
    <row r="7160" spans="7:10" s="29" customFormat="1" x14ac:dyDescent="0.2">
      <c r="G7160" s="31"/>
      <c r="H7160" s="31"/>
      <c r="I7160" s="31"/>
      <c r="J7160" s="31"/>
    </row>
    <row r="7161" spans="7:10" s="29" customFormat="1" x14ac:dyDescent="0.2">
      <c r="G7161" s="31"/>
      <c r="H7161" s="31"/>
      <c r="I7161" s="31"/>
      <c r="J7161" s="31"/>
    </row>
    <row r="7162" spans="7:10" s="29" customFormat="1" x14ac:dyDescent="0.2">
      <c r="G7162" s="31"/>
      <c r="H7162" s="31"/>
      <c r="I7162" s="31"/>
      <c r="J7162" s="31"/>
    </row>
    <row r="7163" spans="7:10" s="29" customFormat="1" x14ac:dyDescent="0.2">
      <c r="G7163" s="31"/>
      <c r="H7163" s="31"/>
      <c r="I7163" s="31"/>
      <c r="J7163" s="31"/>
    </row>
    <row r="7164" spans="7:10" s="29" customFormat="1" x14ac:dyDescent="0.2">
      <c r="G7164" s="31"/>
      <c r="H7164" s="31"/>
      <c r="I7164" s="31"/>
      <c r="J7164" s="31"/>
    </row>
    <row r="7165" spans="7:10" s="29" customFormat="1" x14ac:dyDescent="0.2">
      <c r="G7165" s="31"/>
      <c r="H7165" s="31"/>
      <c r="I7165" s="31"/>
      <c r="J7165" s="31"/>
    </row>
    <row r="7166" spans="7:10" s="29" customFormat="1" x14ac:dyDescent="0.2">
      <c r="G7166" s="31"/>
      <c r="H7166" s="31"/>
      <c r="I7166" s="31"/>
      <c r="J7166" s="31"/>
    </row>
    <row r="7167" spans="7:10" s="29" customFormat="1" x14ac:dyDescent="0.2">
      <c r="G7167" s="31"/>
      <c r="H7167" s="31"/>
      <c r="I7167" s="31"/>
      <c r="J7167" s="31"/>
    </row>
    <row r="7168" spans="7:10" s="29" customFormat="1" x14ac:dyDescent="0.2">
      <c r="G7168" s="31"/>
      <c r="H7168" s="31"/>
      <c r="I7168" s="31"/>
      <c r="J7168" s="31"/>
    </row>
    <row r="7169" spans="7:10" s="29" customFormat="1" x14ac:dyDescent="0.2">
      <c r="G7169" s="31"/>
      <c r="H7169" s="31"/>
      <c r="I7169" s="31"/>
      <c r="J7169" s="31"/>
    </row>
    <row r="7170" spans="7:10" s="29" customFormat="1" x14ac:dyDescent="0.2">
      <c r="G7170" s="31"/>
      <c r="H7170" s="31"/>
      <c r="I7170" s="31"/>
      <c r="J7170" s="31"/>
    </row>
    <row r="7171" spans="7:10" s="29" customFormat="1" x14ac:dyDescent="0.2">
      <c r="G7171" s="31"/>
      <c r="H7171" s="31"/>
      <c r="I7171" s="31"/>
      <c r="J7171" s="31"/>
    </row>
    <row r="7172" spans="7:10" s="29" customFormat="1" x14ac:dyDescent="0.2">
      <c r="G7172" s="31"/>
      <c r="H7172" s="31"/>
      <c r="I7172" s="31"/>
      <c r="J7172" s="31"/>
    </row>
    <row r="7173" spans="7:10" s="29" customFormat="1" x14ac:dyDescent="0.2">
      <c r="G7173" s="31"/>
      <c r="H7173" s="31"/>
      <c r="I7173" s="31"/>
      <c r="J7173" s="31"/>
    </row>
    <row r="7174" spans="7:10" s="29" customFormat="1" x14ac:dyDescent="0.2">
      <c r="G7174" s="31"/>
      <c r="H7174" s="31"/>
      <c r="I7174" s="31"/>
      <c r="J7174" s="31"/>
    </row>
    <row r="7175" spans="7:10" s="29" customFormat="1" x14ac:dyDescent="0.2">
      <c r="G7175" s="31"/>
      <c r="H7175" s="31"/>
      <c r="I7175" s="31"/>
      <c r="J7175" s="31"/>
    </row>
    <row r="7176" spans="7:10" s="29" customFormat="1" x14ac:dyDescent="0.2">
      <c r="G7176" s="31"/>
      <c r="H7176" s="31"/>
      <c r="I7176" s="31"/>
      <c r="J7176" s="31"/>
    </row>
    <row r="7177" spans="7:10" s="29" customFormat="1" x14ac:dyDescent="0.2">
      <c r="G7177" s="31"/>
      <c r="H7177" s="31"/>
      <c r="I7177" s="31"/>
      <c r="J7177" s="31"/>
    </row>
    <row r="7178" spans="7:10" s="29" customFormat="1" x14ac:dyDescent="0.2">
      <c r="G7178" s="31"/>
      <c r="H7178" s="31"/>
      <c r="I7178" s="31"/>
      <c r="J7178" s="31"/>
    </row>
    <row r="7179" spans="7:10" s="29" customFormat="1" x14ac:dyDescent="0.2">
      <c r="G7179" s="31"/>
      <c r="H7179" s="31"/>
      <c r="I7179" s="31"/>
      <c r="J7179" s="31"/>
    </row>
    <row r="7180" spans="7:10" s="29" customFormat="1" x14ac:dyDescent="0.2">
      <c r="G7180" s="31"/>
      <c r="H7180" s="31"/>
      <c r="I7180" s="31"/>
      <c r="J7180" s="31"/>
    </row>
    <row r="7181" spans="7:10" s="29" customFormat="1" x14ac:dyDescent="0.2">
      <c r="G7181" s="31"/>
      <c r="H7181" s="31"/>
      <c r="I7181" s="31"/>
      <c r="J7181" s="31"/>
    </row>
    <row r="7182" spans="7:10" s="29" customFormat="1" x14ac:dyDescent="0.2">
      <c r="G7182" s="31"/>
      <c r="H7182" s="31"/>
      <c r="I7182" s="31"/>
      <c r="J7182" s="31"/>
    </row>
    <row r="7183" spans="7:10" s="29" customFormat="1" x14ac:dyDescent="0.2">
      <c r="G7183" s="31"/>
      <c r="H7183" s="31"/>
      <c r="I7183" s="31"/>
      <c r="J7183" s="31"/>
    </row>
    <row r="7184" spans="7:10" s="29" customFormat="1" x14ac:dyDescent="0.2">
      <c r="G7184" s="31"/>
      <c r="H7184" s="31"/>
      <c r="I7184" s="31"/>
      <c r="J7184" s="31"/>
    </row>
    <row r="7185" spans="7:10" s="29" customFormat="1" x14ac:dyDescent="0.2">
      <c r="G7185" s="31"/>
      <c r="H7185" s="31"/>
      <c r="I7185" s="31"/>
      <c r="J7185" s="31"/>
    </row>
    <row r="7186" spans="7:10" s="29" customFormat="1" x14ac:dyDescent="0.2">
      <c r="G7186" s="31"/>
      <c r="H7186" s="31"/>
      <c r="I7186" s="31"/>
      <c r="J7186" s="31"/>
    </row>
    <row r="7187" spans="7:10" s="29" customFormat="1" x14ac:dyDescent="0.2">
      <c r="G7187" s="31"/>
      <c r="H7187" s="31"/>
      <c r="I7187" s="31"/>
      <c r="J7187" s="31"/>
    </row>
    <row r="7188" spans="7:10" s="29" customFormat="1" x14ac:dyDescent="0.2">
      <c r="G7188" s="31"/>
      <c r="H7188" s="31"/>
      <c r="I7188" s="31"/>
      <c r="J7188" s="31"/>
    </row>
    <row r="7189" spans="7:10" s="29" customFormat="1" x14ac:dyDescent="0.2">
      <c r="G7189" s="31"/>
      <c r="H7189" s="31"/>
      <c r="I7189" s="31"/>
      <c r="J7189" s="31"/>
    </row>
    <row r="7190" spans="7:10" s="29" customFormat="1" x14ac:dyDescent="0.2">
      <c r="G7190" s="31"/>
      <c r="H7190" s="31"/>
      <c r="I7190" s="31"/>
      <c r="J7190" s="31"/>
    </row>
    <row r="7191" spans="7:10" s="29" customFormat="1" x14ac:dyDescent="0.2">
      <c r="G7191" s="31"/>
      <c r="H7191" s="31"/>
      <c r="I7191" s="31"/>
      <c r="J7191" s="31"/>
    </row>
    <row r="7192" spans="7:10" s="29" customFormat="1" x14ac:dyDescent="0.2">
      <c r="G7192" s="31"/>
      <c r="H7192" s="31"/>
      <c r="I7192" s="31"/>
      <c r="J7192" s="31"/>
    </row>
    <row r="7193" spans="7:10" s="29" customFormat="1" x14ac:dyDescent="0.2">
      <c r="G7193" s="31"/>
      <c r="H7193" s="31"/>
      <c r="I7193" s="31"/>
      <c r="J7193" s="31"/>
    </row>
    <row r="7194" spans="7:10" s="29" customFormat="1" x14ac:dyDescent="0.2">
      <c r="G7194" s="31"/>
      <c r="H7194" s="31"/>
      <c r="I7194" s="31"/>
      <c r="J7194" s="31"/>
    </row>
    <row r="7195" spans="7:10" s="29" customFormat="1" x14ac:dyDescent="0.2">
      <c r="G7195" s="31"/>
      <c r="H7195" s="31"/>
      <c r="I7195" s="31"/>
      <c r="J7195" s="31"/>
    </row>
    <row r="7196" spans="7:10" s="29" customFormat="1" x14ac:dyDescent="0.2">
      <c r="G7196" s="31"/>
      <c r="H7196" s="31"/>
      <c r="I7196" s="31"/>
      <c r="J7196" s="31"/>
    </row>
    <row r="7197" spans="7:10" s="29" customFormat="1" x14ac:dyDescent="0.2">
      <c r="G7197" s="31"/>
      <c r="H7197" s="31"/>
      <c r="I7197" s="31"/>
      <c r="J7197" s="31"/>
    </row>
    <row r="7198" spans="7:10" s="29" customFormat="1" x14ac:dyDescent="0.2">
      <c r="G7198" s="31"/>
      <c r="H7198" s="31"/>
      <c r="I7198" s="31"/>
      <c r="J7198" s="31"/>
    </row>
    <row r="7199" spans="7:10" s="29" customFormat="1" x14ac:dyDescent="0.2">
      <c r="G7199" s="31"/>
      <c r="H7199" s="31"/>
      <c r="I7199" s="31"/>
      <c r="J7199" s="31"/>
    </row>
    <row r="7200" spans="7:10" s="29" customFormat="1" x14ac:dyDescent="0.2">
      <c r="G7200" s="31"/>
      <c r="H7200" s="31"/>
      <c r="I7200" s="31"/>
      <c r="J7200" s="31"/>
    </row>
    <row r="7201" spans="7:10" s="29" customFormat="1" x14ac:dyDescent="0.2">
      <c r="G7201" s="31"/>
      <c r="H7201" s="31"/>
      <c r="I7201" s="31"/>
      <c r="J7201" s="31"/>
    </row>
    <row r="7202" spans="7:10" s="29" customFormat="1" x14ac:dyDescent="0.2">
      <c r="G7202" s="31"/>
      <c r="H7202" s="31"/>
      <c r="I7202" s="31"/>
      <c r="J7202" s="31"/>
    </row>
    <row r="7203" spans="7:10" s="29" customFormat="1" x14ac:dyDescent="0.2">
      <c r="G7203" s="31"/>
      <c r="H7203" s="31"/>
      <c r="I7203" s="31"/>
      <c r="J7203" s="31"/>
    </row>
    <row r="7204" spans="7:10" s="29" customFormat="1" x14ac:dyDescent="0.2">
      <c r="G7204" s="31"/>
      <c r="H7204" s="31"/>
      <c r="I7204" s="31"/>
      <c r="J7204" s="31"/>
    </row>
    <row r="7205" spans="7:10" s="29" customFormat="1" x14ac:dyDescent="0.2">
      <c r="G7205" s="31"/>
      <c r="H7205" s="31"/>
      <c r="I7205" s="31"/>
      <c r="J7205" s="31"/>
    </row>
    <row r="7206" spans="7:10" s="29" customFormat="1" x14ac:dyDescent="0.2">
      <c r="G7206" s="31"/>
      <c r="H7206" s="31"/>
      <c r="I7206" s="31"/>
      <c r="J7206" s="31"/>
    </row>
    <row r="7207" spans="7:10" s="29" customFormat="1" x14ac:dyDescent="0.2">
      <c r="G7207" s="31"/>
      <c r="H7207" s="31"/>
      <c r="I7207" s="31"/>
      <c r="J7207" s="31"/>
    </row>
    <row r="7208" spans="7:10" s="29" customFormat="1" x14ac:dyDescent="0.2">
      <c r="G7208" s="31"/>
      <c r="H7208" s="31"/>
      <c r="I7208" s="31"/>
      <c r="J7208" s="31"/>
    </row>
    <row r="7209" spans="7:10" s="29" customFormat="1" x14ac:dyDescent="0.2">
      <c r="G7209" s="31"/>
      <c r="H7209" s="31"/>
      <c r="I7209" s="31"/>
      <c r="J7209" s="31"/>
    </row>
    <row r="7210" spans="7:10" s="29" customFormat="1" x14ac:dyDescent="0.2">
      <c r="G7210" s="31"/>
      <c r="H7210" s="31"/>
      <c r="I7210" s="31"/>
      <c r="J7210" s="31"/>
    </row>
    <row r="7211" spans="7:10" s="29" customFormat="1" x14ac:dyDescent="0.2">
      <c r="G7211" s="31"/>
      <c r="H7211" s="31"/>
      <c r="I7211" s="31"/>
      <c r="J7211" s="31"/>
    </row>
    <row r="7212" spans="7:10" s="29" customFormat="1" x14ac:dyDescent="0.2">
      <c r="G7212" s="31"/>
      <c r="H7212" s="31"/>
      <c r="I7212" s="31"/>
      <c r="J7212" s="31"/>
    </row>
    <row r="7213" spans="7:10" s="29" customFormat="1" x14ac:dyDescent="0.2">
      <c r="G7213" s="31"/>
      <c r="H7213" s="31"/>
      <c r="I7213" s="31"/>
      <c r="J7213" s="31"/>
    </row>
    <row r="7214" spans="7:10" s="29" customFormat="1" x14ac:dyDescent="0.2">
      <c r="G7214" s="31"/>
      <c r="H7214" s="31"/>
      <c r="I7214" s="31"/>
      <c r="J7214" s="31"/>
    </row>
    <row r="7215" spans="7:10" s="29" customFormat="1" x14ac:dyDescent="0.2">
      <c r="G7215" s="31"/>
      <c r="H7215" s="31"/>
      <c r="I7215" s="31"/>
      <c r="J7215" s="31"/>
    </row>
    <row r="7216" spans="7:10" s="29" customFormat="1" x14ac:dyDescent="0.2">
      <c r="G7216" s="31"/>
      <c r="H7216" s="31"/>
      <c r="I7216" s="31"/>
      <c r="J7216" s="31"/>
    </row>
    <row r="7217" spans="7:10" s="29" customFormat="1" x14ac:dyDescent="0.2">
      <c r="G7217" s="31"/>
      <c r="H7217" s="31"/>
      <c r="I7217" s="31"/>
      <c r="J7217" s="31"/>
    </row>
    <row r="7218" spans="7:10" s="29" customFormat="1" x14ac:dyDescent="0.2">
      <c r="G7218" s="31"/>
      <c r="H7218" s="31"/>
      <c r="I7218" s="31"/>
      <c r="J7218" s="31"/>
    </row>
    <row r="7219" spans="7:10" s="29" customFormat="1" x14ac:dyDescent="0.2">
      <c r="G7219" s="31"/>
      <c r="H7219" s="31"/>
      <c r="I7219" s="31"/>
      <c r="J7219" s="31"/>
    </row>
    <row r="7220" spans="7:10" s="29" customFormat="1" x14ac:dyDescent="0.2">
      <c r="G7220" s="31"/>
      <c r="H7220" s="31"/>
      <c r="I7220" s="31"/>
      <c r="J7220" s="31"/>
    </row>
    <row r="7221" spans="7:10" s="29" customFormat="1" x14ac:dyDescent="0.2">
      <c r="G7221" s="31"/>
      <c r="H7221" s="31"/>
      <c r="I7221" s="31"/>
      <c r="J7221" s="31"/>
    </row>
    <row r="7222" spans="7:10" s="29" customFormat="1" x14ac:dyDescent="0.2">
      <c r="G7222" s="31"/>
      <c r="H7222" s="31"/>
      <c r="I7222" s="31"/>
      <c r="J7222" s="31"/>
    </row>
    <row r="7223" spans="7:10" s="29" customFormat="1" x14ac:dyDescent="0.2">
      <c r="G7223" s="31"/>
      <c r="H7223" s="31"/>
      <c r="I7223" s="31"/>
      <c r="J7223" s="31"/>
    </row>
    <row r="7224" spans="7:10" s="29" customFormat="1" x14ac:dyDescent="0.2">
      <c r="G7224" s="31"/>
      <c r="H7224" s="31"/>
      <c r="I7224" s="31"/>
      <c r="J7224" s="31"/>
    </row>
    <row r="7225" spans="7:10" s="29" customFormat="1" x14ac:dyDescent="0.2">
      <c r="G7225" s="31"/>
      <c r="H7225" s="31"/>
      <c r="I7225" s="31"/>
      <c r="J7225" s="31"/>
    </row>
    <row r="7226" spans="7:10" s="29" customFormat="1" x14ac:dyDescent="0.2">
      <c r="G7226" s="31"/>
      <c r="H7226" s="31"/>
      <c r="I7226" s="31"/>
      <c r="J7226" s="31"/>
    </row>
    <row r="7227" spans="7:10" s="29" customFormat="1" x14ac:dyDescent="0.2">
      <c r="G7227" s="31"/>
      <c r="H7227" s="31"/>
      <c r="I7227" s="31"/>
      <c r="J7227" s="31"/>
    </row>
    <row r="7228" spans="7:10" s="29" customFormat="1" x14ac:dyDescent="0.2">
      <c r="G7228" s="31"/>
      <c r="H7228" s="31"/>
      <c r="I7228" s="31"/>
      <c r="J7228" s="31"/>
    </row>
    <row r="7229" spans="7:10" s="29" customFormat="1" x14ac:dyDescent="0.2">
      <c r="G7229" s="31"/>
      <c r="H7229" s="31"/>
      <c r="I7229" s="31"/>
      <c r="J7229" s="31"/>
    </row>
    <row r="7230" spans="7:10" s="29" customFormat="1" x14ac:dyDescent="0.2">
      <c r="G7230" s="31"/>
      <c r="H7230" s="31"/>
      <c r="I7230" s="31"/>
      <c r="J7230" s="31"/>
    </row>
    <row r="7231" spans="7:10" s="29" customFormat="1" x14ac:dyDescent="0.2">
      <c r="G7231" s="31"/>
      <c r="H7231" s="31"/>
      <c r="I7231" s="31"/>
      <c r="J7231" s="31"/>
    </row>
    <row r="7232" spans="7:10" s="29" customFormat="1" x14ac:dyDescent="0.2">
      <c r="G7232" s="31"/>
      <c r="H7232" s="31"/>
      <c r="I7232" s="31"/>
      <c r="J7232" s="31"/>
    </row>
    <row r="7233" spans="7:10" s="29" customFormat="1" x14ac:dyDescent="0.2">
      <c r="G7233" s="31"/>
      <c r="H7233" s="31"/>
      <c r="I7233" s="31"/>
      <c r="J7233" s="31"/>
    </row>
    <row r="7234" spans="7:10" s="29" customFormat="1" x14ac:dyDescent="0.2">
      <c r="G7234" s="31"/>
      <c r="H7234" s="31"/>
      <c r="I7234" s="31"/>
      <c r="J7234" s="31"/>
    </row>
    <row r="7235" spans="7:10" s="29" customFormat="1" x14ac:dyDescent="0.2">
      <c r="G7235" s="31"/>
      <c r="H7235" s="31"/>
      <c r="I7235" s="31"/>
      <c r="J7235" s="31"/>
    </row>
    <row r="7236" spans="7:10" s="29" customFormat="1" x14ac:dyDescent="0.2">
      <c r="G7236" s="31"/>
      <c r="H7236" s="31"/>
      <c r="I7236" s="31"/>
      <c r="J7236" s="31"/>
    </row>
    <row r="7237" spans="7:10" s="29" customFormat="1" x14ac:dyDescent="0.2">
      <c r="G7237" s="31"/>
      <c r="H7237" s="31"/>
      <c r="I7237" s="31"/>
      <c r="J7237" s="31"/>
    </row>
    <row r="7238" spans="7:10" s="29" customFormat="1" x14ac:dyDescent="0.2">
      <c r="G7238" s="31"/>
      <c r="H7238" s="31"/>
      <c r="I7238" s="31"/>
      <c r="J7238" s="31"/>
    </row>
    <row r="7239" spans="7:10" s="29" customFormat="1" x14ac:dyDescent="0.2">
      <c r="G7239" s="31"/>
      <c r="H7239" s="31"/>
      <c r="I7239" s="31"/>
      <c r="J7239" s="31"/>
    </row>
    <row r="7240" spans="7:10" s="29" customFormat="1" x14ac:dyDescent="0.2">
      <c r="G7240" s="31"/>
      <c r="H7240" s="31"/>
      <c r="I7240" s="31"/>
      <c r="J7240" s="31"/>
    </row>
    <row r="7241" spans="7:10" s="29" customFormat="1" x14ac:dyDescent="0.2">
      <c r="G7241" s="31"/>
      <c r="H7241" s="31"/>
      <c r="I7241" s="31"/>
      <c r="J7241" s="31"/>
    </row>
    <row r="7242" spans="7:10" s="29" customFormat="1" x14ac:dyDescent="0.2">
      <c r="G7242" s="31"/>
      <c r="H7242" s="31"/>
      <c r="I7242" s="31"/>
      <c r="J7242" s="31"/>
    </row>
    <row r="7243" spans="7:10" s="29" customFormat="1" x14ac:dyDescent="0.2">
      <c r="G7243" s="31"/>
      <c r="H7243" s="31"/>
      <c r="I7243" s="31"/>
      <c r="J7243" s="31"/>
    </row>
    <row r="7244" spans="7:10" s="29" customFormat="1" x14ac:dyDescent="0.2">
      <c r="G7244" s="31"/>
      <c r="H7244" s="31"/>
      <c r="I7244" s="31"/>
      <c r="J7244" s="31"/>
    </row>
    <row r="7245" spans="7:10" s="29" customFormat="1" x14ac:dyDescent="0.2">
      <c r="G7245" s="31"/>
      <c r="H7245" s="31"/>
      <c r="I7245" s="31"/>
      <c r="J7245" s="31"/>
    </row>
    <row r="7246" spans="7:10" s="29" customFormat="1" x14ac:dyDescent="0.2">
      <c r="G7246" s="31"/>
      <c r="H7246" s="31"/>
      <c r="I7246" s="31"/>
      <c r="J7246" s="31"/>
    </row>
    <row r="7247" spans="7:10" s="29" customFormat="1" x14ac:dyDescent="0.2">
      <c r="G7247" s="31"/>
      <c r="H7247" s="31"/>
      <c r="I7247" s="31"/>
      <c r="J7247" s="31"/>
    </row>
    <row r="7248" spans="7:10" s="29" customFormat="1" x14ac:dyDescent="0.2">
      <c r="G7248" s="31"/>
      <c r="H7248" s="31"/>
      <c r="I7248" s="31"/>
      <c r="J7248" s="31"/>
    </row>
    <row r="7249" spans="7:10" s="29" customFormat="1" x14ac:dyDescent="0.2">
      <c r="G7249" s="31"/>
      <c r="H7249" s="31"/>
      <c r="I7249" s="31"/>
      <c r="J7249" s="31"/>
    </row>
    <row r="7250" spans="7:10" s="29" customFormat="1" x14ac:dyDescent="0.2">
      <c r="G7250" s="31"/>
      <c r="H7250" s="31"/>
      <c r="I7250" s="31"/>
      <c r="J7250" s="31"/>
    </row>
    <row r="7251" spans="7:10" s="29" customFormat="1" x14ac:dyDescent="0.2">
      <c r="G7251" s="31"/>
      <c r="H7251" s="31"/>
      <c r="I7251" s="31"/>
      <c r="J7251" s="31"/>
    </row>
    <row r="7252" spans="7:10" s="29" customFormat="1" x14ac:dyDescent="0.2">
      <c r="G7252" s="31"/>
      <c r="H7252" s="31"/>
      <c r="I7252" s="31"/>
      <c r="J7252" s="31"/>
    </row>
    <row r="7253" spans="7:10" s="29" customFormat="1" x14ac:dyDescent="0.2">
      <c r="G7253" s="31"/>
      <c r="H7253" s="31"/>
      <c r="I7253" s="31"/>
      <c r="J7253" s="31"/>
    </row>
    <row r="7254" spans="7:10" s="29" customFormat="1" x14ac:dyDescent="0.2">
      <c r="G7254" s="31"/>
      <c r="H7254" s="31"/>
      <c r="I7254" s="31"/>
      <c r="J7254" s="31"/>
    </row>
    <row r="7255" spans="7:10" s="29" customFormat="1" x14ac:dyDescent="0.2">
      <c r="G7255" s="31"/>
      <c r="H7255" s="31"/>
      <c r="I7255" s="31"/>
      <c r="J7255" s="31"/>
    </row>
    <row r="7256" spans="7:10" s="29" customFormat="1" x14ac:dyDescent="0.2">
      <c r="G7256" s="31"/>
      <c r="H7256" s="31"/>
      <c r="I7256" s="31"/>
      <c r="J7256" s="31"/>
    </row>
    <row r="7257" spans="7:10" s="29" customFormat="1" x14ac:dyDescent="0.2">
      <c r="G7257" s="31"/>
      <c r="H7257" s="31"/>
      <c r="I7257" s="31"/>
      <c r="J7257" s="31"/>
    </row>
    <row r="7258" spans="7:10" s="29" customFormat="1" x14ac:dyDescent="0.2">
      <c r="G7258" s="31"/>
      <c r="H7258" s="31"/>
      <c r="I7258" s="31"/>
      <c r="J7258" s="31"/>
    </row>
    <row r="7259" spans="7:10" s="29" customFormat="1" x14ac:dyDescent="0.2">
      <c r="G7259" s="31"/>
      <c r="H7259" s="31"/>
      <c r="I7259" s="31"/>
      <c r="J7259" s="31"/>
    </row>
    <row r="7260" spans="7:10" s="29" customFormat="1" x14ac:dyDescent="0.2">
      <c r="G7260" s="31"/>
      <c r="H7260" s="31"/>
      <c r="I7260" s="31"/>
      <c r="J7260" s="31"/>
    </row>
    <row r="7261" spans="7:10" s="29" customFormat="1" x14ac:dyDescent="0.2">
      <c r="G7261" s="31"/>
      <c r="H7261" s="31"/>
      <c r="I7261" s="31"/>
      <c r="J7261" s="31"/>
    </row>
    <row r="7262" spans="7:10" s="29" customFormat="1" x14ac:dyDescent="0.2">
      <c r="G7262" s="31"/>
      <c r="H7262" s="31"/>
      <c r="I7262" s="31"/>
      <c r="J7262" s="31"/>
    </row>
    <row r="7263" spans="7:10" s="29" customFormat="1" x14ac:dyDescent="0.2">
      <c r="G7263" s="31"/>
      <c r="H7263" s="31"/>
      <c r="I7263" s="31"/>
      <c r="J7263" s="31"/>
    </row>
    <row r="7264" spans="7:10" s="29" customFormat="1" x14ac:dyDescent="0.2">
      <c r="G7264" s="31"/>
      <c r="H7264" s="31"/>
      <c r="I7264" s="31"/>
      <c r="J7264" s="31"/>
    </row>
    <row r="7265" spans="7:10" s="29" customFormat="1" x14ac:dyDescent="0.2">
      <c r="G7265" s="31"/>
      <c r="H7265" s="31"/>
      <c r="I7265" s="31"/>
      <c r="J7265" s="31"/>
    </row>
    <row r="7266" spans="7:10" s="29" customFormat="1" x14ac:dyDescent="0.2">
      <c r="G7266" s="31"/>
      <c r="H7266" s="31"/>
      <c r="I7266" s="31"/>
      <c r="J7266" s="31"/>
    </row>
    <row r="7267" spans="7:10" s="29" customFormat="1" x14ac:dyDescent="0.2">
      <c r="G7267" s="31"/>
      <c r="H7267" s="31"/>
      <c r="I7267" s="31"/>
      <c r="J7267" s="31"/>
    </row>
    <row r="7268" spans="7:10" s="29" customFormat="1" x14ac:dyDescent="0.2">
      <c r="G7268" s="31"/>
      <c r="H7268" s="31"/>
      <c r="I7268" s="31"/>
      <c r="J7268" s="31"/>
    </row>
    <row r="7269" spans="7:10" s="29" customFormat="1" x14ac:dyDescent="0.2">
      <c r="G7269" s="31"/>
      <c r="H7269" s="31"/>
      <c r="I7269" s="31"/>
      <c r="J7269" s="31"/>
    </row>
    <row r="7270" spans="7:10" s="29" customFormat="1" x14ac:dyDescent="0.2">
      <c r="G7270" s="31"/>
      <c r="H7270" s="31"/>
      <c r="I7270" s="31"/>
      <c r="J7270" s="31"/>
    </row>
    <row r="7271" spans="7:10" s="29" customFormat="1" x14ac:dyDescent="0.2">
      <c r="G7271" s="31"/>
      <c r="H7271" s="31"/>
      <c r="I7271" s="31"/>
      <c r="J7271" s="31"/>
    </row>
    <row r="7272" spans="7:10" s="29" customFormat="1" x14ac:dyDescent="0.2">
      <c r="G7272" s="31"/>
      <c r="H7272" s="31"/>
      <c r="I7272" s="31"/>
      <c r="J7272" s="31"/>
    </row>
    <row r="7273" spans="7:10" s="29" customFormat="1" x14ac:dyDescent="0.2">
      <c r="G7273" s="31"/>
      <c r="H7273" s="31"/>
      <c r="I7273" s="31"/>
      <c r="J7273" s="31"/>
    </row>
    <row r="7274" spans="7:10" s="29" customFormat="1" x14ac:dyDescent="0.2">
      <c r="G7274" s="31"/>
      <c r="H7274" s="31"/>
      <c r="I7274" s="31"/>
      <c r="J7274" s="31"/>
    </row>
    <row r="7275" spans="7:10" s="29" customFormat="1" x14ac:dyDescent="0.2">
      <c r="G7275" s="31"/>
      <c r="H7275" s="31"/>
      <c r="I7275" s="31"/>
      <c r="J7275" s="31"/>
    </row>
    <row r="7276" spans="7:10" s="29" customFormat="1" x14ac:dyDescent="0.2">
      <c r="G7276" s="31"/>
      <c r="H7276" s="31"/>
      <c r="I7276" s="31"/>
      <c r="J7276" s="31"/>
    </row>
    <row r="7277" spans="7:10" s="29" customFormat="1" x14ac:dyDescent="0.2">
      <c r="G7277" s="31"/>
      <c r="H7277" s="31"/>
      <c r="I7277" s="31"/>
      <c r="J7277" s="31"/>
    </row>
    <row r="7278" spans="7:10" s="29" customFormat="1" x14ac:dyDescent="0.2">
      <c r="G7278" s="31"/>
      <c r="H7278" s="31"/>
      <c r="I7278" s="31"/>
      <c r="J7278" s="31"/>
    </row>
    <row r="7279" spans="7:10" s="29" customFormat="1" x14ac:dyDescent="0.2">
      <c r="G7279" s="31"/>
      <c r="H7279" s="31"/>
      <c r="I7279" s="31"/>
      <c r="J7279" s="31"/>
    </row>
    <row r="7280" spans="7:10" s="29" customFormat="1" x14ac:dyDescent="0.2">
      <c r="G7280" s="31"/>
      <c r="H7280" s="31"/>
      <c r="I7280" s="31"/>
      <c r="J7280" s="31"/>
    </row>
    <row r="7281" spans="7:10" s="29" customFormat="1" x14ac:dyDescent="0.2">
      <c r="G7281" s="31"/>
      <c r="H7281" s="31"/>
      <c r="I7281" s="31"/>
      <c r="J7281" s="31"/>
    </row>
    <row r="7282" spans="7:10" s="29" customFormat="1" x14ac:dyDescent="0.2">
      <c r="G7282" s="31"/>
      <c r="H7282" s="31"/>
      <c r="I7282" s="31"/>
      <c r="J7282" s="31"/>
    </row>
    <row r="7283" spans="7:10" s="29" customFormat="1" x14ac:dyDescent="0.2">
      <c r="G7283" s="31"/>
      <c r="H7283" s="31"/>
      <c r="I7283" s="31"/>
      <c r="J7283" s="31"/>
    </row>
    <row r="7284" spans="7:10" s="29" customFormat="1" x14ac:dyDescent="0.2">
      <c r="G7284" s="31"/>
      <c r="H7284" s="31"/>
      <c r="I7284" s="31"/>
      <c r="J7284" s="31"/>
    </row>
    <row r="7285" spans="7:10" s="29" customFormat="1" x14ac:dyDescent="0.2">
      <c r="G7285" s="31"/>
      <c r="H7285" s="31"/>
      <c r="I7285" s="31"/>
      <c r="J7285" s="31"/>
    </row>
    <row r="7286" spans="7:10" s="29" customFormat="1" x14ac:dyDescent="0.2">
      <c r="G7286" s="31"/>
      <c r="H7286" s="31"/>
      <c r="I7286" s="31"/>
      <c r="J7286" s="31"/>
    </row>
    <row r="7287" spans="7:10" s="29" customFormat="1" x14ac:dyDescent="0.2">
      <c r="G7287" s="31"/>
      <c r="H7287" s="31"/>
      <c r="I7287" s="31"/>
      <c r="J7287" s="31"/>
    </row>
    <row r="7288" spans="7:10" s="29" customFormat="1" x14ac:dyDescent="0.2">
      <c r="G7288" s="31"/>
      <c r="H7288" s="31"/>
      <c r="I7288" s="31"/>
      <c r="J7288" s="31"/>
    </row>
    <row r="7289" spans="7:10" s="29" customFormat="1" x14ac:dyDescent="0.2">
      <c r="G7289" s="31"/>
      <c r="H7289" s="31"/>
      <c r="I7289" s="31"/>
      <c r="J7289" s="31"/>
    </row>
    <row r="7290" spans="7:10" s="29" customFormat="1" x14ac:dyDescent="0.2">
      <c r="G7290" s="31"/>
      <c r="H7290" s="31"/>
      <c r="I7290" s="31"/>
      <c r="J7290" s="31"/>
    </row>
    <row r="7291" spans="7:10" s="29" customFormat="1" x14ac:dyDescent="0.2">
      <c r="G7291" s="31"/>
      <c r="H7291" s="31"/>
      <c r="I7291" s="31"/>
      <c r="J7291" s="31"/>
    </row>
    <row r="7292" spans="7:10" s="29" customFormat="1" x14ac:dyDescent="0.2">
      <c r="G7292" s="31"/>
      <c r="H7292" s="31"/>
      <c r="I7292" s="31"/>
      <c r="J7292" s="31"/>
    </row>
    <row r="7293" spans="7:10" s="29" customFormat="1" x14ac:dyDescent="0.2">
      <c r="G7293" s="31"/>
      <c r="H7293" s="31"/>
      <c r="I7293" s="31"/>
      <c r="J7293" s="31"/>
    </row>
    <row r="7294" spans="7:10" s="29" customFormat="1" x14ac:dyDescent="0.2">
      <c r="G7294" s="31"/>
      <c r="H7294" s="31"/>
      <c r="I7294" s="31"/>
      <c r="J7294" s="31"/>
    </row>
    <row r="7295" spans="7:10" s="29" customFormat="1" x14ac:dyDescent="0.2">
      <c r="G7295" s="31"/>
      <c r="H7295" s="31"/>
      <c r="I7295" s="31"/>
      <c r="J7295" s="31"/>
    </row>
    <row r="7296" spans="7:10" s="29" customFormat="1" x14ac:dyDescent="0.2">
      <c r="G7296" s="31"/>
      <c r="H7296" s="31"/>
      <c r="I7296" s="31"/>
      <c r="J7296" s="31"/>
    </row>
    <row r="7297" spans="7:10" s="29" customFormat="1" x14ac:dyDescent="0.2">
      <c r="G7297" s="31"/>
      <c r="H7297" s="31"/>
      <c r="I7297" s="31"/>
      <c r="J7297" s="31"/>
    </row>
    <row r="7298" spans="7:10" s="29" customFormat="1" x14ac:dyDescent="0.2">
      <c r="G7298" s="31"/>
      <c r="H7298" s="31"/>
      <c r="I7298" s="31"/>
      <c r="J7298" s="31"/>
    </row>
    <row r="7299" spans="7:10" s="29" customFormat="1" x14ac:dyDescent="0.2">
      <c r="G7299" s="31"/>
      <c r="H7299" s="31"/>
      <c r="I7299" s="31"/>
      <c r="J7299" s="31"/>
    </row>
    <row r="7300" spans="7:10" s="29" customFormat="1" x14ac:dyDescent="0.2">
      <c r="G7300" s="31"/>
      <c r="H7300" s="31"/>
      <c r="I7300" s="31"/>
      <c r="J7300" s="31"/>
    </row>
    <row r="7301" spans="7:10" s="29" customFormat="1" x14ac:dyDescent="0.2">
      <c r="G7301" s="31"/>
      <c r="H7301" s="31"/>
      <c r="I7301" s="31"/>
      <c r="J7301" s="31"/>
    </row>
    <row r="7302" spans="7:10" s="29" customFormat="1" x14ac:dyDescent="0.2">
      <c r="G7302" s="31"/>
      <c r="H7302" s="31"/>
      <c r="I7302" s="31"/>
      <c r="J7302" s="31"/>
    </row>
    <row r="7303" spans="7:10" s="29" customFormat="1" x14ac:dyDescent="0.2">
      <c r="G7303" s="31"/>
      <c r="H7303" s="31"/>
      <c r="I7303" s="31"/>
      <c r="J7303" s="31"/>
    </row>
    <row r="7304" spans="7:10" s="29" customFormat="1" x14ac:dyDescent="0.2">
      <c r="G7304" s="31"/>
      <c r="H7304" s="31"/>
      <c r="I7304" s="31"/>
      <c r="J7304" s="31"/>
    </row>
    <row r="7305" spans="7:10" s="29" customFormat="1" x14ac:dyDescent="0.2">
      <c r="G7305" s="31"/>
      <c r="H7305" s="31"/>
      <c r="I7305" s="31"/>
      <c r="J7305" s="31"/>
    </row>
    <row r="7306" spans="7:10" s="29" customFormat="1" x14ac:dyDescent="0.2">
      <c r="G7306" s="31"/>
      <c r="H7306" s="31"/>
      <c r="I7306" s="31"/>
      <c r="J7306" s="31"/>
    </row>
    <row r="7307" spans="7:10" s="29" customFormat="1" x14ac:dyDescent="0.2">
      <c r="G7307" s="31"/>
      <c r="H7307" s="31"/>
      <c r="I7307" s="31"/>
      <c r="J7307" s="31"/>
    </row>
    <row r="7308" spans="7:10" s="29" customFormat="1" x14ac:dyDescent="0.2">
      <c r="G7308" s="31"/>
      <c r="H7308" s="31"/>
      <c r="I7308" s="31"/>
      <c r="J7308" s="31"/>
    </row>
    <row r="7309" spans="7:10" s="29" customFormat="1" x14ac:dyDescent="0.2">
      <c r="G7309" s="31"/>
      <c r="H7309" s="31"/>
      <c r="I7309" s="31"/>
      <c r="J7309" s="31"/>
    </row>
    <row r="7310" spans="7:10" s="29" customFormat="1" x14ac:dyDescent="0.2">
      <c r="G7310" s="31"/>
      <c r="H7310" s="31"/>
      <c r="I7310" s="31"/>
      <c r="J7310" s="31"/>
    </row>
    <row r="7311" spans="7:10" s="29" customFormat="1" x14ac:dyDescent="0.2">
      <c r="G7311" s="31"/>
      <c r="H7311" s="31"/>
      <c r="I7311" s="31"/>
      <c r="J7311" s="31"/>
    </row>
    <row r="7312" spans="7:10" s="29" customFormat="1" x14ac:dyDescent="0.2">
      <c r="G7312" s="31"/>
      <c r="H7312" s="31"/>
      <c r="I7312" s="31"/>
      <c r="J7312" s="31"/>
    </row>
    <row r="7313" spans="7:10" s="29" customFormat="1" x14ac:dyDescent="0.2">
      <c r="G7313" s="31"/>
      <c r="H7313" s="31"/>
      <c r="I7313" s="31"/>
      <c r="J7313" s="31"/>
    </row>
    <row r="7314" spans="7:10" s="29" customFormat="1" x14ac:dyDescent="0.2">
      <c r="G7314" s="31"/>
      <c r="H7314" s="31"/>
      <c r="I7314" s="31"/>
      <c r="J7314" s="31"/>
    </row>
    <row r="7315" spans="7:10" s="29" customFormat="1" x14ac:dyDescent="0.2">
      <c r="G7315" s="31"/>
      <c r="H7315" s="31"/>
      <c r="I7315" s="31"/>
      <c r="J7315" s="31"/>
    </row>
    <row r="7316" spans="7:10" s="29" customFormat="1" x14ac:dyDescent="0.2">
      <c r="G7316" s="31"/>
      <c r="H7316" s="31"/>
      <c r="I7316" s="31"/>
      <c r="J7316" s="31"/>
    </row>
    <row r="7317" spans="7:10" s="29" customFormat="1" x14ac:dyDescent="0.2">
      <c r="G7317" s="31"/>
      <c r="H7317" s="31"/>
      <c r="I7317" s="31"/>
      <c r="J7317" s="31"/>
    </row>
    <row r="7318" spans="7:10" s="29" customFormat="1" x14ac:dyDescent="0.2">
      <c r="G7318" s="31"/>
      <c r="H7318" s="31"/>
      <c r="I7318" s="31"/>
      <c r="J7318" s="31"/>
    </row>
    <row r="7319" spans="7:10" s="29" customFormat="1" x14ac:dyDescent="0.2">
      <c r="G7319" s="31"/>
      <c r="H7319" s="31"/>
      <c r="I7319" s="31"/>
      <c r="J7319" s="31"/>
    </row>
    <row r="7320" spans="7:10" s="29" customFormat="1" x14ac:dyDescent="0.2">
      <c r="G7320" s="31"/>
      <c r="H7320" s="31"/>
      <c r="I7320" s="31"/>
      <c r="J7320" s="31"/>
    </row>
    <row r="7321" spans="7:10" s="29" customFormat="1" x14ac:dyDescent="0.2">
      <c r="G7321" s="31"/>
      <c r="H7321" s="31"/>
      <c r="I7321" s="31"/>
      <c r="J7321" s="31"/>
    </row>
    <row r="7322" spans="7:10" s="29" customFormat="1" x14ac:dyDescent="0.2">
      <c r="G7322" s="31"/>
      <c r="H7322" s="31"/>
      <c r="I7322" s="31"/>
      <c r="J7322" s="31"/>
    </row>
    <row r="7323" spans="7:10" s="29" customFormat="1" x14ac:dyDescent="0.2">
      <c r="G7323" s="31"/>
      <c r="H7323" s="31"/>
      <c r="I7323" s="31"/>
      <c r="J7323" s="31"/>
    </row>
    <row r="7324" spans="7:10" s="29" customFormat="1" x14ac:dyDescent="0.2">
      <c r="G7324" s="31"/>
      <c r="H7324" s="31"/>
      <c r="I7324" s="31"/>
      <c r="J7324" s="31"/>
    </row>
    <row r="7325" spans="7:10" s="29" customFormat="1" x14ac:dyDescent="0.2">
      <c r="G7325" s="31"/>
      <c r="H7325" s="31"/>
      <c r="I7325" s="31"/>
      <c r="J7325" s="31"/>
    </row>
    <row r="7326" spans="7:10" s="29" customFormat="1" x14ac:dyDescent="0.2">
      <c r="G7326" s="31"/>
      <c r="H7326" s="31"/>
      <c r="I7326" s="31"/>
      <c r="J7326" s="31"/>
    </row>
    <row r="7327" spans="7:10" s="29" customFormat="1" x14ac:dyDescent="0.2">
      <c r="G7327" s="31"/>
      <c r="H7327" s="31"/>
      <c r="I7327" s="31"/>
      <c r="J7327" s="31"/>
    </row>
    <row r="7328" spans="7:10" s="29" customFormat="1" x14ac:dyDescent="0.2">
      <c r="G7328" s="31"/>
      <c r="H7328" s="31"/>
      <c r="I7328" s="31"/>
      <c r="J7328" s="31"/>
    </row>
    <row r="7329" spans="7:10" s="29" customFormat="1" x14ac:dyDescent="0.2">
      <c r="G7329" s="31"/>
      <c r="H7329" s="31"/>
      <c r="I7329" s="31"/>
      <c r="J7329" s="31"/>
    </row>
    <row r="7330" spans="7:10" s="29" customFormat="1" x14ac:dyDescent="0.2">
      <c r="G7330" s="31"/>
      <c r="H7330" s="31"/>
      <c r="I7330" s="31"/>
      <c r="J7330" s="31"/>
    </row>
    <row r="7331" spans="7:10" s="29" customFormat="1" x14ac:dyDescent="0.2">
      <c r="G7331" s="31"/>
      <c r="H7331" s="31"/>
      <c r="I7331" s="31"/>
      <c r="J7331" s="31"/>
    </row>
    <row r="7332" spans="7:10" s="29" customFormat="1" x14ac:dyDescent="0.2">
      <c r="G7332" s="31"/>
      <c r="H7332" s="31"/>
      <c r="I7332" s="31"/>
      <c r="J7332" s="31"/>
    </row>
    <row r="7333" spans="7:10" s="29" customFormat="1" x14ac:dyDescent="0.2">
      <c r="G7333" s="31"/>
      <c r="H7333" s="31"/>
      <c r="I7333" s="31"/>
      <c r="J7333" s="31"/>
    </row>
    <row r="7334" spans="7:10" s="29" customFormat="1" x14ac:dyDescent="0.2">
      <c r="G7334" s="31"/>
      <c r="H7334" s="31"/>
      <c r="I7334" s="31"/>
      <c r="J7334" s="31"/>
    </row>
    <row r="7335" spans="7:10" s="29" customFormat="1" x14ac:dyDescent="0.2">
      <c r="G7335" s="31"/>
      <c r="H7335" s="31"/>
      <c r="I7335" s="31"/>
      <c r="J7335" s="31"/>
    </row>
    <row r="7336" spans="7:10" s="29" customFormat="1" x14ac:dyDescent="0.2">
      <c r="G7336" s="31"/>
      <c r="H7336" s="31"/>
      <c r="I7336" s="31"/>
      <c r="J7336" s="31"/>
    </row>
    <row r="7337" spans="7:10" s="29" customFormat="1" x14ac:dyDescent="0.2">
      <c r="G7337" s="31"/>
      <c r="H7337" s="31"/>
      <c r="I7337" s="31"/>
      <c r="J7337" s="31"/>
    </row>
    <row r="7338" spans="7:10" s="29" customFormat="1" x14ac:dyDescent="0.2">
      <c r="G7338" s="31"/>
      <c r="H7338" s="31"/>
      <c r="I7338" s="31"/>
      <c r="J7338" s="31"/>
    </row>
    <row r="7339" spans="7:10" s="29" customFormat="1" x14ac:dyDescent="0.2">
      <c r="G7339" s="31"/>
      <c r="H7339" s="31"/>
      <c r="I7339" s="31"/>
      <c r="J7339" s="31"/>
    </row>
    <row r="7340" spans="7:10" s="29" customFormat="1" x14ac:dyDescent="0.2">
      <c r="G7340" s="31"/>
      <c r="H7340" s="31"/>
      <c r="I7340" s="31"/>
      <c r="J7340" s="31"/>
    </row>
    <row r="7341" spans="7:10" s="29" customFormat="1" x14ac:dyDescent="0.2">
      <c r="G7341" s="31"/>
      <c r="H7341" s="31"/>
      <c r="I7341" s="31"/>
      <c r="J7341" s="31"/>
    </row>
    <row r="7342" spans="7:10" s="29" customFormat="1" x14ac:dyDescent="0.2">
      <c r="G7342" s="31"/>
      <c r="H7342" s="31"/>
      <c r="I7342" s="31"/>
      <c r="J7342" s="31"/>
    </row>
    <row r="7343" spans="7:10" s="29" customFormat="1" x14ac:dyDescent="0.2">
      <c r="G7343" s="31"/>
      <c r="H7343" s="31"/>
      <c r="I7343" s="31"/>
      <c r="J7343" s="31"/>
    </row>
    <row r="7344" spans="7:10" s="29" customFormat="1" x14ac:dyDescent="0.2">
      <c r="G7344" s="31"/>
      <c r="H7344" s="31"/>
      <c r="I7344" s="31"/>
      <c r="J7344" s="31"/>
    </row>
    <row r="7345" spans="7:10" s="29" customFormat="1" x14ac:dyDescent="0.2">
      <c r="G7345" s="31"/>
      <c r="H7345" s="31"/>
      <c r="I7345" s="31"/>
      <c r="J7345" s="31"/>
    </row>
    <row r="7346" spans="7:10" s="29" customFormat="1" x14ac:dyDescent="0.2">
      <c r="G7346" s="31"/>
      <c r="H7346" s="31"/>
      <c r="I7346" s="31"/>
      <c r="J7346" s="31"/>
    </row>
    <row r="7347" spans="7:10" s="29" customFormat="1" x14ac:dyDescent="0.2">
      <c r="G7347" s="31"/>
      <c r="H7347" s="31"/>
      <c r="I7347" s="31"/>
      <c r="J7347" s="31"/>
    </row>
    <row r="7348" spans="7:10" s="29" customFormat="1" x14ac:dyDescent="0.2">
      <c r="G7348" s="31"/>
      <c r="H7348" s="31"/>
      <c r="I7348" s="31"/>
      <c r="J7348" s="31"/>
    </row>
    <row r="7349" spans="7:10" s="29" customFormat="1" x14ac:dyDescent="0.2">
      <c r="G7349" s="31"/>
      <c r="H7349" s="31"/>
      <c r="I7349" s="31"/>
      <c r="J7349" s="31"/>
    </row>
    <row r="7350" spans="7:10" s="29" customFormat="1" x14ac:dyDescent="0.2">
      <c r="G7350" s="31"/>
      <c r="H7350" s="31"/>
      <c r="I7350" s="31"/>
      <c r="J7350" s="31"/>
    </row>
    <row r="7351" spans="7:10" s="29" customFormat="1" x14ac:dyDescent="0.2">
      <c r="G7351" s="31"/>
      <c r="H7351" s="31"/>
      <c r="I7351" s="31"/>
      <c r="J7351" s="31"/>
    </row>
    <row r="7352" spans="7:10" s="29" customFormat="1" x14ac:dyDescent="0.2">
      <c r="G7352" s="31"/>
      <c r="H7352" s="31"/>
      <c r="I7352" s="31"/>
      <c r="J7352" s="31"/>
    </row>
    <row r="7353" spans="7:10" s="29" customFormat="1" x14ac:dyDescent="0.2">
      <c r="G7353" s="31"/>
      <c r="H7353" s="31"/>
      <c r="I7353" s="31"/>
      <c r="J7353" s="31"/>
    </row>
    <row r="7354" spans="7:10" s="29" customFormat="1" x14ac:dyDescent="0.2">
      <c r="G7354" s="31"/>
      <c r="H7354" s="31"/>
      <c r="I7354" s="31"/>
      <c r="J7354" s="31"/>
    </row>
    <row r="7355" spans="7:10" s="29" customFormat="1" x14ac:dyDescent="0.2">
      <c r="G7355" s="31"/>
      <c r="H7355" s="31"/>
      <c r="I7355" s="31"/>
      <c r="J7355" s="31"/>
    </row>
    <row r="7356" spans="7:10" s="29" customFormat="1" x14ac:dyDescent="0.2">
      <c r="G7356" s="31"/>
      <c r="H7356" s="31"/>
      <c r="I7356" s="31"/>
      <c r="J7356" s="31"/>
    </row>
    <row r="7357" spans="7:10" s="29" customFormat="1" x14ac:dyDescent="0.2">
      <c r="G7357" s="31"/>
      <c r="H7357" s="31"/>
      <c r="I7357" s="31"/>
      <c r="J7357" s="31"/>
    </row>
    <row r="7358" spans="7:10" s="29" customFormat="1" x14ac:dyDescent="0.2">
      <c r="G7358" s="31"/>
      <c r="H7358" s="31"/>
      <c r="I7358" s="31"/>
      <c r="J7358" s="31"/>
    </row>
    <row r="7359" spans="7:10" s="29" customFormat="1" x14ac:dyDescent="0.2">
      <c r="G7359" s="31"/>
      <c r="H7359" s="31"/>
      <c r="I7359" s="31"/>
      <c r="J7359" s="31"/>
    </row>
    <row r="7360" spans="7:10" s="29" customFormat="1" x14ac:dyDescent="0.2">
      <c r="G7360" s="31"/>
      <c r="H7360" s="31"/>
      <c r="I7360" s="31"/>
      <c r="J7360" s="31"/>
    </row>
    <row r="7361" spans="7:10" s="29" customFormat="1" x14ac:dyDescent="0.2">
      <c r="G7361" s="31"/>
      <c r="H7361" s="31"/>
      <c r="I7361" s="31"/>
      <c r="J7361" s="31"/>
    </row>
    <row r="7362" spans="7:10" s="29" customFormat="1" x14ac:dyDescent="0.2">
      <c r="G7362" s="31"/>
      <c r="H7362" s="31"/>
      <c r="I7362" s="31"/>
      <c r="J7362" s="31"/>
    </row>
    <row r="7363" spans="7:10" s="29" customFormat="1" x14ac:dyDescent="0.2">
      <c r="G7363" s="31"/>
      <c r="H7363" s="31"/>
      <c r="I7363" s="31"/>
      <c r="J7363" s="31"/>
    </row>
    <row r="7364" spans="7:10" s="29" customFormat="1" x14ac:dyDescent="0.2">
      <c r="G7364" s="31"/>
      <c r="H7364" s="31"/>
      <c r="I7364" s="31"/>
      <c r="J7364" s="31"/>
    </row>
    <row r="7365" spans="7:10" s="29" customFormat="1" x14ac:dyDescent="0.2">
      <c r="G7365" s="31"/>
      <c r="H7365" s="31"/>
      <c r="I7365" s="31"/>
      <c r="J7365" s="31"/>
    </row>
    <row r="7366" spans="7:10" s="29" customFormat="1" x14ac:dyDescent="0.2">
      <c r="G7366" s="31"/>
      <c r="H7366" s="31"/>
      <c r="I7366" s="31"/>
      <c r="J7366" s="31"/>
    </row>
    <row r="7367" spans="7:10" s="29" customFormat="1" x14ac:dyDescent="0.2">
      <c r="G7367" s="31"/>
      <c r="H7367" s="31"/>
      <c r="I7367" s="31"/>
      <c r="J7367" s="31"/>
    </row>
    <row r="7368" spans="7:10" s="29" customFormat="1" x14ac:dyDescent="0.2">
      <c r="G7368" s="31"/>
      <c r="H7368" s="31"/>
      <c r="I7368" s="31"/>
      <c r="J7368" s="31"/>
    </row>
    <row r="7369" spans="7:10" s="29" customFormat="1" x14ac:dyDescent="0.2">
      <c r="G7369" s="31"/>
      <c r="H7369" s="31"/>
      <c r="I7369" s="31"/>
      <c r="J7369" s="31"/>
    </row>
    <row r="7370" spans="7:10" s="29" customFormat="1" x14ac:dyDescent="0.2">
      <c r="G7370" s="31"/>
      <c r="H7370" s="31"/>
      <c r="I7370" s="31"/>
      <c r="J7370" s="31"/>
    </row>
    <row r="7371" spans="7:10" s="29" customFormat="1" x14ac:dyDescent="0.2">
      <c r="G7371" s="31"/>
      <c r="H7371" s="31"/>
      <c r="I7371" s="31"/>
      <c r="J7371" s="31"/>
    </row>
    <row r="7372" spans="7:10" s="29" customFormat="1" x14ac:dyDescent="0.2">
      <c r="G7372" s="31"/>
      <c r="H7372" s="31"/>
      <c r="I7372" s="31"/>
      <c r="J7372" s="31"/>
    </row>
    <row r="7373" spans="7:10" s="29" customFormat="1" x14ac:dyDescent="0.2">
      <c r="G7373" s="31"/>
      <c r="H7373" s="31"/>
      <c r="I7373" s="31"/>
      <c r="J7373" s="31"/>
    </row>
    <row r="7374" spans="7:10" s="29" customFormat="1" x14ac:dyDescent="0.2">
      <c r="G7374" s="31"/>
      <c r="H7374" s="31"/>
      <c r="I7374" s="31"/>
      <c r="J7374" s="31"/>
    </row>
    <row r="7375" spans="7:10" s="29" customFormat="1" x14ac:dyDescent="0.2">
      <c r="G7375" s="31"/>
      <c r="H7375" s="31"/>
      <c r="I7375" s="31"/>
      <c r="J7375" s="31"/>
    </row>
    <row r="7376" spans="7:10" s="29" customFormat="1" x14ac:dyDescent="0.2">
      <c r="G7376" s="31"/>
      <c r="H7376" s="31"/>
      <c r="I7376" s="31"/>
      <c r="J7376" s="31"/>
    </row>
    <row r="7377" spans="7:10" s="29" customFormat="1" x14ac:dyDescent="0.2">
      <c r="G7377" s="31"/>
      <c r="H7377" s="31"/>
      <c r="I7377" s="31"/>
      <c r="J7377" s="31"/>
    </row>
    <row r="7378" spans="7:10" s="29" customFormat="1" x14ac:dyDescent="0.2">
      <c r="G7378" s="31"/>
      <c r="H7378" s="31"/>
      <c r="I7378" s="31"/>
      <c r="J7378" s="31"/>
    </row>
    <row r="7379" spans="7:10" s="29" customFormat="1" x14ac:dyDescent="0.2">
      <c r="G7379" s="31"/>
      <c r="H7379" s="31"/>
      <c r="I7379" s="31"/>
      <c r="J7379" s="31"/>
    </row>
    <row r="7380" spans="7:10" s="29" customFormat="1" x14ac:dyDescent="0.2">
      <c r="G7380" s="31"/>
      <c r="H7380" s="31"/>
      <c r="I7380" s="31"/>
      <c r="J7380" s="31"/>
    </row>
    <row r="7381" spans="7:10" s="29" customFormat="1" x14ac:dyDescent="0.2">
      <c r="G7381" s="31"/>
      <c r="H7381" s="31"/>
      <c r="I7381" s="31"/>
      <c r="J7381" s="31"/>
    </row>
    <row r="7382" spans="7:10" s="29" customFormat="1" x14ac:dyDescent="0.2">
      <c r="G7382" s="31"/>
      <c r="H7382" s="31"/>
      <c r="I7382" s="31"/>
      <c r="J7382" s="31"/>
    </row>
    <row r="7383" spans="7:10" s="29" customFormat="1" x14ac:dyDescent="0.2">
      <c r="G7383" s="31"/>
      <c r="H7383" s="31"/>
      <c r="I7383" s="31"/>
      <c r="J7383" s="31"/>
    </row>
    <row r="7384" spans="7:10" s="29" customFormat="1" x14ac:dyDescent="0.2">
      <c r="G7384" s="31"/>
      <c r="H7384" s="31"/>
      <c r="I7384" s="31"/>
      <c r="J7384" s="31"/>
    </row>
    <row r="7385" spans="7:10" s="29" customFormat="1" x14ac:dyDescent="0.2">
      <c r="G7385" s="31"/>
      <c r="H7385" s="31"/>
      <c r="I7385" s="31"/>
      <c r="J7385" s="31"/>
    </row>
    <row r="7386" spans="7:10" s="29" customFormat="1" x14ac:dyDescent="0.2">
      <c r="G7386" s="31"/>
      <c r="H7386" s="31"/>
      <c r="I7386" s="31"/>
      <c r="J7386" s="31"/>
    </row>
    <row r="7387" spans="7:10" s="29" customFormat="1" x14ac:dyDescent="0.2">
      <c r="G7387" s="31"/>
      <c r="H7387" s="31"/>
      <c r="I7387" s="31"/>
      <c r="J7387" s="31"/>
    </row>
    <row r="7388" spans="7:10" s="29" customFormat="1" x14ac:dyDescent="0.2">
      <c r="G7388" s="31"/>
      <c r="H7388" s="31"/>
      <c r="I7388" s="31"/>
      <c r="J7388" s="31"/>
    </row>
    <row r="7389" spans="7:10" s="29" customFormat="1" x14ac:dyDescent="0.2">
      <c r="G7389" s="31"/>
      <c r="H7389" s="31"/>
      <c r="I7389" s="31"/>
      <c r="J7389" s="31"/>
    </row>
    <row r="7390" spans="7:10" s="29" customFormat="1" x14ac:dyDescent="0.2">
      <c r="G7390" s="31"/>
      <c r="H7390" s="31"/>
      <c r="I7390" s="31"/>
      <c r="J7390" s="31"/>
    </row>
    <row r="7391" spans="7:10" s="29" customFormat="1" x14ac:dyDescent="0.2">
      <c r="G7391" s="31"/>
      <c r="H7391" s="31"/>
      <c r="I7391" s="31"/>
      <c r="J7391" s="31"/>
    </row>
    <row r="7392" spans="7:10" s="29" customFormat="1" x14ac:dyDescent="0.2">
      <c r="G7392" s="31"/>
      <c r="H7392" s="31"/>
      <c r="I7392" s="31"/>
      <c r="J7392" s="31"/>
    </row>
    <row r="7393" spans="7:10" s="29" customFormat="1" x14ac:dyDescent="0.2">
      <c r="G7393" s="31"/>
      <c r="H7393" s="31"/>
      <c r="I7393" s="31"/>
      <c r="J7393" s="31"/>
    </row>
    <row r="7394" spans="7:10" s="29" customFormat="1" x14ac:dyDescent="0.2">
      <c r="G7394" s="31"/>
      <c r="H7394" s="31"/>
      <c r="I7394" s="31"/>
      <c r="J7394" s="31"/>
    </row>
    <row r="7395" spans="7:10" s="29" customFormat="1" x14ac:dyDescent="0.2">
      <c r="G7395" s="31"/>
      <c r="H7395" s="31"/>
      <c r="I7395" s="31"/>
      <c r="J7395" s="31"/>
    </row>
    <row r="7396" spans="7:10" s="29" customFormat="1" x14ac:dyDescent="0.2">
      <c r="G7396" s="31"/>
      <c r="H7396" s="31"/>
      <c r="I7396" s="31"/>
      <c r="J7396" s="31"/>
    </row>
    <row r="7397" spans="7:10" s="29" customFormat="1" x14ac:dyDescent="0.2">
      <c r="G7397" s="31"/>
      <c r="H7397" s="31"/>
      <c r="I7397" s="31"/>
      <c r="J7397" s="31"/>
    </row>
    <row r="7398" spans="7:10" s="29" customFormat="1" x14ac:dyDescent="0.2">
      <c r="G7398" s="31"/>
      <c r="H7398" s="31"/>
      <c r="I7398" s="31"/>
      <c r="J7398" s="31"/>
    </row>
    <row r="7399" spans="7:10" s="29" customFormat="1" x14ac:dyDescent="0.2">
      <c r="G7399" s="31"/>
      <c r="H7399" s="31"/>
      <c r="I7399" s="31"/>
      <c r="J7399" s="31"/>
    </row>
    <row r="7400" spans="7:10" s="29" customFormat="1" x14ac:dyDescent="0.2">
      <c r="G7400" s="31"/>
      <c r="H7400" s="31"/>
      <c r="I7400" s="31"/>
      <c r="J7400" s="31"/>
    </row>
    <row r="7401" spans="7:10" s="29" customFormat="1" x14ac:dyDescent="0.2">
      <c r="G7401" s="31"/>
      <c r="H7401" s="31"/>
      <c r="I7401" s="31"/>
      <c r="J7401" s="31"/>
    </row>
    <row r="7402" spans="7:10" s="29" customFormat="1" x14ac:dyDescent="0.2">
      <c r="G7402" s="31"/>
      <c r="H7402" s="31"/>
      <c r="I7402" s="31"/>
      <c r="J7402" s="31"/>
    </row>
    <row r="7403" spans="7:10" s="29" customFormat="1" x14ac:dyDescent="0.2">
      <c r="G7403" s="31"/>
      <c r="H7403" s="31"/>
      <c r="I7403" s="31"/>
      <c r="J7403" s="31"/>
    </row>
    <row r="7404" spans="7:10" s="29" customFormat="1" x14ac:dyDescent="0.2">
      <c r="G7404" s="31"/>
      <c r="H7404" s="31"/>
      <c r="I7404" s="31"/>
      <c r="J7404" s="31"/>
    </row>
    <row r="7405" spans="7:10" s="29" customFormat="1" x14ac:dyDescent="0.2">
      <c r="G7405" s="31"/>
      <c r="H7405" s="31"/>
      <c r="I7405" s="31"/>
      <c r="J7405" s="31"/>
    </row>
    <row r="7406" spans="7:10" s="29" customFormat="1" x14ac:dyDescent="0.2">
      <c r="G7406" s="31"/>
      <c r="H7406" s="31"/>
      <c r="I7406" s="31"/>
      <c r="J7406" s="31"/>
    </row>
    <row r="7407" spans="7:10" s="29" customFormat="1" x14ac:dyDescent="0.2">
      <c r="G7407" s="31"/>
      <c r="H7407" s="31"/>
      <c r="I7407" s="31"/>
      <c r="J7407" s="31"/>
    </row>
    <row r="7408" spans="7:10" s="29" customFormat="1" x14ac:dyDescent="0.2">
      <c r="G7408" s="31"/>
      <c r="H7408" s="31"/>
      <c r="I7408" s="31"/>
      <c r="J7408" s="31"/>
    </row>
    <row r="7409" spans="7:10" s="29" customFormat="1" x14ac:dyDescent="0.2">
      <c r="G7409" s="31"/>
      <c r="H7409" s="31"/>
      <c r="I7409" s="31"/>
      <c r="J7409" s="31"/>
    </row>
    <row r="7410" spans="7:10" s="29" customFormat="1" x14ac:dyDescent="0.2">
      <c r="G7410" s="31"/>
      <c r="H7410" s="31"/>
      <c r="I7410" s="31"/>
      <c r="J7410" s="31"/>
    </row>
    <row r="7411" spans="7:10" s="29" customFormat="1" x14ac:dyDescent="0.2">
      <c r="G7411" s="31"/>
      <c r="H7411" s="31"/>
      <c r="I7411" s="31"/>
      <c r="J7411" s="31"/>
    </row>
    <row r="7412" spans="7:10" s="29" customFormat="1" x14ac:dyDescent="0.2">
      <c r="G7412" s="31"/>
      <c r="H7412" s="31"/>
      <c r="I7412" s="31"/>
      <c r="J7412" s="31"/>
    </row>
    <row r="7413" spans="7:10" s="29" customFormat="1" x14ac:dyDescent="0.2">
      <c r="G7413" s="31"/>
      <c r="H7413" s="31"/>
      <c r="I7413" s="31"/>
      <c r="J7413" s="31"/>
    </row>
    <row r="7414" spans="7:10" s="29" customFormat="1" x14ac:dyDescent="0.2">
      <c r="G7414" s="31"/>
      <c r="H7414" s="31"/>
      <c r="I7414" s="31"/>
      <c r="J7414" s="31"/>
    </row>
    <row r="7415" spans="7:10" s="29" customFormat="1" x14ac:dyDescent="0.2">
      <c r="G7415" s="31"/>
      <c r="H7415" s="31"/>
      <c r="I7415" s="31"/>
      <c r="J7415" s="31"/>
    </row>
    <row r="7416" spans="7:10" s="29" customFormat="1" x14ac:dyDescent="0.2">
      <c r="G7416" s="31"/>
      <c r="H7416" s="31"/>
      <c r="I7416" s="31"/>
      <c r="J7416" s="31"/>
    </row>
    <row r="7417" spans="7:10" s="29" customFormat="1" x14ac:dyDescent="0.2">
      <c r="G7417" s="31"/>
      <c r="H7417" s="31"/>
      <c r="I7417" s="31"/>
      <c r="J7417" s="31"/>
    </row>
    <row r="7418" spans="7:10" s="29" customFormat="1" x14ac:dyDescent="0.2">
      <c r="G7418" s="31"/>
      <c r="H7418" s="31"/>
      <c r="I7418" s="31"/>
      <c r="J7418" s="31"/>
    </row>
    <row r="7419" spans="7:10" s="29" customFormat="1" x14ac:dyDescent="0.2">
      <c r="G7419" s="31"/>
      <c r="H7419" s="31"/>
      <c r="I7419" s="31"/>
      <c r="J7419" s="31"/>
    </row>
    <row r="7420" spans="7:10" s="29" customFormat="1" x14ac:dyDescent="0.2">
      <c r="G7420" s="31"/>
      <c r="H7420" s="31"/>
      <c r="I7420" s="31"/>
      <c r="J7420" s="31"/>
    </row>
    <row r="7421" spans="7:10" s="29" customFormat="1" x14ac:dyDescent="0.2">
      <c r="G7421" s="31"/>
      <c r="H7421" s="31"/>
      <c r="I7421" s="31"/>
      <c r="J7421" s="31"/>
    </row>
    <row r="7422" spans="7:10" s="29" customFormat="1" x14ac:dyDescent="0.2">
      <c r="G7422" s="31"/>
      <c r="H7422" s="31"/>
      <c r="I7422" s="31"/>
      <c r="J7422" s="31"/>
    </row>
    <row r="7423" spans="7:10" s="29" customFormat="1" x14ac:dyDescent="0.2">
      <c r="G7423" s="31"/>
      <c r="H7423" s="31"/>
      <c r="I7423" s="31"/>
      <c r="J7423" s="31"/>
    </row>
    <row r="7424" spans="7:10" s="29" customFormat="1" x14ac:dyDescent="0.2">
      <c r="G7424" s="31"/>
      <c r="H7424" s="31"/>
      <c r="I7424" s="31"/>
      <c r="J7424" s="31"/>
    </row>
    <row r="7425" spans="7:10" s="29" customFormat="1" x14ac:dyDescent="0.2">
      <c r="G7425" s="31"/>
      <c r="H7425" s="31"/>
      <c r="I7425" s="31"/>
      <c r="J7425" s="31"/>
    </row>
    <row r="7426" spans="7:10" s="29" customFormat="1" x14ac:dyDescent="0.2">
      <c r="G7426" s="31"/>
      <c r="H7426" s="31"/>
      <c r="I7426" s="31"/>
      <c r="J7426" s="31"/>
    </row>
    <row r="7427" spans="7:10" s="29" customFormat="1" x14ac:dyDescent="0.2">
      <c r="G7427" s="31"/>
      <c r="H7427" s="31"/>
      <c r="I7427" s="31"/>
      <c r="J7427" s="31"/>
    </row>
    <row r="7428" spans="7:10" s="29" customFormat="1" x14ac:dyDescent="0.2">
      <c r="G7428" s="31"/>
      <c r="H7428" s="31"/>
      <c r="I7428" s="31"/>
      <c r="J7428" s="31"/>
    </row>
    <row r="7429" spans="7:10" s="29" customFormat="1" x14ac:dyDescent="0.2">
      <c r="G7429" s="31"/>
      <c r="H7429" s="31"/>
      <c r="I7429" s="31"/>
      <c r="J7429" s="31"/>
    </row>
    <row r="7430" spans="7:10" s="29" customFormat="1" x14ac:dyDescent="0.2">
      <c r="G7430" s="31"/>
      <c r="H7430" s="31"/>
      <c r="I7430" s="31"/>
      <c r="J7430" s="31"/>
    </row>
    <row r="7431" spans="7:10" s="29" customFormat="1" x14ac:dyDescent="0.2">
      <c r="G7431" s="31"/>
      <c r="H7431" s="31"/>
      <c r="I7431" s="31"/>
      <c r="J7431" s="31"/>
    </row>
    <row r="7432" spans="7:10" s="29" customFormat="1" x14ac:dyDescent="0.2">
      <c r="G7432" s="31"/>
      <c r="H7432" s="31"/>
      <c r="I7432" s="31"/>
      <c r="J7432" s="31"/>
    </row>
    <row r="7433" spans="7:10" s="29" customFormat="1" x14ac:dyDescent="0.2">
      <c r="G7433" s="31"/>
      <c r="H7433" s="31"/>
      <c r="I7433" s="31"/>
      <c r="J7433" s="31"/>
    </row>
    <row r="7434" spans="7:10" s="29" customFormat="1" x14ac:dyDescent="0.2">
      <c r="G7434" s="31"/>
      <c r="H7434" s="31"/>
      <c r="I7434" s="31"/>
      <c r="J7434" s="31"/>
    </row>
    <row r="7435" spans="7:10" s="29" customFormat="1" x14ac:dyDescent="0.2">
      <c r="G7435" s="31"/>
      <c r="H7435" s="31"/>
      <c r="I7435" s="31"/>
      <c r="J7435" s="31"/>
    </row>
    <row r="7436" spans="7:10" s="29" customFormat="1" x14ac:dyDescent="0.2">
      <c r="G7436" s="31"/>
      <c r="H7436" s="31"/>
      <c r="I7436" s="31"/>
      <c r="J7436" s="31"/>
    </row>
    <row r="7437" spans="7:10" s="29" customFormat="1" x14ac:dyDescent="0.2">
      <c r="G7437" s="31"/>
      <c r="H7437" s="31"/>
      <c r="I7437" s="31"/>
      <c r="J7437" s="31"/>
    </row>
    <row r="7438" spans="7:10" s="29" customFormat="1" x14ac:dyDescent="0.2">
      <c r="G7438" s="31"/>
      <c r="H7438" s="31"/>
      <c r="I7438" s="31"/>
      <c r="J7438" s="31"/>
    </row>
    <row r="7439" spans="7:10" s="29" customFormat="1" x14ac:dyDescent="0.2">
      <c r="G7439" s="31"/>
      <c r="H7439" s="31"/>
      <c r="I7439" s="31"/>
      <c r="J7439" s="31"/>
    </row>
    <row r="7440" spans="7:10" s="29" customFormat="1" x14ac:dyDescent="0.2">
      <c r="G7440" s="31"/>
      <c r="H7440" s="31"/>
      <c r="I7440" s="31"/>
      <c r="J7440" s="31"/>
    </row>
    <row r="7441" spans="7:10" s="29" customFormat="1" x14ac:dyDescent="0.2">
      <c r="G7441" s="31"/>
      <c r="H7441" s="31"/>
      <c r="I7441" s="31"/>
      <c r="J7441" s="31"/>
    </row>
    <row r="7442" spans="7:10" s="29" customFormat="1" x14ac:dyDescent="0.2">
      <c r="G7442" s="31"/>
      <c r="H7442" s="31"/>
      <c r="I7442" s="31"/>
      <c r="J7442" s="31"/>
    </row>
    <row r="7443" spans="7:10" s="29" customFormat="1" x14ac:dyDescent="0.2">
      <c r="G7443" s="31"/>
      <c r="H7443" s="31"/>
      <c r="I7443" s="31"/>
      <c r="J7443" s="31"/>
    </row>
    <row r="7444" spans="7:10" s="29" customFormat="1" x14ac:dyDescent="0.2">
      <c r="G7444" s="31"/>
      <c r="H7444" s="31"/>
      <c r="I7444" s="31"/>
      <c r="J7444" s="31"/>
    </row>
    <row r="7445" spans="7:10" s="29" customFormat="1" x14ac:dyDescent="0.2">
      <c r="G7445" s="31"/>
      <c r="H7445" s="31"/>
      <c r="I7445" s="31"/>
      <c r="J7445" s="31"/>
    </row>
    <row r="7446" spans="7:10" s="29" customFormat="1" x14ac:dyDescent="0.2">
      <c r="G7446" s="31"/>
      <c r="H7446" s="31"/>
      <c r="I7446" s="31"/>
      <c r="J7446" s="31"/>
    </row>
    <row r="7447" spans="7:10" s="29" customFormat="1" x14ac:dyDescent="0.2">
      <c r="G7447" s="31"/>
      <c r="H7447" s="31"/>
      <c r="I7447" s="31"/>
      <c r="J7447" s="31"/>
    </row>
    <row r="7448" spans="7:10" s="29" customFormat="1" x14ac:dyDescent="0.2">
      <c r="G7448" s="31"/>
      <c r="H7448" s="31"/>
      <c r="I7448" s="31"/>
      <c r="J7448" s="31"/>
    </row>
    <row r="7449" spans="7:10" s="29" customFormat="1" x14ac:dyDescent="0.2">
      <c r="G7449" s="31"/>
      <c r="H7449" s="31"/>
      <c r="I7449" s="31"/>
      <c r="J7449" s="31"/>
    </row>
    <row r="7450" spans="7:10" s="29" customFormat="1" x14ac:dyDescent="0.2">
      <c r="G7450" s="31"/>
      <c r="H7450" s="31"/>
      <c r="I7450" s="31"/>
      <c r="J7450" s="31"/>
    </row>
    <row r="7451" spans="7:10" s="29" customFormat="1" x14ac:dyDescent="0.2">
      <c r="G7451" s="31"/>
      <c r="H7451" s="31"/>
      <c r="I7451" s="31"/>
      <c r="J7451" s="31"/>
    </row>
    <row r="7452" spans="7:10" s="29" customFormat="1" x14ac:dyDescent="0.2">
      <c r="G7452" s="31"/>
      <c r="H7452" s="31"/>
      <c r="I7452" s="31"/>
      <c r="J7452" s="31"/>
    </row>
    <row r="7453" spans="7:10" s="29" customFormat="1" x14ac:dyDescent="0.2">
      <c r="G7453" s="31"/>
      <c r="H7453" s="31"/>
      <c r="I7453" s="31"/>
      <c r="J7453" s="31"/>
    </row>
    <row r="7454" spans="7:10" s="29" customFormat="1" x14ac:dyDescent="0.2">
      <c r="G7454" s="31"/>
      <c r="H7454" s="31"/>
      <c r="I7454" s="31"/>
      <c r="J7454" s="31"/>
    </row>
    <row r="7455" spans="7:10" s="29" customFormat="1" x14ac:dyDescent="0.2">
      <c r="G7455" s="31"/>
      <c r="H7455" s="31"/>
      <c r="I7455" s="31"/>
      <c r="J7455" s="31"/>
    </row>
    <row r="7456" spans="7:10" s="29" customFormat="1" x14ac:dyDescent="0.2">
      <c r="G7456" s="31"/>
      <c r="H7456" s="31"/>
      <c r="I7456" s="31"/>
      <c r="J7456" s="31"/>
    </row>
    <row r="7457" spans="7:10" s="29" customFormat="1" x14ac:dyDescent="0.2">
      <c r="G7457" s="31"/>
      <c r="H7457" s="31"/>
      <c r="I7457" s="31"/>
      <c r="J7457" s="31"/>
    </row>
    <row r="7458" spans="7:10" s="29" customFormat="1" x14ac:dyDescent="0.2">
      <c r="G7458" s="31"/>
      <c r="H7458" s="31"/>
      <c r="I7458" s="31"/>
      <c r="J7458" s="31"/>
    </row>
    <row r="7459" spans="7:10" s="29" customFormat="1" x14ac:dyDescent="0.2">
      <c r="G7459" s="31"/>
      <c r="H7459" s="31"/>
      <c r="I7459" s="31"/>
      <c r="J7459" s="31"/>
    </row>
    <row r="7460" spans="7:10" s="29" customFormat="1" x14ac:dyDescent="0.2">
      <c r="G7460" s="31"/>
      <c r="H7460" s="31"/>
      <c r="I7460" s="31"/>
      <c r="J7460" s="31"/>
    </row>
    <row r="7461" spans="7:10" s="29" customFormat="1" x14ac:dyDescent="0.2">
      <c r="G7461" s="31"/>
      <c r="H7461" s="31"/>
      <c r="I7461" s="31"/>
      <c r="J7461" s="31"/>
    </row>
    <row r="7462" spans="7:10" s="29" customFormat="1" x14ac:dyDescent="0.2">
      <c r="G7462" s="31"/>
      <c r="H7462" s="31"/>
      <c r="I7462" s="31"/>
      <c r="J7462" s="31"/>
    </row>
    <row r="7463" spans="7:10" s="29" customFormat="1" x14ac:dyDescent="0.2">
      <c r="G7463" s="31"/>
      <c r="H7463" s="31"/>
      <c r="I7463" s="31"/>
      <c r="J7463" s="31"/>
    </row>
    <row r="7464" spans="7:10" s="29" customFormat="1" x14ac:dyDescent="0.2">
      <c r="G7464" s="31"/>
      <c r="H7464" s="31"/>
      <c r="I7464" s="31"/>
      <c r="J7464" s="31"/>
    </row>
    <row r="7465" spans="7:10" s="29" customFormat="1" x14ac:dyDescent="0.2">
      <c r="G7465" s="31"/>
      <c r="H7465" s="31"/>
      <c r="I7465" s="31"/>
      <c r="J7465" s="31"/>
    </row>
    <row r="7466" spans="7:10" s="29" customFormat="1" x14ac:dyDescent="0.2">
      <c r="G7466" s="31"/>
      <c r="H7466" s="31"/>
      <c r="I7466" s="31"/>
      <c r="J7466" s="31"/>
    </row>
    <row r="7467" spans="7:10" s="29" customFormat="1" x14ac:dyDescent="0.2">
      <c r="G7467" s="31"/>
      <c r="H7467" s="31"/>
      <c r="I7467" s="31"/>
      <c r="J7467" s="31"/>
    </row>
    <row r="7468" spans="7:10" s="29" customFormat="1" x14ac:dyDescent="0.2">
      <c r="G7468" s="31"/>
      <c r="H7468" s="31"/>
      <c r="I7468" s="31"/>
      <c r="J7468" s="31"/>
    </row>
    <row r="7469" spans="7:10" s="29" customFormat="1" x14ac:dyDescent="0.2">
      <c r="G7469" s="31"/>
      <c r="H7469" s="31"/>
      <c r="I7469" s="31"/>
      <c r="J7469" s="31"/>
    </row>
    <row r="7470" spans="7:10" s="29" customFormat="1" x14ac:dyDescent="0.2">
      <c r="G7470" s="31"/>
      <c r="H7470" s="31"/>
      <c r="I7470" s="31"/>
      <c r="J7470" s="31"/>
    </row>
    <row r="7471" spans="7:10" s="29" customFormat="1" x14ac:dyDescent="0.2">
      <c r="G7471" s="31"/>
      <c r="H7471" s="31"/>
      <c r="I7471" s="31"/>
      <c r="J7471" s="31"/>
    </row>
    <row r="7472" spans="7:10" s="29" customFormat="1" x14ac:dyDescent="0.2">
      <c r="G7472" s="31"/>
      <c r="H7472" s="31"/>
      <c r="I7472" s="31"/>
      <c r="J7472" s="31"/>
    </row>
    <row r="7473" spans="7:10" s="29" customFormat="1" x14ac:dyDescent="0.2">
      <c r="G7473" s="31"/>
      <c r="H7473" s="31"/>
      <c r="I7473" s="31"/>
      <c r="J7473" s="31"/>
    </row>
    <row r="7474" spans="7:10" s="29" customFormat="1" x14ac:dyDescent="0.2">
      <c r="G7474" s="31"/>
      <c r="H7474" s="31"/>
      <c r="I7474" s="31"/>
      <c r="J7474" s="31"/>
    </row>
    <row r="7475" spans="7:10" s="29" customFormat="1" x14ac:dyDescent="0.2">
      <c r="G7475" s="31"/>
      <c r="H7475" s="31"/>
      <c r="I7475" s="31"/>
      <c r="J7475" s="31"/>
    </row>
    <row r="7476" spans="7:10" s="29" customFormat="1" x14ac:dyDescent="0.2">
      <c r="G7476" s="31"/>
      <c r="H7476" s="31"/>
      <c r="I7476" s="31"/>
      <c r="J7476" s="31"/>
    </row>
    <row r="7477" spans="7:10" s="29" customFormat="1" x14ac:dyDescent="0.2">
      <c r="G7477" s="31"/>
      <c r="H7477" s="31"/>
      <c r="I7477" s="31"/>
      <c r="J7477" s="31"/>
    </row>
    <row r="7478" spans="7:10" s="29" customFormat="1" x14ac:dyDescent="0.2">
      <c r="G7478" s="31"/>
      <c r="H7478" s="31"/>
      <c r="I7478" s="31"/>
      <c r="J7478" s="31"/>
    </row>
    <row r="7479" spans="7:10" s="29" customFormat="1" x14ac:dyDescent="0.2">
      <c r="G7479" s="31"/>
      <c r="H7479" s="31"/>
      <c r="I7479" s="31"/>
      <c r="J7479" s="31"/>
    </row>
    <row r="7480" spans="7:10" s="29" customFormat="1" x14ac:dyDescent="0.2">
      <c r="G7480" s="31"/>
      <c r="H7480" s="31"/>
      <c r="I7480" s="31"/>
      <c r="J7480" s="31"/>
    </row>
    <row r="7481" spans="7:10" s="29" customFormat="1" x14ac:dyDescent="0.2">
      <c r="G7481" s="31"/>
      <c r="H7481" s="31"/>
      <c r="I7481" s="31"/>
      <c r="J7481" s="31"/>
    </row>
    <row r="7482" spans="7:10" s="29" customFormat="1" x14ac:dyDescent="0.2">
      <c r="G7482" s="31"/>
      <c r="H7482" s="31"/>
      <c r="I7482" s="31"/>
      <c r="J7482" s="31"/>
    </row>
    <row r="7483" spans="7:10" s="29" customFormat="1" x14ac:dyDescent="0.2">
      <c r="G7483" s="31"/>
      <c r="H7483" s="31"/>
      <c r="I7483" s="31"/>
      <c r="J7483" s="31"/>
    </row>
    <row r="7484" spans="7:10" s="29" customFormat="1" x14ac:dyDescent="0.2">
      <c r="G7484" s="31"/>
      <c r="H7484" s="31"/>
      <c r="I7484" s="31"/>
      <c r="J7484" s="31"/>
    </row>
    <row r="7485" spans="7:10" s="29" customFormat="1" x14ac:dyDescent="0.2">
      <c r="G7485" s="31"/>
      <c r="H7485" s="31"/>
      <c r="I7485" s="31"/>
      <c r="J7485" s="31"/>
    </row>
    <row r="7486" spans="7:10" s="29" customFormat="1" x14ac:dyDescent="0.2">
      <c r="G7486" s="31"/>
      <c r="H7486" s="31"/>
      <c r="I7486" s="31"/>
      <c r="J7486" s="31"/>
    </row>
    <row r="7487" spans="7:10" s="29" customFormat="1" x14ac:dyDescent="0.2">
      <c r="G7487" s="31"/>
      <c r="H7487" s="31"/>
      <c r="I7487" s="31"/>
      <c r="J7487" s="31"/>
    </row>
    <row r="7488" spans="7:10" s="29" customFormat="1" x14ac:dyDescent="0.2">
      <c r="G7488" s="31"/>
      <c r="H7488" s="31"/>
      <c r="I7488" s="31"/>
      <c r="J7488" s="31"/>
    </row>
    <row r="7489" spans="7:10" s="29" customFormat="1" x14ac:dyDescent="0.2">
      <c r="G7489" s="31"/>
      <c r="H7489" s="31"/>
      <c r="I7489" s="31"/>
      <c r="J7489" s="31"/>
    </row>
    <row r="7490" spans="7:10" s="29" customFormat="1" x14ac:dyDescent="0.2">
      <c r="G7490" s="31"/>
      <c r="H7490" s="31"/>
      <c r="I7490" s="31"/>
      <c r="J7490" s="31"/>
    </row>
    <row r="7491" spans="7:10" s="29" customFormat="1" x14ac:dyDescent="0.2">
      <c r="G7491" s="31"/>
      <c r="H7491" s="31"/>
      <c r="I7491" s="31"/>
      <c r="J7491" s="31"/>
    </row>
    <row r="7492" spans="7:10" s="29" customFormat="1" x14ac:dyDescent="0.2">
      <c r="G7492" s="31"/>
      <c r="H7492" s="31"/>
      <c r="I7492" s="31"/>
      <c r="J7492" s="31"/>
    </row>
    <row r="7493" spans="7:10" s="29" customFormat="1" x14ac:dyDescent="0.2">
      <c r="G7493" s="31"/>
      <c r="H7493" s="31"/>
      <c r="I7493" s="31"/>
      <c r="J7493" s="31"/>
    </row>
    <row r="7494" spans="7:10" s="29" customFormat="1" x14ac:dyDescent="0.2">
      <c r="G7494" s="31"/>
      <c r="H7494" s="31"/>
      <c r="I7494" s="31"/>
      <c r="J7494" s="31"/>
    </row>
    <row r="7495" spans="7:10" s="29" customFormat="1" x14ac:dyDescent="0.2">
      <c r="G7495" s="31"/>
      <c r="H7495" s="31"/>
      <c r="I7495" s="31"/>
      <c r="J7495" s="31"/>
    </row>
    <row r="7496" spans="7:10" s="29" customFormat="1" x14ac:dyDescent="0.2">
      <c r="G7496" s="31"/>
      <c r="H7496" s="31"/>
      <c r="I7496" s="31"/>
      <c r="J7496" s="31"/>
    </row>
    <row r="7497" spans="7:10" s="29" customFormat="1" x14ac:dyDescent="0.2">
      <c r="G7497" s="31"/>
      <c r="H7497" s="31"/>
      <c r="I7497" s="31"/>
      <c r="J7497" s="31"/>
    </row>
    <row r="7498" spans="7:10" s="29" customFormat="1" x14ac:dyDescent="0.2">
      <c r="G7498" s="31"/>
      <c r="H7498" s="31"/>
      <c r="I7498" s="31"/>
      <c r="J7498" s="31"/>
    </row>
    <row r="7499" spans="7:10" s="29" customFormat="1" x14ac:dyDescent="0.2">
      <c r="G7499" s="31"/>
      <c r="H7499" s="31"/>
      <c r="I7499" s="31"/>
      <c r="J7499" s="31"/>
    </row>
    <row r="7500" spans="7:10" s="29" customFormat="1" x14ac:dyDescent="0.2">
      <c r="G7500" s="31"/>
      <c r="H7500" s="31"/>
      <c r="I7500" s="31"/>
      <c r="J7500" s="31"/>
    </row>
    <row r="7501" spans="7:10" s="29" customFormat="1" x14ac:dyDescent="0.2">
      <c r="G7501" s="31"/>
      <c r="H7501" s="31"/>
      <c r="I7501" s="31"/>
      <c r="J7501" s="31"/>
    </row>
    <row r="7502" spans="7:10" s="29" customFormat="1" x14ac:dyDescent="0.2">
      <c r="G7502" s="31"/>
      <c r="H7502" s="31"/>
      <c r="I7502" s="31"/>
      <c r="J7502" s="31"/>
    </row>
    <row r="7503" spans="7:10" s="29" customFormat="1" x14ac:dyDescent="0.2">
      <c r="G7503" s="31"/>
      <c r="H7503" s="31"/>
      <c r="I7503" s="31"/>
      <c r="J7503" s="31"/>
    </row>
    <row r="7504" spans="7:10" s="29" customFormat="1" x14ac:dyDescent="0.2">
      <c r="G7504" s="31"/>
      <c r="H7504" s="31"/>
      <c r="I7504" s="31"/>
      <c r="J7504" s="31"/>
    </row>
    <row r="7505" spans="7:10" s="29" customFormat="1" x14ac:dyDescent="0.2">
      <c r="G7505" s="31"/>
      <c r="H7505" s="31"/>
      <c r="I7505" s="31"/>
      <c r="J7505" s="31"/>
    </row>
    <row r="7506" spans="7:10" s="29" customFormat="1" x14ac:dyDescent="0.2">
      <c r="G7506" s="31"/>
      <c r="H7506" s="31"/>
      <c r="I7506" s="31"/>
      <c r="J7506" s="31"/>
    </row>
    <row r="7507" spans="7:10" s="29" customFormat="1" x14ac:dyDescent="0.2">
      <c r="G7507" s="31"/>
      <c r="H7507" s="31"/>
      <c r="I7507" s="31"/>
      <c r="J7507" s="31"/>
    </row>
    <row r="7508" spans="7:10" s="29" customFormat="1" x14ac:dyDescent="0.2">
      <c r="G7508" s="31"/>
      <c r="H7508" s="31"/>
      <c r="I7508" s="31"/>
      <c r="J7508" s="31"/>
    </row>
    <row r="7509" spans="7:10" s="29" customFormat="1" x14ac:dyDescent="0.2">
      <c r="G7509" s="31"/>
      <c r="H7509" s="31"/>
      <c r="I7509" s="31"/>
      <c r="J7509" s="31"/>
    </row>
    <row r="7510" spans="7:10" s="29" customFormat="1" x14ac:dyDescent="0.2">
      <c r="G7510" s="31"/>
      <c r="H7510" s="31"/>
      <c r="I7510" s="31"/>
      <c r="J7510" s="31"/>
    </row>
    <row r="7511" spans="7:10" s="29" customFormat="1" x14ac:dyDescent="0.2">
      <c r="G7511" s="31"/>
      <c r="H7511" s="31"/>
      <c r="I7511" s="31"/>
      <c r="J7511" s="31"/>
    </row>
    <row r="7512" spans="7:10" s="29" customFormat="1" x14ac:dyDescent="0.2">
      <c r="G7512" s="31"/>
      <c r="H7512" s="31"/>
      <c r="I7512" s="31"/>
      <c r="J7512" s="31"/>
    </row>
    <row r="7513" spans="7:10" s="29" customFormat="1" x14ac:dyDescent="0.2">
      <c r="G7513" s="31"/>
      <c r="H7513" s="31"/>
      <c r="I7513" s="31"/>
      <c r="J7513" s="31"/>
    </row>
    <row r="7514" spans="7:10" s="29" customFormat="1" x14ac:dyDescent="0.2">
      <c r="G7514" s="31"/>
      <c r="H7514" s="31"/>
      <c r="I7514" s="31"/>
      <c r="J7514" s="31"/>
    </row>
    <row r="7515" spans="7:10" s="29" customFormat="1" x14ac:dyDescent="0.2">
      <c r="G7515" s="31"/>
      <c r="H7515" s="31"/>
      <c r="I7515" s="31"/>
      <c r="J7515" s="31"/>
    </row>
    <row r="7516" spans="7:10" s="29" customFormat="1" x14ac:dyDescent="0.2">
      <c r="G7516" s="31"/>
      <c r="H7516" s="31"/>
      <c r="I7516" s="31"/>
      <c r="J7516" s="31"/>
    </row>
    <row r="7517" spans="7:10" s="29" customFormat="1" x14ac:dyDescent="0.2">
      <c r="G7517" s="31"/>
      <c r="H7517" s="31"/>
      <c r="I7517" s="31"/>
      <c r="J7517" s="31"/>
    </row>
    <row r="7518" spans="7:10" s="29" customFormat="1" x14ac:dyDescent="0.2">
      <c r="G7518" s="31"/>
      <c r="H7518" s="31"/>
      <c r="I7518" s="31"/>
      <c r="J7518" s="31"/>
    </row>
    <row r="7519" spans="7:10" s="29" customFormat="1" x14ac:dyDescent="0.2">
      <c r="G7519" s="31"/>
      <c r="H7519" s="31"/>
      <c r="I7519" s="31"/>
      <c r="J7519" s="31"/>
    </row>
    <row r="7520" spans="7:10" s="29" customFormat="1" x14ac:dyDescent="0.2">
      <c r="G7520" s="31"/>
      <c r="H7520" s="31"/>
      <c r="I7520" s="31"/>
      <c r="J7520" s="31"/>
    </row>
    <row r="7521" spans="7:10" s="29" customFormat="1" x14ac:dyDescent="0.2">
      <c r="G7521" s="31"/>
      <c r="H7521" s="31"/>
      <c r="I7521" s="31"/>
      <c r="J7521" s="31"/>
    </row>
    <row r="7522" spans="7:10" s="29" customFormat="1" x14ac:dyDescent="0.2">
      <c r="G7522" s="31"/>
      <c r="H7522" s="31"/>
      <c r="I7522" s="31"/>
      <c r="J7522" s="31"/>
    </row>
    <row r="7523" spans="7:10" s="29" customFormat="1" x14ac:dyDescent="0.2">
      <c r="G7523" s="31"/>
      <c r="H7523" s="31"/>
      <c r="I7523" s="31"/>
      <c r="J7523" s="31"/>
    </row>
    <row r="7524" spans="7:10" s="29" customFormat="1" x14ac:dyDescent="0.2">
      <c r="G7524" s="31"/>
      <c r="H7524" s="31"/>
      <c r="I7524" s="31"/>
      <c r="J7524" s="31"/>
    </row>
    <row r="7525" spans="7:10" s="29" customFormat="1" x14ac:dyDescent="0.2">
      <c r="G7525" s="31"/>
      <c r="H7525" s="31"/>
      <c r="I7525" s="31"/>
      <c r="J7525" s="31"/>
    </row>
    <row r="7526" spans="7:10" s="29" customFormat="1" x14ac:dyDescent="0.2">
      <c r="G7526" s="31"/>
      <c r="H7526" s="31"/>
      <c r="I7526" s="31"/>
      <c r="J7526" s="31"/>
    </row>
    <row r="7527" spans="7:10" s="29" customFormat="1" x14ac:dyDescent="0.2">
      <c r="G7527" s="31"/>
      <c r="H7527" s="31"/>
      <c r="I7527" s="31"/>
      <c r="J7527" s="31"/>
    </row>
    <row r="7528" spans="7:10" s="29" customFormat="1" x14ac:dyDescent="0.2">
      <c r="G7528" s="31"/>
      <c r="H7528" s="31"/>
      <c r="I7528" s="31"/>
      <c r="J7528" s="31"/>
    </row>
    <row r="7529" spans="7:10" s="29" customFormat="1" x14ac:dyDescent="0.2">
      <c r="G7529" s="31"/>
      <c r="H7529" s="31"/>
      <c r="I7529" s="31"/>
      <c r="J7529" s="31"/>
    </row>
    <row r="7530" spans="7:10" s="29" customFormat="1" x14ac:dyDescent="0.2">
      <c r="G7530" s="31"/>
      <c r="H7530" s="31"/>
      <c r="I7530" s="31"/>
      <c r="J7530" s="31"/>
    </row>
    <row r="7531" spans="7:10" s="29" customFormat="1" x14ac:dyDescent="0.2">
      <c r="G7531" s="31"/>
      <c r="H7531" s="31"/>
      <c r="I7531" s="31"/>
      <c r="J7531" s="31"/>
    </row>
    <row r="7532" spans="7:10" s="29" customFormat="1" x14ac:dyDescent="0.2">
      <c r="G7532" s="31"/>
      <c r="H7532" s="31"/>
      <c r="I7532" s="31"/>
      <c r="J7532" s="31"/>
    </row>
    <row r="7533" spans="7:10" s="29" customFormat="1" x14ac:dyDescent="0.2">
      <c r="G7533" s="31"/>
      <c r="H7533" s="31"/>
      <c r="I7533" s="31"/>
      <c r="J7533" s="31"/>
    </row>
    <row r="7534" spans="7:10" s="29" customFormat="1" x14ac:dyDescent="0.2">
      <c r="G7534" s="31"/>
      <c r="H7534" s="31"/>
      <c r="I7534" s="31"/>
      <c r="J7534" s="31"/>
    </row>
    <row r="7535" spans="7:10" s="29" customFormat="1" x14ac:dyDescent="0.2">
      <c r="G7535" s="31"/>
      <c r="H7535" s="31"/>
      <c r="I7535" s="31"/>
      <c r="J7535" s="31"/>
    </row>
    <row r="7536" spans="7:10" s="29" customFormat="1" x14ac:dyDescent="0.2">
      <c r="G7536" s="31"/>
      <c r="H7536" s="31"/>
      <c r="I7536" s="31"/>
      <c r="J7536" s="31"/>
    </row>
    <row r="7537" spans="7:10" s="29" customFormat="1" x14ac:dyDescent="0.2">
      <c r="G7537" s="31"/>
      <c r="H7537" s="31"/>
      <c r="I7537" s="31"/>
      <c r="J7537" s="31"/>
    </row>
    <row r="7538" spans="7:10" s="29" customFormat="1" x14ac:dyDescent="0.2">
      <c r="G7538" s="31"/>
      <c r="H7538" s="31"/>
      <c r="I7538" s="31"/>
      <c r="J7538" s="31"/>
    </row>
    <row r="7539" spans="7:10" s="29" customFormat="1" x14ac:dyDescent="0.2">
      <c r="G7539" s="31"/>
      <c r="H7539" s="31"/>
      <c r="I7539" s="31"/>
      <c r="J7539" s="31"/>
    </row>
    <row r="7540" spans="7:10" s="29" customFormat="1" x14ac:dyDescent="0.2">
      <c r="G7540" s="31"/>
      <c r="H7540" s="31"/>
      <c r="I7540" s="31"/>
      <c r="J7540" s="31"/>
    </row>
    <row r="7541" spans="7:10" s="29" customFormat="1" x14ac:dyDescent="0.2">
      <c r="G7541" s="31"/>
      <c r="H7541" s="31"/>
      <c r="I7541" s="31"/>
      <c r="J7541" s="31"/>
    </row>
    <row r="7542" spans="7:10" s="29" customFormat="1" x14ac:dyDescent="0.2">
      <c r="G7542" s="31"/>
      <c r="H7542" s="31"/>
      <c r="I7542" s="31"/>
      <c r="J7542" s="31"/>
    </row>
    <row r="7543" spans="7:10" s="29" customFormat="1" x14ac:dyDescent="0.2">
      <c r="G7543" s="31"/>
      <c r="H7543" s="31"/>
      <c r="I7543" s="31"/>
      <c r="J7543" s="31"/>
    </row>
    <row r="7544" spans="7:10" s="29" customFormat="1" x14ac:dyDescent="0.2">
      <c r="G7544" s="31"/>
      <c r="H7544" s="31"/>
      <c r="I7544" s="31"/>
      <c r="J7544" s="31"/>
    </row>
    <row r="7545" spans="7:10" s="29" customFormat="1" x14ac:dyDescent="0.2">
      <c r="G7545" s="31"/>
      <c r="H7545" s="31"/>
      <c r="I7545" s="31"/>
      <c r="J7545" s="31"/>
    </row>
    <row r="7546" spans="7:10" s="29" customFormat="1" x14ac:dyDescent="0.2">
      <c r="G7546" s="31"/>
      <c r="H7546" s="31"/>
      <c r="I7546" s="31"/>
      <c r="J7546" s="31"/>
    </row>
    <row r="7547" spans="7:10" s="29" customFormat="1" x14ac:dyDescent="0.2">
      <c r="G7547" s="31"/>
      <c r="H7547" s="31"/>
      <c r="I7547" s="31"/>
      <c r="J7547" s="31"/>
    </row>
    <row r="7548" spans="7:10" s="29" customFormat="1" x14ac:dyDescent="0.2">
      <c r="G7548" s="31"/>
      <c r="H7548" s="31"/>
      <c r="I7548" s="31"/>
      <c r="J7548" s="31"/>
    </row>
    <row r="7549" spans="7:10" s="29" customFormat="1" x14ac:dyDescent="0.2">
      <c r="G7549" s="31"/>
      <c r="H7549" s="31"/>
      <c r="I7549" s="31"/>
      <c r="J7549" s="31"/>
    </row>
    <row r="7550" spans="7:10" s="29" customFormat="1" x14ac:dyDescent="0.2">
      <c r="G7550" s="31"/>
      <c r="H7550" s="31"/>
      <c r="I7550" s="31"/>
      <c r="J7550" s="31"/>
    </row>
    <row r="7551" spans="7:10" s="29" customFormat="1" x14ac:dyDescent="0.2">
      <c r="G7551" s="31"/>
      <c r="H7551" s="31"/>
      <c r="I7551" s="31"/>
      <c r="J7551" s="31"/>
    </row>
    <row r="7552" spans="7:10" s="29" customFormat="1" x14ac:dyDescent="0.2">
      <c r="G7552" s="31"/>
      <c r="H7552" s="31"/>
      <c r="I7552" s="31"/>
      <c r="J7552" s="31"/>
    </row>
    <row r="7553" spans="7:10" s="29" customFormat="1" x14ac:dyDescent="0.2">
      <c r="G7553" s="31"/>
      <c r="H7553" s="31"/>
      <c r="I7553" s="31"/>
      <c r="J7553" s="31"/>
    </row>
    <row r="7554" spans="7:10" s="29" customFormat="1" x14ac:dyDescent="0.2">
      <c r="G7554" s="31"/>
      <c r="H7554" s="31"/>
      <c r="I7554" s="31"/>
      <c r="J7554" s="31"/>
    </row>
    <row r="7555" spans="7:10" s="29" customFormat="1" x14ac:dyDescent="0.2">
      <c r="G7555" s="31"/>
      <c r="H7555" s="31"/>
      <c r="I7555" s="31"/>
      <c r="J7555" s="31"/>
    </row>
    <row r="7556" spans="7:10" s="29" customFormat="1" x14ac:dyDescent="0.2">
      <c r="G7556" s="31"/>
      <c r="H7556" s="31"/>
      <c r="I7556" s="31"/>
      <c r="J7556" s="31"/>
    </row>
    <row r="7557" spans="7:10" s="29" customFormat="1" x14ac:dyDescent="0.2">
      <c r="G7557" s="31"/>
      <c r="H7557" s="31"/>
      <c r="I7557" s="31"/>
      <c r="J7557" s="31"/>
    </row>
    <row r="7558" spans="7:10" s="29" customFormat="1" x14ac:dyDescent="0.2">
      <c r="G7558" s="31"/>
      <c r="H7558" s="31"/>
      <c r="I7558" s="31"/>
      <c r="J7558" s="31"/>
    </row>
    <row r="7559" spans="7:10" s="29" customFormat="1" x14ac:dyDescent="0.2">
      <c r="G7559" s="31"/>
      <c r="H7559" s="31"/>
      <c r="I7559" s="31"/>
      <c r="J7559" s="31"/>
    </row>
    <row r="7560" spans="7:10" s="29" customFormat="1" x14ac:dyDescent="0.2">
      <c r="G7560" s="31"/>
      <c r="H7560" s="31"/>
      <c r="I7560" s="31"/>
      <c r="J7560" s="31"/>
    </row>
    <row r="7561" spans="7:10" s="29" customFormat="1" x14ac:dyDescent="0.2">
      <c r="G7561" s="31"/>
      <c r="H7561" s="31"/>
      <c r="I7561" s="31"/>
      <c r="J7561" s="31"/>
    </row>
    <row r="7562" spans="7:10" s="29" customFormat="1" x14ac:dyDescent="0.2">
      <c r="G7562" s="31"/>
      <c r="H7562" s="31"/>
      <c r="I7562" s="31"/>
      <c r="J7562" s="31"/>
    </row>
    <row r="7563" spans="7:10" s="29" customFormat="1" x14ac:dyDescent="0.2">
      <c r="G7563" s="31"/>
      <c r="H7563" s="31"/>
      <c r="I7563" s="31"/>
      <c r="J7563" s="31"/>
    </row>
    <row r="7564" spans="7:10" s="29" customFormat="1" x14ac:dyDescent="0.2">
      <c r="G7564" s="31"/>
      <c r="H7564" s="31"/>
      <c r="I7564" s="31"/>
      <c r="J7564" s="31"/>
    </row>
    <row r="7565" spans="7:10" s="29" customFormat="1" x14ac:dyDescent="0.2">
      <c r="G7565" s="31"/>
      <c r="H7565" s="31"/>
      <c r="I7565" s="31"/>
      <c r="J7565" s="31"/>
    </row>
    <row r="7566" spans="7:10" s="29" customFormat="1" x14ac:dyDescent="0.2">
      <c r="G7566" s="31"/>
      <c r="H7566" s="31"/>
      <c r="I7566" s="31"/>
      <c r="J7566" s="31"/>
    </row>
    <row r="7567" spans="7:10" s="29" customFormat="1" x14ac:dyDescent="0.2">
      <c r="G7567" s="31"/>
      <c r="H7567" s="31"/>
      <c r="I7567" s="31"/>
      <c r="J7567" s="31"/>
    </row>
    <row r="7568" spans="7:10" s="29" customFormat="1" x14ac:dyDescent="0.2">
      <c r="G7568" s="31"/>
      <c r="H7568" s="31"/>
      <c r="I7568" s="31"/>
      <c r="J7568" s="31"/>
    </row>
    <row r="7569" spans="7:10" s="29" customFormat="1" x14ac:dyDescent="0.2">
      <c r="G7569" s="31"/>
      <c r="H7569" s="31"/>
      <c r="I7569" s="31"/>
      <c r="J7569" s="31"/>
    </row>
    <row r="7570" spans="7:10" s="29" customFormat="1" x14ac:dyDescent="0.2">
      <c r="G7570" s="31"/>
      <c r="H7570" s="31"/>
      <c r="I7570" s="31"/>
      <c r="J7570" s="31"/>
    </row>
    <row r="7571" spans="7:10" s="29" customFormat="1" x14ac:dyDescent="0.2">
      <c r="G7571" s="31"/>
      <c r="H7571" s="31"/>
      <c r="I7571" s="31"/>
      <c r="J7571" s="31"/>
    </row>
    <row r="7572" spans="7:10" s="29" customFormat="1" x14ac:dyDescent="0.2">
      <c r="G7572" s="31"/>
      <c r="H7572" s="31"/>
      <c r="I7572" s="31"/>
      <c r="J7572" s="31"/>
    </row>
    <row r="7573" spans="7:10" s="29" customFormat="1" x14ac:dyDescent="0.2">
      <c r="G7573" s="31"/>
      <c r="H7573" s="31"/>
      <c r="I7573" s="31"/>
      <c r="J7573" s="31"/>
    </row>
    <row r="7574" spans="7:10" s="29" customFormat="1" x14ac:dyDescent="0.2">
      <c r="G7574" s="31"/>
      <c r="H7574" s="31"/>
      <c r="I7574" s="31"/>
      <c r="J7574" s="31"/>
    </row>
    <row r="7575" spans="7:10" s="29" customFormat="1" x14ac:dyDescent="0.2">
      <c r="G7575" s="31"/>
      <c r="H7575" s="31"/>
      <c r="I7575" s="31"/>
      <c r="J7575" s="31"/>
    </row>
    <row r="7576" spans="7:10" s="29" customFormat="1" x14ac:dyDescent="0.2">
      <c r="G7576" s="31"/>
      <c r="H7576" s="31"/>
      <c r="I7576" s="31"/>
      <c r="J7576" s="31"/>
    </row>
    <row r="7577" spans="7:10" s="29" customFormat="1" x14ac:dyDescent="0.2">
      <c r="G7577" s="31"/>
      <c r="H7577" s="31"/>
      <c r="I7577" s="31"/>
      <c r="J7577" s="31"/>
    </row>
    <row r="7578" spans="7:10" s="29" customFormat="1" x14ac:dyDescent="0.2">
      <c r="G7578" s="31"/>
      <c r="H7578" s="31"/>
      <c r="I7578" s="31"/>
      <c r="J7578" s="31"/>
    </row>
    <row r="7579" spans="7:10" s="29" customFormat="1" x14ac:dyDescent="0.2">
      <c r="G7579" s="31"/>
      <c r="H7579" s="31"/>
      <c r="I7579" s="31"/>
      <c r="J7579" s="31"/>
    </row>
    <row r="7580" spans="7:10" s="29" customFormat="1" x14ac:dyDescent="0.2">
      <c r="G7580" s="31"/>
      <c r="H7580" s="31"/>
      <c r="I7580" s="31"/>
      <c r="J7580" s="31"/>
    </row>
    <row r="7581" spans="7:10" s="29" customFormat="1" x14ac:dyDescent="0.2">
      <c r="G7581" s="31"/>
      <c r="H7581" s="31"/>
      <c r="I7581" s="31"/>
      <c r="J7581" s="31"/>
    </row>
    <row r="7582" spans="7:10" s="29" customFormat="1" x14ac:dyDescent="0.2">
      <c r="G7582" s="31"/>
      <c r="H7582" s="31"/>
      <c r="I7582" s="31"/>
      <c r="J7582" s="31"/>
    </row>
    <row r="7583" spans="7:10" s="29" customFormat="1" x14ac:dyDescent="0.2">
      <c r="G7583" s="31"/>
      <c r="H7583" s="31"/>
      <c r="I7583" s="31"/>
      <c r="J7583" s="31"/>
    </row>
    <row r="7584" spans="7:10" s="29" customFormat="1" x14ac:dyDescent="0.2">
      <c r="G7584" s="31"/>
      <c r="H7584" s="31"/>
      <c r="I7584" s="31"/>
      <c r="J7584" s="31"/>
    </row>
    <row r="7585" spans="7:10" s="29" customFormat="1" x14ac:dyDescent="0.2">
      <c r="G7585" s="31"/>
      <c r="H7585" s="31"/>
      <c r="I7585" s="31"/>
      <c r="J7585" s="31"/>
    </row>
    <row r="7586" spans="7:10" s="29" customFormat="1" x14ac:dyDescent="0.2">
      <c r="G7586" s="31"/>
      <c r="H7586" s="31"/>
      <c r="I7586" s="31"/>
      <c r="J7586" s="31"/>
    </row>
    <row r="7587" spans="7:10" s="29" customFormat="1" x14ac:dyDescent="0.2">
      <c r="G7587" s="31"/>
      <c r="H7587" s="31"/>
      <c r="I7587" s="31"/>
      <c r="J7587" s="31"/>
    </row>
    <row r="7588" spans="7:10" s="29" customFormat="1" x14ac:dyDescent="0.2">
      <c r="G7588" s="31"/>
      <c r="H7588" s="31"/>
      <c r="I7588" s="31"/>
      <c r="J7588" s="31"/>
    </row>
    <row r="7589" spans="7:10" s="29" customFormat="1" x14ac:dyDescent="0.2">
      <c r="G7589" s="31"/>
      <c r="H7589" s="31"/>
      <c r="I7589" s="31"/>
      <c r="J7589" s="31"/>
    </row>
    <row r="7590" spans="7:10" s="29" customFormat="1" x14ac:dyDescent="0.2">
      <c r="G7590" s="31"/>
      <c r="H7590" s="31"/>
      <c r="I7590" s="31"/>
      <c r="J7590" s="31"/>
    </row>
    <row r="7591" spans="7:10" s="29" customFormat="1" x14ac:dyDescent="0.2">
      <c r="G7591" s="31"/>
      <c r="H7591" s="31"/>
      <c r="I7591" s="31"/>
      <c r="J7591" s="31"/>
    </row>
    <row r="7592" spans="7:10" s="29" customFormat="1" x14ac:dyDescent="0.2">
      <c r="G7592" s="31"/>
      <c r="H7592" s="31"/>
      <c r="I7592" s="31"/>
      <c r="J7592" s="31"/>
    </row>
    <row r="7593" spans="7:10" s="29" customFormat="1" x14ac:dyDescent="0.2">
      <c r="G7593" s="31"/>
      <c r="H7593" s="31"/>
      <c r="I7593" s="31"/>
      <c r="J7593" s="31"/>
    </row>
    <row r="7594" spans="7:10" s="29" customFormat="1" x14ac:dyDescent="0.2">
      <c r="G7594" s="31"/>
      <c r="H7594" s="31"/>
      <c r="I7594" s="31"/>
      <c r="J7594" s="31"/>
    </row>
    <row r="7595" spans="7:10" s="29" customFormat="1" x14ac:dyDescent="0.2">
      <c r="G7595" s="31"/>
      <c r="H7595" s="31"/>
      <c r="I7595" s="31"/>
      <c r="J7595" s="31"/>
    </row>
    <row r="7596" spans="7:10" s="29" customFormat="1" x14ac:dyDescent="0.2">
      <c r="G7596" s="31"/>
      <c r="H7596" s="31"/>
      <c r="I7596" s="31"/>
      <c r="J7596" s="31"/>
    </row>
    <row r="7597" spans="7:10" s="29" customFormat="1" x14ac:dyDescent="0.2">
      <c r="G7597" s="31"/>
      <c r="H7597" s="31"/>
      <c r="I7597" s="31"/>
      <c r="J7597" s="31"/>
    </row>
    <row r="7598" spans="7:10" s="29" customFormat="1" x14ac:dyDescent="0.2">
      <c r="G7598" s="31"/>
      <c r="H7598" s="31"/>
      <c r="I7598" s="31"/>
      <c r="J7598" s="31"/>
    </row>
    <row r="7599" spans="7:10" s="29" customFormat="1" x14ac:dyDescent="0.2">
      <c r="G7599" s="31"/>
      <c r="H7599" s="31"/>
      <c r="I7599" s="31"/>
      <c r="J7599" s="31"/>
    </row>
    <row r="7600" spans="7:10" s="29" customFormat="1" x14ac:dyDescent="0.2">
      <c r="G7600" s="31"/>
      <c r="H7600" s="31"/>
      <c r="I7600" s="31"/>
      <c r="J7600" s="31"/>
    </row>
    <row r="7601" spans="7:10" s="29" customFormat="1" x14ac:dyDescent="0.2">
      <c r="G7601" s="31"/>
      <c r="H7601" s="31"/>
      <c r="I7601" s="31"/>
      <c r="J7601" s="31"/>
    </row>
    <row r="7602" spans="7:10" s="29" customFormat="1" x14ac:dyDescent="0.2">
      <c r="G7602" s="31"/>
      <c r="H7602" s="31"/>
      <c r="I7602" s="31"/>
      <c r="J7602" s="31"/>
    </row>
    <row r="7603" spans="7:10" s="29" customFormat="1" x14ac:dyDescent="0.2">
      <c r="G7603" s="31"/>
      <c r="H7603" s="31"/>
      <c r="I7603" s="31"/>
      <c r="J7603" s="31"/>
    </row>
    <row r="7604" spans="7:10" s="29" customFormat="1" x14ac:dyDescent="0.2">
      <c r="G7604" s="31"/>
      <c r="H7604" s="31"/>
      <c r="I7604" s="31"/>
      <c r="J7604" s="31"/>
    </row>
    <row r="7605" spans="7:10" s="29" customFormat="1" x14ac:dyDescent="0.2">
      <c r="G7605" s="31"/>
      <c r="H7605" s="31"/>
      <c r="I7605" s="31"/>
      <c r="J7605" s="31"/>
    </row>
    <row r="7606" spans="7:10" s="29" customFormat="1" x14ac:dyDescent="0.2">
      <c r="G7606" s="31"/>
      <c r="H7606" s="31"/>
      <c r="I7606" s="31"/>
      <c r="J7606" s="31"/>
    </row>
    <row r="7607" spans="7:10" s="29" customFormat="1" x14ac:dyDescent="0.2">
      <c r="G7607" s="31"/>
      <c r="H7607" s="31"/>
      <c r="I7607" s="31"/>
      <c r="J7607" s="31"/>
    </row>
    <row r="7608" spans="7:10" s="29" customFormat="1" x14ac:dyDescent="0.2">
      <c r="G7608" s="31"/>
      <c r="H7608" s="31"/>
      <c r="I7608" s="31"/>
      <c r="J7608" s="31"/>
    </row>
    <row r="7609" spans="7:10" s="29" customFormat="1" x14ac:dyDescent="0.2">
      <c r="G7609" s="31"/>
      <c r="H7609" s="31"/>
      <c r="I7609" s="31"/>
      <c r="J7609" s="31"/>
    </row>
    <row r="7610" spans="7:10" s="29" customFormat="1" x14ac:dyDescent="0.2">
      <c r="G7610" s="31"/>
      <c r="H7610" s="31"/>
      <c r="I7610" s="31"/>
      <c r="J7610" s="31"/>
    </row>
    <row r="7611" spans="7:10" s="29" customFormat="1" x14ac:dyDescent="0.2">
      <c r="G7611" s="31"/>
      <c r="H7611" s="31"/>
      <c r="I7611" s="31"/>
      <c r="J7611" s="31"/>
    </row>
    <row r="7612" spans="7:10" s="29" customFormat="1" x14ac:dyDescent="0.2">
      <c r="G7612" s="31"/>
      <c r="H7612" s="31"/>
      <c r="I7612" s="31"/>
      <c r="J7612" s="31"/>
    </row>
    <row r="7613" spans="7:10" s="29" customFormat="1" x14ac:dyDescent="0.2">
      <c r="G7613" s="31"/>
      <c r="H7613" s="31"/>
      <c r="I7613" s="31"/>
      <c r="J7613" s="31"/>
    </row>
    <row r="7614" spans="7:10" s="29" customFormat="1" x14ac:dyDescent="0.2">
      <c r="G7614" s="31"/>
      <c r="H7614" s="31"/>
      <c r="I7614" s="31"/>
      <c r="J7614" s="31"/>
    </row>
    <row r="7615" spans="7:10" s="29" customFormat="1" x14ac:dyDescent="0.2">
      <c r="G7615" s="31"/>
      <c r="H7615" s="31"/>
      <c r="I7615" s="31"/>
      <c r="J7615" s="31"/>
    </row>
    <row r="7616" spans="7:10" s="29" customFormat="1" x14ac:dyDescent="0.2">
      <c r="G7616" s="31"/>
      <c r="H7616" s="31"/>
      <c r="I7616" s="31"/>
      <c r="J7616" s="31"/>
    </row>
    <row r="7617" spans="7:10" s="29" customFormat="1" x14ac:dyDescent="0.2">
      <c r="G7617" s="31"/>
      <c r="H7617" s="31"/>
      <c r="I7617" s="31"/>
      <c r="J7617" s="31"/>
    </row>
    <row r="7618" spans="7:10" s="29" customFormat="1" x14ac:dyDescent="0.2">
      <c r="G7618" s="31"/>
      <c r="H7618" s="31"/>
      <c r="I7618" s="31"/>
      <c r="J7618" s="31"/>
    </row>
    <row r="7619" spans="7:10" s="29" customFormat="1" x14ac:dyDescent="0.2">
      <c r="G7619" s="31"/>
      <c r="H7619" s="31"/>
      <c r="I7619" s="31"/>
      <c r="J7619" s="31"/>
    </row>
    <row r="7620" spans="7:10" s="29" customFormat="1" x14ac:dyDescent="0.2">
      <c r="G7620" s="31"/>
      <c r="H7620" s="31"/>
      <c r="I7620" s="31"/>
      <c r="J7620" s="31"/>
    </row>
    <row r="7621" spans="7:10" s="29" customFormat="1" x14ac:dyDescent="0.2">
      <c r="G7621" s="31"/>
      <c r="H7621" s="31"/>
      <c r="I7621" s="31"/>
      <c r="J7621" s="31"/>
    </row>
    <row r="7622" spans="7:10" s="29" customFormat="1" x14ac:dyDescent="0.2">
      <c r="G7622" s="31"/>
      <c r="H7622" s="31"/>
      <c r="I7622" s="31"/>
      <c r="J7622" s="31"/>
    </row>
    <row r="7623" spans="7:10" s="29" customFormat="1" x14ac:dyDescent="0.2">
      <c r="G7623" s="31"/>
      <c r="H7623" s="31"/>
      <c r="I7623" s="31"/>
      <c r="J7623" s="31"/>
    </row>
    <row r="7624" spans="7:10" s="29" customFormat="1" x14ac:dyDescent="0.2">
      <c r="G7624" s="31"/>
      <c r="H7624" s="31"/>
      <c r="I7624" s="31"/>
      <c r="J7624" s="31"/>
    </row>
    <row r="7625" spans="7:10" s="29" customFormat="1" x14ac:dyDescent="0.2">
      <c r="G7625" s="31"/>
      <c r="H7625" s="31"/>
      <c r="I7625" s="31"/>
      <c r="J7625" s="31"/>
    </row>
    <row r="7626" spans="7:10" s="29" customFormat="1" x14ac:dyDescent="0.2">
      <c r="G7626" s="31"/>
      <c r="H7626" s="31"/>
      <c r="I7626" s="31"/>
      <c r="J7626" s="31"/>
    </row>
    <row r="7627" spans="7:10" s="29" customFormat="1" x14ac:dyDescent="0.2">
      <c r="G7627" s="31"/>
      <c r="H7627" s="31"/>
      <c r="I7627" s="31"/>
      <c r="J7627" s="31"/>
    </row>
    <row r="7628" spans="7:10" s="29" customFormat="1" x14ac:dyDescent="0.2">
      <c r="G7628" s="31"/>
      <c r="H7628" s="31"/>
      <c r="I7628" s="31"/>
      <c r="J7628" s="31"/>
    </row>
    <row r="7629" spans="7:10" s="29" customFormat="1" x14ac:dyDescent="0.2">
      <c r="G7629" s="31"/>
      <c r="H7629" s="31"/>
      <c r="I7629" s="31"/>
      <c r="J7629" s="31"/>
    </row>
    <row r="7630" spans="7:10" s="29" customFormat="1" x14ac:dyDescent="0.2">
      <c r="G7630" s="31"/>
      <c r="H7630" s="31"/>
      <c r="I7630" s="31"/>
      <c r="J7630" s="31"/>
    </row>
    <row r="7631" spans="7:10" s="29" customFormat="1" x14ac:dyDescent="0.2">
      <c r="G7631" s="31"/>
      <c r="H7631" s="31"/>
      <c r="I7631" s="31"/>
      <c r="J7631" s="31"/>
    </row>
    <row r="7632" spans="7:10" s="29" customFormat="1" x14ac:dyDescent="0.2">
      <c r="G7632" s="31"/>
      <c r="H7632" s="31"/>
      <c r="I7632" s="31"/>
      <c r="J7632" s="31"/>
    </row>
    <row r="7633" spans="7:10" s="29" customFormat="1" x14ac:dyDescent="0.2">
      <c r="G7633" s="31"/>
      <c r="H7633" s="31"/>
      <c r="I7633" s="31"/>
      <c r="J7633" s="31"/>
    </row>
    <row r="7634" spans="7:10" s="29" customFormat="1" x14ac:dyDescent="0.2">
      <c r="G7634" s="31"/>
      <c r="H7634" s="31"/>
      <c r="I7634" s="31"/>
      <c r="J7634" s="31"/>
    </row>
    <row r="7635" spans="7:10" s="29" customFormat="1" x14ac:dyDescent="0.2">
      <c r="G7635" s="31"/>
      <c r="H7635" s="31"/>
      <c r="I7635" s="31"/>
      <c r="J7635" s="31"/>
    </row>
    <row r="7636" spans="7:10" s="29" customFormat="1" x14ac:dyDescent="0.2">
      <c r="G7636" s="31"/>
      <c r="H7636" s="31"/>
      <c r="I7636" s="31"/>
      <c r="J7636" s="31"/>
    </row>
    <row r="7637" spans="7:10" s="29" customFormat="1" x14ac:dyDescent="0.2">
      <c r="G7637" s="31"/>
      <c r="H7637" s="31"/>
      <c r="I7637" s="31"/>
      <c r="J7637" s="31"/>
    </row>
    <row r="7638" spans="7:10" s="29" customFormat="1" x14ac:dyDescent="0.2">
      <c r="G7638" s="31"/>
      <c r="H7638" s="31"/>
      <c r="I7638" s="31"/>
      <c r="J7638" s="31"/>
    </row>
    <row r="7639" spans="7:10" s="29" customFormat="1" x14ac:dyDescent="0.2">
      <c r="G7639" s="31"/>
      <c r="H7639" s="31"/>
      <c r="I7639" s="31"/>
      <c r="J7639" s="31"/>
    </row>
    <row r="7640" spans="7:10" s="29" customFormat="1" x14ac:dyDescent="0.2">
      <c r="G7640" s="31"/>
      <c r="H7640" s="31"/>
      <c r="I7640" s="31"/>
      <c r="J7640" s="31"/>
    </row>
    <row r="7641" spans="7:10" s="29" customFormat="1" x14ac:dyDescent="0.2">
      <c r="G7641" s="31"/>
      <c r="H7641" s="31"/>
      <c r="I7641" s="31"/>
      <c r="J7641" s="31"/>
    </row>
    <row r="7642" spans="7:10" s="29" customFormat="1" x14ac:dyDescent="0.2">
      <c r="G7642" s="31"/>
      <c r="H7642" s="31"/>
      <c r="I7642" s="31"/>
      <c r="J7642" s="31"/>
    </row>
    <row r="7643" spans="7:10" s="29" customFormat="1" x14ac:dyDescent="0.2">
      <c r="G7643" s="31"/>
      <c r="H7643" s="31"/>
      <c r="I7643" s="31"/>
      <c r="J7643" s="31"/>
    </row>
    <row r="7644" spans="7:10" s="29" customFormat="1" x14ac:dyDescent="0.2">
      <c r="G7644" s="31"/>
      <c r="H7644" s="31"/>
      <c r="I7644" s="31"/>
      <c r="J7644" s="31"/>
    </row>
    <row r="7645" spans="7:10" s="29" customFormat="1" x14ac:dyDescent="0.2">
      <c r="G7645" s="31"/>
      <c r="H7645" s="31"/>
      <c r="I7645" s="31"/>
      <c r="J7645" s="31"/>
    </row>
    <row r="7646" spans="7:10" s="29" customFormat="1" x14ac:dyDescent="0.2">
      <c r="G7646" s="31"/>
      <c r="H7646" s="31"/>
      <c r="I7646" s="31"/>
      <c r="J7646" s="31"/>
    </row>
    <row r="7647" spans="7:10" s="29" customFormat="1" x14ac:dyDescent="0.2">
      <c r="G7647" s="31"/>
      <c r="H7647" s="31"/>
      <c r="I7647" s="31"/>
      <c r="J7647" s="31"/>
    </row>
    <row r="7648" spans="7:10" s="29" customFormat="1" x14ac:dyDescent="0.2">
      <c r="G7648" s="31"/>
      <c r="H7648" s="31"/>
      <c r="I7648" s="31"/>
      <c r="J7648" s="31"/>
    </row>
    <row r="7649" spans="7:10" s="29" customFormat="1" x14ac:dyDescent="0.2">
      <c r="G7649" s="31"/>
      <c r="H7649" s="31"/>
      <c r="I7649" s="31"/>
      <c r="J7649" s="31"/>
    </row>
    <row r="7650" spans="7:10" s="29" customFormat="1" x14ac:dyDescent="0.2">
      <c r="G7650" s="31"/>
      <c r="H7650" s="31"/>
      <c r="I7650" s="31"/>
      <c r="J7650" s="31"/>
    </row>
    <row r="7651" spans="7:10" s="29" customFormat="1" x14ac:dyDescent="0.2">
      <c r="G7651" s="31"/>
      <c r="H7651" s="31"/>
      <c r="I7651" s="31"/>
      <c r="J7651" s="31"/>
    </row>
    <row r="7652" spans="7:10" s="29" customFormat="1" x14ac:dyDescent="0.2">
      <c r="G7652" s="31"/>
      <c r="H7652" s="31"/>
      <c r="I7652" s="31"/>
      <c r="J7652" s="31"/>
    </row>
    <row r="7653" spans="7:10" s="29" customFormat="1" x14ac:dyDescent="0.2">
      <c r="G7653" s="31"/>
      <c r="H7653" s="31"/>
      <c r="I7653" s="31"/>
      <c r="J7653" s="31"/>
    </row>
    <row r="7654" spans="7:10" s="29" customFormat="1" x14ac:dyDescent="0.2">
      <c r="G7654" s="31"/>
      <c r="H7654" s="31"/>
      <c r="I7654" s="31"/>
      <c r="J7654" s="31"/>
    </row>
    <row r="7655" spans="7:10" s="29" customFormat="1" x14ac:dyDescent="0.2">
      <c r="G7655" s="31"/>
      <c r="H7655" s="31"/>
      <c r="I7655" s="31"/>
      <c r="J7655" s="31"/>
    </row>
    <row r="7656" spans="7:10" s="29" customFormat="1" x14ac:dyDescent="0.2">
      <c r="G7656" s="31"/>
      <c r="H7656" s="31"/>
      <c r="I7656" s="31"/>
      <c r="J7656" s="31"/>
    </row>
    <row r="7657" spans="7:10" s="29" customFormat="1" x14ac:dyDescent="0.2">
      <c r="G7657" s="31"/>
      <c r="H7657" s="31"/>
      <c r="I7657" s="31"/>
      <c r="J7657" s="31"/>
    </row>
    <row r="7658" spans="7:10" s="29" customFormat="1" x14ac:dyDescent="0.2">
      <c r="G7658" s="31"/>
      <c r="H7658" s="31"/>
      <c r="I7658" s="31"/>
      <c r="J7658" s="31"/>
    </row>
    <row r="7659" spans="7:10" s="29" customFormat="1" x14ac:dyDescent="0.2">
      <c r="G7659" s="31"/>
      <c r="H7659" s="31"/>
      <c r="I7659" s="31"/>
      <c r="J7659" s="31"/>
    </row>
    <row r="7660" spans="7:10" s="29" customFormat="1" x14ac:dyDescent="0.2">
      <c r="G7660" s="31"/>
      <c r="H7660" s="31"/>
      <c r="I7660" s="31"/>
      <c r="J7660" s="31"/>
    </row>
    <row r="7661" spans="7:10" s="29" customFormat="1" x14ac:dyDescent="0.2">
      <c r="G7661" s="31"/>
      <c r="H7661" s="31"/>
      <c r="I7661" s="31"/>
      <c r="J7661" s="31"/>
    </row>
    <row r="7662" spans="7:10" s="29" customFormat="1" x14ac:dyDescent="0.2">
      <c r="G7662" s="31"/>
      <c r="H7662" s="31"/>
      <c r="I7662" s="31"/>
      <c r="J7662" s="31"/>
    </row>
    <row r="7663" spans="7:10" s="29" customFormat="1" x14ac:dyDescent="0.2">
      <c r="G7663" s="31"/>
      <c r="H7663" s="31"/>
      <c r="I7663" s="31"/>
      <c r="J7663" s="31"/>
    </row>
    <row r="7664" spans="7:10" s="29" customFormat="1" x14ac:dyDescent="0.2">
      <c r="G7664" s="31"/>
      <c r="H7664" s="31"/>
      <c r="I7664" s="31"/>
      <c r="J7664" s="31"/>
    </row>
    <row r="7665" spans="7:10" s="29" customFormat="1" x14ac:dyDescent="0.2">
      <c r="G7665" s="31"/>
      <c r="H7665" s="31"/>
      <c r="I7665" s="31"/>
      <c r="J7665" s="31"/>
    </row>
    <row r="7666" spans="7:10" s="29" customFormat="1" x14ac:dyDescent="0.2">
      <c r="G7666" s="31"/>
      <c r="H7666" s="31"/>
      <c r="I7666" s="31"/>
      <c r="J7666" s="31"/>
    </row>
    <row r="7667" spans="7:10" s="29" customFormat="1" x14ac:dyDescent="0.2">
      <c r="G7667" s="31"/>
      <c r="H7667" s="31"/>
      <c r="I7667" s="31"/>
      <c r="J7667" s="31"/>
    </row>
    <row r="7668" spans="7:10" s="29" customFormat="1" x14ac:dyDescent="0.2">
      <c r="G7668" s="31"/>
      <c r="H7668" s="31"/>
      <c r="I7668" s="31"/>
      <c r="J7668" s="31"/>
    </row>
    <row r="7669" spans="7:10" s="29" customFormat="1" x14ac:dyDescent="0.2">
      <c r="G7669" s="31"/>
      <c r="H7669" s="31"/>
      <c r="I7669" s="31"/>
      <c r="J7669" s="31"/>
    </row>
    <row r="7670" spans="7:10" s="29" customFormat="1" x14ac:dyDescent="0.2">
      <c r="G7670" s="31"/>
      <c r="H7670" s="31"/>
      <c r="I7670" s="31"/>
      <c r="J7670" s="31"/>
    </row>
    <row r="7671" spans="7:10" s="29" customFormat="1" x14ac:dyDescent="0.2">
      <c r="G7671" s="31"/>
      <c r="H7671" s="31"/>
      <c r="I7671" s="31"/>
      <c r="J7671" s="31"/>
    </row>
    <row r="7672" spans="7:10" s="29" customFormat="1" x14ac:dyDescent="0.2">
      <c r="G7672" s="31"/>
      <c r="H7672" s="31"/>
      <c r="I7672" s="31"/>
      <c r="J7672" s="31"/>
    </row>
    <row r="7673" spans="7:10" s="29" customFormat="1" x14ac:dyDescent="0.2">
      <c r="G7673" s="31"/>
      <c r="H7673" s="31"/>
      <c r="I7673" s="31"/>
      <c r="J7673" s="31"/>
    </row>
    <row r="7674" spans="7:10" s="29" customFormat="1" x14ac:dyDescent="0.2">
      <c r="G7674" s="31"/>
      <c r="H7674" s="31"/>
      <c r="I7674" s="31"/>
      <c r="J7674" s="31"/>
    </row>
    <row r="7675" spans="7:10" s="29" customFormat="1" x14ac:dyDescent="0.2">
      <c r="G7675" s="31"/>
      <c r="H7675" s="31"/>
      <c r="I7675" s="31"/>
      <c r="J7675" s="31"/>
    </row>
    <row r="7676" spans="7:10" s="29" customFormat="1" x14ac:dyDescent="0.2">
      <c r="G7676" s="31"/>
      <c r="H7676" s="31"/>
      <c r="I7676" s="31"/>
      <c r="J7676" s="31"/>
    </row>
    <row r="7677" spans="7:10" s="29" customFormat="1" x14ac:dyDescent="0.2">
      <c r="G7677" s="31"/>
      <c r="H7677" s="31"/>
      <c r="I7677" s="31"/>
      <c r="J7677" s="31"/>
    </row>
    <row r="7678" spans="7:10" s="29" customFormat="1" x14ac:dyDescent="0.2">
      <c r="G7678" s="31"/>
      <c r="H7678" s="31"/>
      <c r="I7678" s="31"/>
      <c r="J7678" s="31"/>
    </row>
    <row r="7679" spans="7:10" s="29" customFormat="1" x14ac:dyDescent="0.2">
      <c r="G7679" s="31"/>
      <c r="H7679" s="31"/>
      <c r="I7679" s="31"/>
      <c r="J7679" s="31"/>
    </row>
    <row r="7680" spans="7:10" s="29" customFormat="1" x14ac:dyDescent="0.2">
      <c r="G7680" s="31"/>
      <c r="H7680" s="31"/>
      <c r="I7680" s="31"/>
      <c r="J7680" s="31"/>
    </row>
    <row r="7681" spans="7:10" s="29" customFormat="1" x14ac:dyDescent="0.2">
      <c r="G7681" s="31"/>
      <c r="H7681" s="31"/>
      <c r="I7681" s="31"/>
      <c r="J7681" s="31"/>
    </row>
    <row r="7682" spans="7:10" s="29" customFormat="1" x14ac:dyDescent="0.2">
      <c r="G7682" s="31"/>
      <c r="H7682" s="31"/>
      <c r="I7682" s="31"/>
      <c r="J7682" s="31"/>
    </row>
    <row r="7683" spans="7:10" s="29" customFormat="1" x14ac:dyDescent="0.2">
      <c r="G7683" s="31"/>
      <c r="H7683" s="31"/>
      <c r="I7683" s="31"/>
      <c r="J7683" s="31"/>
    </row>
    <row r="7684" spans="7:10" s="29" customFormat="1" x14ac:dyDescent="0.2">
      <c r="G7684" s="31"/>
      <c r="H7684" s="31"/>
      <c r="I7684" s="31"/>
      <c r="J7684" s="31"/>
    </row>
    <row r="7685" spans="7:10" s="29" customFormat="1" x14ac:dyDescent="0.2">
      <c r="G7685" s="31"/>
      <c r="H7685" s="31"/>
      <c r="I7685" s="31"/>
      <c r="J7685" s="31"/>
    </row>
    <row r="7686" spans="7:10" s="29" customFormat="1" x14ac:dyDescent="0.2">
      <c r="G7686" s="31"/>
      <c r="H7686" s="31"/>
      <c r="I7686" s="31"/>
      <c r="J7686" s="31"/>
    </row>
    <row r="7687" spans="7:10" s="29" customFormat="1" x14ac:dyDescent="0.2">
      <c r="G7687" s="31"/>
      <c r="H7687" s="31"/>
      <c r="I7687" s="31"/>
      <c r="J7687" s="31"/>
    </row>
    <row r="7688" spans="7:10" s="29" customFormat="1" x14ac:dyDescent="0.2">
      <c r="G7688" s="31"/>
      <c r="H7688" s="31"/>
      <c r="I7688" s="31"/>
      <c r="J7688" s="31"/>
    </row>
    <row r="7689" spans="7:10" s="29" customFormat="1" x14ac:dyDescent="0.2">
      <c r="G7689" s="31"/>
      <c r="H7689" s="31"/>
      <c r="I7689" s="31"/>
      <c r="J7689" s="31"/>
    </row>
    <row r="7690" spans="7:10" s="29" customFormat="1" x14ac:dyDescent="0.2">
      <c r="G7690" s="31"/>
      <c r="H7690" s="31"/>
      <c r="I7690" s="31"/>
      <c r="J7690" s="31"/>
    </row>
    <row r="7691" spans="7:10" s="29" customFormat="1" x14ac:dyDescent="0.2">
      <c r="G7691" s="31"/>
      <c r="H7691" s="31"/>
      <c r="I7691" s="31"/>
      <c r="J7691" s="31"/>
    </row>
    <row r="7692" spans="7:10" s="29" customFormat="1" x14ac:dyDescent="0.2">
      <c r="G7692" s="31"/>
      <c r="H7692" s="31"/>
      <c r="I7692" s="31"/>
      <c r="J7692" s="31"/>
    </row>
    <row r="7693" spans="7:10" s="29" customFormat="1" x14ac:dyDescent="0.2">
      <c r="G7693" s="31"/>
      <c r="H7693" s="31"/>
      <c r="I7693" s="31"/>
      <c r="J7693" s="31"/>
    </row>
    <row r="7694" spans="7:10" s="29" customFormat="1" x14ac:dyDescent="0.2">
      <c r="G7694" s="31"/>
      <c r="H7694" s="31"/>
      <c r="I7694" s="31"/>
      <c r="J7694" s="31"/>
    </row>
    <row r="7695" spans="7:10" s="29" customFormat="1" x14ac:dyDescent="0.2">
      <c r="G7695" s="31"/>
      <c r="H7695" s="31"/>
      <c r="I7695" s="31"/>
      <c r="J7695" s="31"/>
    </row>
    <row r="7696" spans="7:10" s="29" customFormat="1" x14ac:dyDescent="0.2">
      <c r="G7696" s="31"/>
      <c r="H7696" s="31"/>
      <c r="I7696" s="31"/>
      <c r="J7696" s="31"/>
    </row>
    <row r="7697" spans="7:10" s="29" customFormat="1" x14ac:dyDescent="0.2">
      <c r="G7697" s="31"/>
      <c r="H7697" s="31"/>
      <c r="I7697" s="31"/>
      <c r="J7697" s="31"/>
    </row>
    <row r="7698" spans="7:10" s="29" customFormat="1" x14ac:dyDescent="0.2">
      <c r="G7698" s="31"/>
      <c r="H7698" s="31"/>
      <c r="I7698" s="31"/>
      <c r="J7698" s="31"/>
    </row>
    <row r="7699" spans="7:10" s="29" customFormat="1" x14ac:dyDescent="0.2">
      <c r="G7699" s="31"/>
      <c r="H7699" s="31"/>
      <c r="I7699" s="31"/>
      <c r="J7699" s="31"/>
    </row>
    <row r="7700" spans="7:10" s="29" customFormat="1" x14ac:dyDescent="0.2">
      <c r="G7700" s="31"/>
      <c r="H7700" s="31"/>
      <c r="I7700" s="31"/>
      <c r="J7700" s="31"/>
    </row>
    <row r="7701" spans="7:10" s="29" customFormat="1" x14ac:dyDescent="0.2">
      <c r="G7701" s="31"/>
      <c r="H7701" s="31"/>
      <c r="I7701" s="31"/>
      <c r="J7701" s="31"/>
    </row>
    <row r="7702" spans="7:10" s="29" customFormat="1" x14ac:dyDescent="0.2">
      <c r="G7702" s="31"/>
      <c r="H7702" s="31"/>
      <c r="I7702" s="31"/>
      <c r="J7702" s="31"/>
    </row>
    <row r="7703" spans="7:10" s="29" customFormat="1" x14ac:dyDescent="0.2">
      <c r="G7703" s="31"/>
      <c r="H7703" s="31"/>
      <c r="I7703" s="31"/>
      <c r="J7703" s="31"/>
    </row>
    <row r="7704" spans="7:10" s="29" customFormat="1" x14ac:dyDescent="0.2">
      <c r="G7704" s="31"/>
      <c r="H7704" s="31"/>
      <c r="I7704" s="31"/>
      <c r="J7704" s="31"/>
    </row>
    <row r="7705" spans="7:10" s="29" customFormat="1" x14ac:dyDescent="0.2">
      <c r="G7705" s="31"/>
      <c r="H7705" s="31"/>
      <c r="I7705" s="31"/>
      <c r="J7705" s="31"/>
    </row>
    <row r="7706" spans="7:10" s="29" customFormat="1" x14ac:dyDescent="0.2">
      <c r="G7706" s="31"/>
      <c r="H7706" s="31"/>
      <c r="I7706" s="31"/>
      <c r="J7706" s="31"/>
    </row>
    <row r="7707" spans="7:10" s="29" customFormat="1" x14ac:dyDescent="0.2">
      <c r="G7707" s="31"/>
      <c r="H7707" s="31"/>
      <c r="I7707" s="31"/>
      <c r="J7707" s="31"/>
    </row>
    <row r="7708" spans="7:10" s="29" customFormat="1" x14ac:dyDescent="0.2">
      <c r="G7708" s="31"/>
      <c r="H7708" s="31"/>
      <c r="I7708" s="31"/>
      <c r="J7708" s="31"/>
    </row>
    <row r="7709" spans="7:10" s="29" customFormat="1" x14ac:dyDescent="0.2">
      <c r="G7709" s="31"/>
      <c r="H7709" s="31"/>
      <c r="I7709" s="31"/>
      <c r="J7709" s="31"/>
    </row>
    <row r="7710" spans="7:10" s="29" customFormat="1" x14ac:dyDescent="0.2">
      <c r="G7710" s="31"/>
      <c r="H7710" s="31"/>
      <c r="I7710" s="31"/>
      <c r="J7710" s="31"/>
    </row>
    <row r="7711" spans="7:10" s="29" customFormat="1" x14ac:dyDescent="0.2">
      <c r="G7711" s="31"/>
      <c r="H7711" s="31"/>
      <c r="I7711" s="31"/>
      <c r="J7711" s="31"/>
    </row>
    <row r="7712" spans="7:10" s="29" customFormat="1" x14ac:dyDescent="0.2">
      <c r="G7712" s="31"/>
      <c r="H7712" s="31"/>
      <c r="I7712" s="31"/>
      <c r="J7712" s="31"/>
    </row>
    <row r="7713" spans="7:10" s="29" customFormat="1" x14ac:dyDescent="0.2">
      <c r="G7713" s="31"/>
      <c r="H7713" s="31"/>
      <c r="I7713" s="31"/>
      <c r="J7713" s="31"/>
    </row>
    <row r="7714" spans="7:10" s="29" customFormat="1" x14ac:dyDescent="0.2">
      <c r="G7714" s="31"/>
      <c r="H7714" s="31"/>
      <c r="I7714" s="31"/>
      <c r="J7714" s="31"/>
    </row>
    <row r="7715" spans="7:10" s="29" customFormat="1" x14ac:dyDescent="0.2">
      <c r="G7715" s="31"/>
      <c r="H7715" s="31"/>
      <c r="I7715" s="31"/>
      <c r="J7715" s="31"/>
    </row>
    <row r="7716" spans="7:10" s="29" customFormat="1" x14ac:dyDescent="0.2">
      <c r="G7716" s="31"/>
      <c r="H7716" s="31"/>
      <c r="I7716" s="31"/>
      <c r="J7716" s="31"/>
    </row>
    <row r="7717" spans="7:10" s="29" customFormat="1" x14ac:dyDescent="0.2">
      <c r="G7717" s="31"/>
      <c r="H7717" s="31"/>
      <c r="I7717" s="31"/>
      <c r="J7717" s="31"/>
    </row>
    <row r="7718" spans="7:10" s="29" customFormat="1" x14ac:dyDescent="0.2">
      <c r="G7718" s="31"/>
      <c r="H7718" s="31"/>
      <c r="I7718" s="31"/>
      <c r="J7718" s="31"/>
    </row>
    <row r="7719" spans="7:10" s="29" customFormat="1" x14ac:dyDescent="0.2">
      <c r="G7719" s="31"/>
      <c r="H7719" s="31"/>
      <c r="I7719" s="31"/>
      <c r="J7719" s="31"/>
    </row>
    <row r="7720" spans="7:10" s="29" customFormat="1" x14ac:dyDescent="0.2">
      <c r="G7720" s="31"/>
      <c r="H7720" s="31"/>
      <c r="I7720" s="31"/>
      <c r="J7720" s="31"/>
    </row>
    <row r="7721" spans="7:10" s="29" customFormat="1" x14ac:dyDescent="0.2">
      <c r="G7721" s="31"/>
      <c r="H7721" s="31"/>
      <c r="I7721" s="31"/>
      <c r="J7721" s="31"/>
    </row>
    <row r="7722" spans="7:10" s="29" customFormat="1" x14ac:dyDescent="0.2">
      <c r="G7722" s="31"/>
      <c r="H7722" s="31"/>
      <c r="I7722" s="31"/>
      <c r="J7722" s="31"/>
    </row>
    <row r="7723" spans="7:10" s="29" customFormat="1" x14ac:dyDescent="0.2">
      <c r="G7723" s="31"/>
      <c r="H7723" s="31"/>
      <c r="I7723" s="31"/>
      <c r="J7723" s="31"/>
    </row>
    <row r="7724" spans="7:10" s="29" customFormat="1" x14ac:dyDescent="0.2">
      <c r="G7724" s="31"/>
      <c r="H7724" s="31"/>
      <c r="I7724" s="31"/>
      <c r="J7724" s="31"/>
    </row>
    <row r="7725" spans="7:10" s="29" customFormat="1" x14ac:dyDescent="0.2">
      <c r="G7725" s="31"/>
      <c r="H7725" s="31"/>
      <c r="I7725" s="31"/>
      <c r="J7725" s="31"/>
    </row>
    <row r="7726" spans="7:10" s="29" customFormat="1" x14ac:dyDescent="0.2">
      <c r="G7726" s="31"/>
      <c r="H7726" s="31"/>
      <c r="I7726" s="31"/>
      <c r="J7726" s="31"/>
    </row>
    <row r="7727" spans="7:10" s="29" customFormat="1" x14ac:dyDescent="0.2">
      <c r="G7727" s="31"/>
      <c r="H7727" s="31"/>
      <c r="I7727" s="31"/>
      <c r="J7727" s="31"/>
    </row>
    <row r="7728" spans="7:10" s="29" customFormat="1" x14ac:dyDescent="0.2">
      <c r="G7728" s="31"/>
      <c r="H7728" s="31"/>
      <c r="I7728" s="31"/>
      <c r="J7728" s="31"/>
    </row>
    <row r="7729" spans="7:10" s="29" customFormat="1" x14ac:dyDescent="0.2">
      <c r="G7729" s="31"/>
      <c r="H7729" s="31"/>
      <c r="I7729" s="31"/>
      <c r="J7729" s="31"/>
    </row>
    <row r="7730" spans="7:10" s="29" customFormat="1" x14ac:dyDescent="0.2">
      <c r="G7730" s="31"/>
      <c r="H7730" s="31"/>
      <c r="I7730" s="31"/>
      <c r="J7730" s="31"/>
    </row>
    <row r="7731" spans="7:10" s="29" customFormat="1" x14ac:dyDescent="0.2">
      <c r="G7731" s="31"/>
      <c r="H7731" s="31"/>
      <c r="I7731" s="31"/>
      <c r="J7731" s="31"/>
    </row>
    <row r="7732" spans="7:10" s="29" customFormat="1" x14ac:dyDescent="0.2">
      <c r="G7732" s="31"/>
      <c r="H7732" s="31"/>
      <c r="I7732" s="31"/>
      <c r="J7732" s="31"/>
    </row>
    <row r="7733" spans="7:10" s="29" customFormat="1" x14ac:dyDescent="0.2">
      <c r="G7733" s="31"/>
      <c r="H7733" s="31"/>
      <c r="I7733" s="31"/>
      <c r="J7733" s="31"/>
    </row>
    <row r="7734" spans="7:10" s="29" customFormat="1" x14ac:dyDescent="0.2">
      <c r="G7734" s="31"/>
      <c r="H7734" s="31"/>
      <c r="I7734" s="31"/>
      <c r="J7734" s="31"/>
    </row>
    <row r="7735" spans="7:10" s="29" customFormat="1" x14ac:dyDescent="0.2">
      <c r="G7735" s="31"/>
      <c r="H7735" s="31"/>
      <c r="I7735" s="31"/>
      <c r="J7735" s="31"/>
    </row>
    <row r="7736" spans="7:10" s="29" customFormat="1" x14ac:dyDescent="0.2">
      <c r="G7736" s="31"/>
      <c r="H7736" s="31"/>
      <c r="I7736" s="31"/>
      <c r="J7736" s="31"/>
    </row>
    <row r="7737" spans="7:10" s="29" customFormat="1" x14ac:dyDescent="0.2">
      <c r="G7737" s="31"/>
      <c r="H7737" s="31"/>
      <c r="I7737" s="31"/>
      <c r="J7737" s="31"/>
    </row>
    <row r="7738" spans="7:10" s="29" customFormat="1" x14ac:dyDescent="0.2">
      <c r="G7738" s="31"/>
      <c r="H7738" s="31"/>
      <c r="I7738" s="31"/>
      <c r="J7738" s="31"/>
    </row>
    <row r="7739" spans="7:10" s="29" customFormat="1" x14ac:dyDescent="0.2">
      <c r="G7739" s="31"/>
      <c r="H7739" s="31"/>
      <c r="I7739" s="31"/>
      <c r="J7739" s="31"/>
    </row>
    <row r="7740" spans="7:10" s="29" customFormat="1" x14ac:dyDescent="0.2">
      <c r="G7740" s="31"/>
      <c r="H7740" s="31"/>
      <c r="I7740" s="31"/>
      <c r="J7740" s="31"/>
    </row>
    <row r="7741" spans="7:10" s="29" customFormat="1" x14ac:dyDescent="0.2">
      <c r="G7741" s="31"/>
      <c r="H7741" s="31"/>
      <c r="I7741" s="31"/>
      <c r="J7741" s="31"/>
    </row>
    <row r="7742" spans="7:10" s="29" customFormat="1" x14ac:dyDescent="0.2">
      <c r="G7742" s="31"/>
      <c r="H7742" s="31"/>
      <c r="I7742" s="31"/>
      <c r="J7742" s="31"/>
    </row>
    <row r="7743" spans="7:10" s="29" customFormat="1" x14ac:dyDescent="0.2">
      <c r="G7743" s="31"/>
      <c r="H7743" s="31"/>
      <c r="I7743" s="31"/>
      <c r="J7743" s="31"/>
    </row>
    <row r="7744" spans="7:10" s="29" customFormat="1" x14ac:dyDescent="0.2">
      <c r="G7744" s="31"/>
      <c r="H7744" s="31"/>
      <c r="I7744" s="31"/>
      <c r="J7744" s="31"/>
    </row>
    <row r="7745" spans="7:10" s="29" customFormat="1" x14ac:dyDescent="0.2">
      <c r="G7745" s="31"/>
      <c r="H7745" s="31"/>
      <c r="I7745" s="31"/>
      <c r="J7745" s="31"/>
    </row>
    <row r="7746" spans="7:10" s="29" customFormat="1" x14ac:dyDescent="0.2">
      <c r="G7746" s="31"/>
      <c r="H7746" s="31"/>
      <c r="I7746" s="31"/>
      <c r="J7746" s="31"/>
    </row>
    <row r="7747" spans="7:10" s="29" customFormat="1" x14ac:dyDescent="0.2">
      <c r="G7747" s="31"/>
      <c r="H7747" s="31"/>
      <c r="I7747" s="31"/>
      <c r="J7747" s="31"/>
    </row>
    <row r="7748" spans="7:10" s="29" customFormat="1" x14ac:dyDescent="0.2">
      <c r="G7748" s="31"/>
      <c r="H7748" s="31"/>
      <c r="I7748" s="31"/>
      <c r="J7748" s="31"/>
    </row>
    <row r="7749" spans="7:10" s="29" customFormat="1" x14ac:dyDescent="0.2">
      <c r="G7749" s="31"/>
      <c r="H7749" s="31"/>
      <c r="I7749" s="31"/>
      <c r="J7749" s="31"/>
    </row>
    <row r="7750" spans="7:10" s="29" customFormat="1" x14ac:dyDescent="0.2">
      <c r="G7750" s="31"/>
      <c r="H7750" s="31"/>
      <c r="I7750" s="31"/>
      <c r="J7750" s="31"/>
    </row>
    <row r="7751" spans="7:10" s="29" customFormat="1" x14ac:dyDescent="0.2">
      <c r="G7751" s="31"/>
      <c r="H7751" s="31"/>
      <c r="I7751" s="31"/>
      <c r="J7751" s="31"/>
    </row>
    <row r="7752" spans="7:10" s="29" customFormat="1" x14ac:dyDescent="0.2">
      <c r="G7752" s="31"/>
      <c r="H7752" s="31"/>
      <c r="I7752" s="31"/>
      <c r="J7752" s="31"/>
    </row>
    <row r="7753" spans="7:10" s="29" customFormat="1" x14ac:dyDescent="0.2">
      <c r="G7753" s="31"/>
      <c r="H7753" s="31"/>
      <c r="I7753" s="31"/>
      <c r="J7753" s="31"/>
    </row>
    <row r="7754" spans="7:10" s="29" customFormat="1" x14ac:dyDescent="0.2">
      <c r="G7754" s="31"/>
      <c r="H7754" s="31"/>
      <c r="I7754" s="31"/>
      <c r="J7754" s="31"/>
    </row>
    <row r="7755" spans="7:10" s="29" customFormat="1" x14ac:dyDescent="0.2">
      <c r="G7755" s="31"/>
      <c r="H7755" s="31"/>
      <c r="I7755" s="31"/>
      <c r="J7755" s="31"/>
    </row>
    <row r="7756" spans="7:10" s="29" customFormat="1" x14ac:dyDescent="0.2">
      <c r="G7756" s="31"/>
      <c r="H7756" s="31"/>
      <c r="I7756" s="31"/>
      <c r="J7756" s="31"/>
    </row>
    <row r="7757" spans="7:10" s="29" customFormat="1" x14ac:dyDescent="0.2">
      <c r="G7757" s="31"/>
      <c r="H7757" s="31"/>
      <c r="I7757" s="31"/>
      <c r="J7757" s="31"/>
    </row>
    <row r="7758" spans="7:10" s="29" customFormat="1" x14ac:dyDescent="0.2">
      <c r="G7758" s="31"/>
      <c r="H7758" s="31"/>
      <c r="I7758" s="31"/>
      <c r="J7758" s="31"/>
    </row>
    <row r="7759" spans="7:10" s="29" customFormat="1" x14ac:dyDescent="0.2">
      <c r="G7759" s="31"/>
      <c r="H7759" s="31"/>
      <c r="I7759" s="31"/>
      <c r="J7759" s="31"/>
    </row>
    <row r="7760" spans="7:10" s="29" customFormat="1" x14ac:dyDescent="0.2">
      <c r="G7760" s="31"/>
      <c r="H7760" s="31"/>
      <c r="I7760" s="31"/>
      <c r="J7760" s="31"/>
    </row>
    <row r="7761" spans="7:10" s="29" customFormat="1" x14ac:dyDescent="0.2">
      <c r="G7761" s="31"/>
      <c r="H7761" s="31"/>
      <c r="I7761" s="31"/>
      <c r="J7761" s="31"/>
    </row>
    <row r="7762" spans="7:10" s="29" customFormat="1" x14ac:dyDescent="0.2">
      <c r="G7762" s="31"/>
      <c r="H7762" s="31"/>
      <c r="I7762" s="31"/>
      <c r="J7762" s="31"/>
    </row>
    <row r="7763" spans="7:10" s="29" customFormat="1" x14ac:dyDescent="0.2">
      <c r="G7763" s="31"/>
      <c r="H7763" s="31"/>
      <c r="I7763" s="31"/>
      <c r="J7763" s="31"/>
    </row>
    <row r="7764" spans="7:10" s="29" customFormat="1" x14ac:dyDescent="0.2">
      <c r="G7764" s="31"/>
      <c r="H7764" s="31"/>
      <c r="I7764" s="31"/>
      <c r="J7764" s="31"/>
    </row>
    <row r="7765" spans="7:10" s="29" customFormat="1" x14ac:dyDescent="0.2">
      <c r="G7765" s="31"/>
      <c r="H7765" s="31"/>
      <c r="I7765" s="31"/>
      <c r="J7765" s="31"/>
    </row>
    <row r="7766" spans="7:10" s="29" customFormat="1" x14ac:dyDescent="0.2">
      <c r="G7766" s="31"/>
      <c r="H7766" s="31"/>
      <c r="I7766" s="31"/>
      <c r="J7766" s="31"/>
    </row>
    <row r="7767" spans="7:10" s="29" customFormat="1" x14ac:dyDescent="0.2">
      <c r="G7767" s="31"/>
      <c r="H7767" s="31"/>
      <c r="I7767" s="31"/>
      <c r="J7767" s="31"/>
    </row>
    <row r="7768" spans="7:10" s="29" customFormat="1" x14ac:dyDescent="0.2">
      <c r="G7768" s="31"/>
      <c r="H7768" s="31"/>
      <c r="I7768" s="31"/>
      <c r="J7768" s="31"/>
    </row>
    <row r="7769" spans="7:10" s="29" customFormat="1" x14ac:dyDescent="0.2">
      <c r="G7769" s="31"/>
      <c r="H7769" s="31"/>
      <c r="I7769" s="31"/>
      <c r="J7769" s="31"/>
    </row>
    <row r="7770" spans="7:10" s="29" customFormat="1" x14ac:dyDescent="0.2">
      <c r="G7770" s="31"/>
      <c r="H7770" s="31"/>
      <c r="I7770" s="31"/>
      <c r="J7770" s="31"/>
    </row>
    <row r="7771" spans="7:10" s="29" customFormat="1" x14ac:dyDescent="0.2">
      <c r="G7771" s="31"/>
      <c r="H7771" s="31"/>
      <c r="I7771" s="31"/>
      <c r="J7771" s="31"/>
    </row>
    <row r="7772" spans="7:10" s="29" customFormat="1" x14ac:dyDescent="0.2">
      <c r="G7772" s="31"/>
      <c r="H7772" s="31"/>
      <c r="I7772" s="31"/>
      <c r="J7772" s="31"/>
    </row>
    <row r="7773" spans="7:10" s="29" customFormat="1" x14ac:dyDescent="0.2">
      <c r="G7773" s="31"/>
      <c r="H7773" s="31"/>
      <c r="I7773" s="31"/>
      <c r="J7773" s="31"/>
    </row>
    <row r="7774" spans="7:10" s="29" customFormat="1" x14ac:dyDescent="0.2">
      <c r="G7774" s="31"/>
      <c r="H7774" s="31"/>
      <c r="I7774" s="31"/>
      <c r="J7774" s="31"/>
    </row>
    <row r="7775" spans="7:10" s="29" customFormat="1" x14ac:dyDescent="0.2">
      <c r="G7775" s="31"/>
      <c r="H7775" s="31"/>
      <c r="I7775" s="31"/>
      <c r="J7775" s="31"/>
    </row>
    <row r="7776" spans="7:10" s="29" customFormat="1" x14ac:dyDescent="0.2">
      <c r="G7776" s="31"/>
      <c r="H7776" s="31"/>
      <c r="I7776" s="31"/>
      <c r="J7776" s="31"/>
    </row>
    <row r="7777" spans="7:10" s="29" customFormat="1" x14ac:dyDescent="0.2">
      <c r="G7777" s="31"/>
      <c r="H7777" s="31"/>
      <c r="I7777" s="31"/>
      <c r="J7777" s="31"/>
    </row>
    <row r="7778" spans="7:10" s="29" customFormat="1" x14ac:dyDescent="0.2">
      <c r="G7778" s="31"/>
      <c r="H7778" s="31"/>
      <c r="I7778" s="31"/>
      <c r="J7778" s="31"/>
    </row>
    <row r="7779" spans="7:10" s="29" customFormat="1" x14ac:dyDescent="0.2">
      <c r="G7779" s="31"/>
      <c r="H7779" s="31"/>
      <c r="I7779" s="31"/>
      <c r="J7779" s="31"/>
    </row>
    <row r="7780" spans="7:10" s="29" customFormat="1" x14ac:dyDescent="0.2">
      <c r="G7780" s="31"/>
      <c r="H7780" s="31"/>
      <c r="I7780" s="31"/>
      <c r="J7780" s="31"/>
    </row>
    <row r="7781" spans="7:10" s="29" customFormat="1" x14ac:dyDescent="0.2">
      <c r="G7781" s="31"/>
      <c r="H7781" s="31"/>
      <c r="I7781" s="31"/>
      <c r="J7781" s="31"/>
    </row>
    <row r="7782" spans="7:10" s="29" customFormat="1" x14ac:dyDescent="0.2">
      <c r="G7782" s="31"/>
      <c r="H7782" s="31"/>
      <c r="I7782" s="31"/>
      <c r="J7782" s="31"/>
    </row>
    <row r="7783" spans="7:10" s="29" customFormat="1" x14ac:dyDescent="0.2">
      <c r="G7783" s="31"/>
      <c r="H7783" s="31"/>
      <c r="I7783" s="31"/>
      <c r="J7783" s="31"/>
    </row>
    <row r="7784" spans="7:10" s="29" customFormat="1" x14ac:dyDescent="0.2">
      <c r="G7784" s="31"/>
      <c r="H7784" s="31"/>
      <c r="I7784" s="31"/>
      <c r="J7784" s="31"/>
    </row>
    <row r="7785" spans="7:10" s="29" customFormat="1" x14ac:dyDescent="0.2">
      <c r="G7785" s="31"/>
      <c r="H7785" s="31"/>
      <c r="I7785" s="31"/>
      <c r="J7785" s="31"/>
    </row>
    <row r="7786" spans="7:10" s="29" customFormat="1" x14ac:dyDescent="0.2">
      <c r="G7786" s="31"/>
      <c r="H7786" s="31"/>
      <c r="I7786" s="31"/>
      <c r="J7786" s="31"/>
    </row>
    <row r="7787" spans="7:10" s="29" customFormat="1" x14ac:dyDescent="0.2">
      <c r="G7787" s="31"/>
      <c r="H7787" s="31"/>
      <c r="I7787" s="31"/>
      <c r="J7787" s="31"/>
    </row>
    <row r="7788" spans="7:10" s="29" customFormat="1" x14ac:dyDescent="0.2">
      <c r="G7788" s="31"/>
      <c r="H7788" s="31"/>
      <c r="I7788" s="31"/>
      <c r="J7788" s="31"/>
    </row>
    <row r="7789" spans="7:10" s="29" customFormat="1" x14ac:dyDescent="0.2">
      <c r="G7789" s="31"/>
      <c r="H7789" s="31"/>
      <c r="I7789" s="31"/>
      <c r="J7789" s="31"/>
    </row>
    <row r="7790" spans="7:10" s="29" customFormat="1" x14ac:dyDescent="0.2">
      <c r="G7790" s="31"/>
      <c r="H7790" s="31"/>
      <c r="I7790" s="31"/>
      <c r="J7790" s="31"/>
    </row>
    <row r="7791" spans="7:10" s="29" customFormat="1" x14ac:dyDescent="0.2">
      <c r="G7791" s="31"/>
      <c r="H7791" s="31"/>
      <c r="I7791" s="31"/>
      <c r="J7791" s="31"/>
    </row>
    <row r="7792" spans="7:10" s="29" customFormat="1" x14ac:dyDescent="0.2">
      <c r="G7792" s="31"/>
      <c r="H7792" s="31"/>
      <c r="I7792" s="31"/>
      <c r="J7792" s="31"/>
    </row>
    <row r="7793" spans="7:10" s="29" customFormat="1" x14ac:dyDescent="0.2">
      <c r="G7793" s="31"/>
      <c r="H7793" s="31"/>
      <c r="I7793" s="31"/>
      <c r="J7793" s="31"/>
    </row>
    <row r="7794" spans="7:10" s="29" customFormat="1" x14ac:dyDescent="0.2">
      <c r="G7794" s="31"/>
      <c r="H7794" s="31"/>
      <c r="I7794" s="31"/>
      <c r="J7794" s="31"/>
    </row>
    <row r="7795" spans="7:10" s="29" customFormat="1" x14ac:dyDescent="0.2">
      <c r="G7795" s="31"/>
      <c r="H7795" s="31"/>
      <c r="I7795" s="31"/>
      <c r="J7795" s="31"/>
    </row>
    <row r="7796" spans="7:10" s="29" customFormat="1" x14ac:dyDescent="0.2">
      <c r="G7796" s="31"/>
      <c r="H7796" s="31"/>
      <c r="I7796" s="31"/>
      <c r="J7796" s="31"/>
    </row>
    <row r="7797" spans="7:10" s="29" customFormat="1" x14ac:dyDescent="0.2">
      <c r="G7797" s="31"/>
      <c r="H7797" s="31"/>
      <c r="I7797" s="31"/>
      <c r="J7797" s="31"/>
    </row>
    <row r="7798" spans="7:10" s="29" customFormat="1" x14ac:dyDescent="0.2">
      <c r="G7798" s="31"/>
      <c r="H7798" s="31"/>
      <c r="I7798" s="31"/>
      <c r="J7798" s="31"/>
    </row>
    <row r="7799" spans="7:10" s="29" customFormat="1" x14ac:dyDescent="0.2">
      <c r="G7799" s="31"/>
      <c r="H7799" s="31"/>
      <c r="I7799" s="31"/>
      <c r="J7799" s="31"/>
    </row>
    <row r="7800" spans="7:10" s="29" customFormat="1" x14ac:dyDescent="0.2">
      <c r="G7800" s="31"/>
      <c r="H7800" s="31"/>
      <c r="I7800" s="31"/>
      <c r="J7800" s="31"/>
    </row>
    <row r="7801" spans="7:10" s="29" customFormat="1" x14ac:dyDescent="0.2">
      <c r="G7801" s="31"/>
      <c r="H7801" s="31"/>
      <c r="I7801" s="31"/>
      <c r="J7801" s="31"/>
    </row>
    <row r="7802" spans="7:10" s="29" customFormat="1" x14ac:dyDescent="0.2">
      <c r="G7802" s="31"/>
      <c r="H7802" s="31"/>
      <c r="I7802" s="31"/>
      <c r="J7802" s="31"/>
    </row>
    <row r="7803" spans="7:10" s="29" customFormat="1" x14ac:dyDescent="0.2">
      <c r="G7803" s="31"/>
      <c r="H7803" s="31"/>
      <c r="I7803" s="31"/>
      <c r="J7803" s="31"/>
    </row>
    <row r="7804" spans="7:10" s="29" customFormat="1" x14ac:dyDescent="0.2">
      <c r="G7804" s="31"/>
      <c r="H7804" s="31"/>
      <c r="I7804" s="31"/>
      <c r="J7804" s="31"/>
    </row>
    <row r="7805" spans="7:10" s="29" customFormat="1" x14ac:dyDescent="0.2">
      <c r="G7805" s="31"/>
      <c r="H7805" s="31"/>
      <c r="I7805" s="31"/>
      <c r="J7805" s="31"/>
    </row>
    <row r="7806" spans="7:10" s="29" customFormat="1" x14ac:dyDescent="0.2">
      <c r="G7806" s="31"/>
      <c r="H7806" s="31"/>
      <c r="I7806" s="31"/>
      <c r="J7806" s="31"/>
    </row>
    <row r="7807" spans="7:10" s="29" customFormat="1" x14ac:dyDescent="0.2">
      <c r="G7807" s="31"/>
      <c r="H7807" s="31"/>
      <c r="I7807" s="31"/>
      <c r="J7807" s="31"/>
    </row>
    <row r="7808" spans="7:10" s="29" customFormat="1" x14ac:dyDescent="0.2">
      <c r="G7808" s="31"/>
      <c r="H7808" s="31"/>
      <c r="I7808" s="31"/>
      <c r="J7808" s="31"/>
    </row>
    <row r="7809" spans="7:10" s="29" customFormat="1" x14ac:dyDescent="0.2">
      <c r="G7809" s="31"/>
      <c r="H7809" s="31"/>
      <c r="I7809" s="31"/>
      <c r="J7809" s="31"/>
    </row>
    <row r="7810" spans="7:10" s="29" customFormat="1" x14ac:dyDescent="0.2">
      <c r="G7810" s="31"/>
      <c r="H7810" s="31"/>
      <c r="I7810" s="31"/>
      <c r="J7810" s="31"/>
    </row>
    <row r="7811" spans="7:10" s="29" customFormat="1" x14ac:dyDescent="0.2">
      <c r="G7811" s="31"/>
      <c r="H7811" s="31"/>
      <c r="I7811" s="31"/>
      <c r="J7811" s="31"/>
    </row>
    <row r="7812" spans="7:10" s="29" customFormat="1" x14ac:dyDescent="0.2">
      <c r="G7812" s="31"/>
      <c r="H7812" s="31"/>
      <c r="I7812" s="31"/>
      <c r="J7812" s="31"/>
    </row>
    <row r="7813" spans="7:10" s="29" customFormat="1" x14ac:dyDescent="0.2">
      <c r="G7813" s="31"/>
      <c r="H7813" s="31"/>
      <c r="I7813" s="31"/>
      <c r="J7813" s="31"/>
    </row>
    <row r="7814" spans="7:10" s="29" customFormat="1" x14ac:dyDescent="0.2">
      <c r="G7814" s="31"/>
      <c r="H7814" s="31"/>
      <c r="I7814" s="31"/>
      <c r="J7814" s="31"/>
    </row>
    <row r="7815" spans="7:10" s="29" customFormat="1" x14ac:dyDescent="0.2">
      <c r="G7815" s="31"/>
      <c r="H7815" s="31"/>
      <c r="I7815" s="31"/>
      <c r="J7815" s="31"/>
    </row>
    <row r="7816" spans="7:10" s="29" customFormat="1" x14ac:dyDescent="0.2">
      <c r="G7816" s="31"/>
      <c r="H7816" s="31"/>
      <c r="I7816" s="31"/>
      <c r="J7816" s="31"/>
    </row>
    <row r="7817" spans="7:10" s="29" customFormat="1" x14ac:dyDescent="0.2">
      <c r="G7817" s="31"/>
      <c r="H7817" s="31"/>
      <c r="I7817" s="31"/>
      <c r="J7817" s="31"/>
    </row>
    <row r="7818" spans="7:10" s="29" customFormat="1" x14ac:dyDescent="0.2">
      <c r="G7818" s="31"/>
      <c r="H7818" s="31"/>
      <c r="I7818" s="31"/>
      <c r="J7818" s="31"/>
    </row>
    <row r="7819" spans="7:10" s="29" customFormat="1" x14ac:dyDescent="0.2">
      <c r="G7819" s="31"/>
      <c r="H7819" s="31"/>
      <c r="I7819" s="31"/>
      <c r="J7819" s="31"/>
    </row>
    <row r="7820" spans="7:10" s="29" customFormat="1" x14ac:dyDescent="0.2">
      <c r="G7820" s="31"/>
      <c r="H7820" s="31"/>
      <c r="I7820" s="31"/>
      <c r="J7820" s="31"/>
    </row>
    <row r="7821" spans="7:10" s="29" customFormat="1" x14ac:dyDescent="0.2">
      <c r="G7821" s="31"/>
      <c r="H7821" s="31"/>
      <c r="I7821" s="31"/>
      <c r="J7821" s="31"/>
    </row>
    <row r="7822" spans="7:10" s="29" customFormat="1" x14ac:dyDescent="0.2">
      <c r="G7822" s="31"/>
      <c r="H7822" s="31"/>
      <c r="I7822" s="31"/>
      <c r="J7822" s="31"/>
    </row>
    <row r="7823" spans="7:10" s="29" customFormat="1" x14ac:dyDescent="0.2">
      <c r="G7823" s="31"/>
      <c r="H7823" s="31"/>
      <c r="I7823" s="31"/>
      <c r="J7823" s="31"/>
    </row>
    <row r="7824" spans="7:10" s="29" customFormat="1" x14ac:dyDescent="0.2">
      <c r="G7824" s="31"/>
      <c r="H7824" s="31"/>
      <c r="I7824" s="31"/>
      <c r="J7824" s="31"/>
    </row>
    <row r="7825" spans="7:10" s="29" customFormat="1" x14ac:dyDescent="0.2">
      <c r="G7825" s="31"/>
      <c r="H7825" s="31"/>
      <c r="I7825" s="31"/>
      <c r="J7825" s="31"/>
    </row>
    <row r="7826" spans="7:10" s="29" customFormat="1" x14ac:dyDescent="0.2">
      <c r="G7826" s="31"/>
      <c r="H7826" s="31"/>
      <c r="I7826" s="31"/>
      <c r="J7826" s="31"/>
    </row>
    <row r="7827" spans="7:10" s="29" customFormat="1" x14ac:dyDescent="0.2">
      <c r="G7827" s="31"/>
      <c r="H7827" s="31"/>
      <c r="I7827" s="31"/>
      <c r="J7827" s="31"/>
    </row>
    <row r="7828" spans="7:10" s="29" customFormat="1" x14ac:dyDescent="0.2">
      <c r="G7828" s="31"/>
      <c r="H7828" s="31"/>
      <c r="I7828" s="31"/>
      <c r="J7828" s="31"/>
    </row>
    <row r="7829" spans="7:10" s="29" customFormat="1" x14ac:dyDescent="0.2">
      <c r="G7829" s="31"/>
      <c r="H7829" s="31"/>
      <c r="I7829" s="31"/>
      <c r="J7829" s="31"/>
    </row>
    <row r="7830" spans="7:10" s="29" customFormat="1" x14ac:dyDescent="0.2">
      <c r="G7830" s="31"/>
      <c r="H7830" s="31"/>
      <c r="I7830" s="31"/>
      <c r="J7830" s="31"/>
    </row>
    <row r="7831" spans="7:10" s="29" customFormat="1" x14ac:dyDescent="0.2">
      <c r="G7831" s="31"/>
      <c r="H7831" s="31"/>
      <c r="I7831" s="31"/>
      <c r="J7831" s="31"/>
    </row>
    <row r="7832" spans="7:10" s="29" customFormat="1" x14ac:dyDescent="0.2">
      <c r="G7832" s="31"/>
      <c r="H7832" s="31"/>
      <c r="I7832" s="31"/>
      <c r="J7832" s="31"/>
    </row>
    <row r="7833" spans="7:10" s="29" customFormat="1" x14ac:dyDescent="0.2">
      <c r="G7833" s="31"/>
      <c r="H7833" s="31"/>
      <c r="I7833" s="31"/>
      <c r="J7833" s="31"/>
    </row>
    <row r="7834" spans="7:10" s="29" customFormat="1" x14ac:dyDescent="0.2">
      <c r="G7834" s="31"/>
      <c r="H7834" s="31"/>
      <c r="I7834" s="31"/>
      <c r="J7834" s="31"/>
    </row>
    <row r="7835" spans="7:10" s="29" customFormat="1" x14ac:dyDescent="0.2">
      <c r="G7835" s="31"/>
      <c r="H7835" s="31"/>
      <c r="I7835" s="31"/>
      <c r="J7835" s="31"/>
    </row>
    <row r="7836" spans="7:10" s="29" customFormat="1" x14ac:dyDescent="0.2">
      <c r="G7836" s="31"/>
      <c r="H7836" s="31"/>
      <c r="I7836" s="31"/>
      <c r="J7836" s="31"/>
    </row>
    <row r="7837" spans="7:10" s="29" customFormat="1" x14ac:dyDescent="0.2">
      <c r="G7837" s="31"/>
      <c r="H7837" s="31"/>
      <c r="I7837" s="31"/>
      <c r="J7837" s="31"/>
    </row>
    <row r="7838" spans="7:10" s="29" customFormat="1" x14ac:dyDescent="0.2">
      <c r="G7838" s="31"/>
      <c r="H7838" s="31"/>
      <c r="I7838" s="31"/>
      <c r="J7838" s="31"/>
    </row>
    <row r="7839" spans="7:10" s="29" customFormat="1" x14ac:dyDescent="0.2">
      <c r="G7839" s="31"/>
      <c r="H7839" s="31"/>
      <c r="I7839" s="31"/>
      <c r="J7839" s="31"/>
    </row>
    <row r="7840" spans="7:10" s="29" customFormat="1" x14ac:dyDescent="0.2">
      <c r="G7840" s="31"/>
      <c r="H7840" s="31"/>
      <c r="I7840" s="31"/>
      <c r="J7840" s="31"/>
    </row>
    <row r="7841" spans="7:10" s="29" customFormat="1" x14ac:dyDescent="0.2">
      <c r="G7841" s="31"/>
      <c r="H7841" s="31"/>
      <c r="I7841" s="31"/>
      <c r="J7841" s="31"/>
    </row>
    <row r="7842" spans="7:10" s="29" customFormat="1" x14ac:dyDescent="0.2">
      <c r="G7842" s="31"/>
      <c r="H7842" s="31"/>
      <c r="I7842" s="31"/>
      <c r="J7842" s="31"/>
    </row>
    <row r="7843" spans="7:10" s="29" customFormat="1" x14ac:dyDescent="0.2">
      <c r="G7843" s="31"/>
      <c r="H7843" s="31"/>
      <c r="I7843" s="31"/>
      <c r="J7843" s="31"/>
    </row>
    <row r="7844" spans="7:10" s="29" customFormat="1" x14ac:dyDescent="0.2">
      <c r="G7844" s="31"/>
      <c r="H7844" s="31"/>
      <c r="I7844" s="31"/>
      <c r="J7844" s="31"/>
    </row>
    <row r="7845" spans="7:10" s="29" customFormat="1" x14ac:dyDescent="0.2">
      <c r="G7845" s="31"/>
      <c r="H7845" s="31"/>
      <c r="I7845" s="31"/>
      <c r="J7845" s="31"/>
    </row>
    <row r="7846" spans="7:10" s="29" customFormat="1" x14ac:dyDescent="0.2">
      <c r="G7846" s="31"/>
      <c r="H7846" s="31"/>
      <c r="I7846" s="31"/>
      <c r="J7846" s="31"/>
    </row>
    <row r="7847" spans="7:10" s="29" customFormat="1" x14ac:dyDescent="0.2">
      <c r="G7847" s="31"/>
      <c r="H7847" s="31"/>
      <c r="I7847" s="31"/>
      <c r="J7847" s="31"/>
    </row>
    <row r="7848" spans="7:10" s="29" customFormat="1" x14ac:dyDescent="0.2">
      <c r="G7848" s="31"/>
      <c r="H7848" s="31"/>
      <c r="I7848" s="31"/>
      <c r="J7848" s="31"/>
    </row>
    <row r="7849" spans="7:10" s="29" customFormat="1" x14ac:dyDescent="0.2">
      <c r="G7849" s="31"/>
      <c r="H7849" s="31"/>
      <c r="I7849" s="31"/>
      <c r="J7849" s="31"/>
    </row>
    <row r="7850" spans="7:10" s="29" customFormat="1" x14ac:dyDescent="0.2">
      <c r="G7850" s="31"/>
      <c r="H7850" s="31"/>
      <c r="I7850" s="31"/>
      <c r="J7850" s="31"/>
    </row>
    <row r="7851" spans="7:10" s="29" customFormat="1" x14ac:dyDescent="0.2">
      <c r="G7851" s="31"/>
      <c r="H7851" s="31"/>
      <c r="I7851" s="31"/>
      <c r="J7851" s="31"/>
    </row>
    <row r="7852" spans="7:10" s="29" customFormat="1" x14ac:dyDescent="0.2">
      <c r="G7852" s="31"/>
      <c r="H7852" s="31"/>
      <c r="I7852" s="31"/>
      <c r="J7852" s="31"/>
    </row>
    <row r="7853" spans="7:10" s="29" customFormat="1" x14ac:dyDescent="0.2">
      <c r="G7853" s="31"/>
      <c r="H7853" s="31"/>
      <c r="I7853" s="31"/>
      <c r="J7853" s="31"/>
    </row>
    <row r="7854" spans="7:10" s="29" customFormat="1" x14ac:dyDescent="0.2">
      <c r="G7854" s="31"/>
      <c r="H7854" s="31"/>
      <c r="I7854" s="31"/>
      <c r="J7854" s="31"/>
    </row>
    <row r="7855" spans="7:10" s="29" customFormat="1" x14ac:dyDescent="0.2">
      <c r="G7855" s="31"/>
      <c r="H7855" s="31"/>
      <c r="I7855" s="31"/>
      <c r="J7855" s="31"/>
    </row>
    <row r="7856" spans="7:10" s="29" customFormat="1" x14ac:dyDescent="0.2">
      <c r="G7856" s="31"/>
      <c r="H7856" s="31"/>
      <c r="I7856" s="31"/>
      <c r="J7856" s="31"/>
    </row>
    <row r="7857" spans="7:10" s="29" customFormat="1" x14ac:dyDescent="0.2">
      <c r="G7857" s="31"/>
      <c r="H7857" s="31"/>
      <c r="I7857" s="31"/>
      <c r="J7857" s="31"/>
    </row>
    <row r="7858" spans="7:10" s="29" customFormat="1" x14ac:dyDescent="0.2">
      <c r="G7858" s="31"/>
      <c r="H7858" s="31"/>
      <c r="I7858" s="31"/>
      <c r="J7858" s="31"/>
    </row>
    <row r="7859" spans="7:10" s="29" customFormat="1" x14ac:dyDescent="0.2">
      <c r="G7859" s="31"/>
      <c r="H7859" s="31"/>
      <c r="I7859" s="31"/>
      <c r="J7859" s="31"/>
    </row>
    <row r="7860" spans="7:10" s="29" customFormat="1" x14ac:dyDescent="0.2">
      <c r="G7860" s="31"/>
      <c r="H7860" s="31"/>
      <c r="I7860" s="31"/>
      <c r="J7860" s="31"/>
    </row>
    <row r="7861" spans="7:10" s="29" customFormat="1" x14ac:dyDescent="0.2">
      <c r="G7861" s="31"/>
      <c r="H7861" s="31"/>
      <c r="I7861" s="31"/>
      <c r="J7861" s="31"/>
    </row>
    <row r="7862" spans="7:10" s="29" customFormat="1" x14ac:dyDescent="0.2">
      <c r="G7862" s="31"/>
      <c r="H7862" s="31"/>
      <c r="I7862" s="31"/>
      <c r="J7862" s="31"/>
    </row>
    <row r="7863" spans="7:10" s="29" customFormat="1" x14ac:dyDescent="0.2">
      <c r="G7863" s="31"/>
      <c r="H7863" s="31"/>
      <c r="I7863" s="31"/>
      <c r="J7863" s="31"/>
    </row>
    <row r="7864" spans="7:10" s="29" customFormat="1" x14ac:dyDescent="0.2">
      <c r="G7864" s="31"/>
      <c r="H7864" s="31"/>
      <c r="I7864" s="31"/>
      <c r="J7864" s="31"/>
    </row>
    <row r="7865" spans="7:10" s="29" customFormat="1" x14ac:dyDescent="0.2">
      <c r="G7865" s="31"/>
      <c r="H7865" s="31"/>
      <c r="I7865" s="31"/>
      <c r="J7865" s="31"/>
    </row>
    <row r="7866" spans="7:10" s="29" customFormat="1" x14ac:dyDescent="0.2">
      <c r="G7866" s="31"/>
      <c r="H7866" s="31"/>
      <c r="I7866" s="31"/>
      <c r="J7866" s="31"/>
    </row>
    <row r="7867" spans="7:10" s="29" customFormat="1" x14ac:dyDescent="0.2">
      <c r="G7867" s="31"/>
      <c r="H7867" s="31"/>
      <c r="I7867" s="31"/>
      <c r="J7867" s="31"/>
    </row>
    <row r="7868" spans="7:10" s="29" customFormat="1" x14ac:dyDescent="0.2">
      <c r="G7868" s="31"/>
      <c r="H7868" s="31"/>
      <c r="I7868" s="31"/>
      <c r="J7868" s="31"/>
    </row>
    <row r="7869" spans="7:10" s="29" customFormat="1" x14ac:dyDescent="0.2">
      <c r="G7869" s="31"/>
      <c r="H7869" s="31"/>
      <c r="I7869" s="31"/>
      <c r="J7869" s="31"/>
    </row>
    <row r="7870" spans="7:10" s="29" customFormat="1" x14ac:dyDescent="0.2">
      <c r="G7870" s="31"/>
      <c r="H7870" s="31"/>
      <c r="I7870" s="31"/>
      <c r="J7870" s="31"/>
    </row>
    <row r="7871" spans="7:10" s="29" customFormat="1" x14ac:dyDescent="0.2">
      <c r="G7871" s="31"/>
      <c r="H7871" s="31"/>
      <c r="I7871" s="31"/>
      <c r="J7871" s="31"/>
    </row>
    <row r="7872" spans="7:10" s="29" customFormat="1" x14ac:dyDescent="0.2">
      <c r="G7872" s="31"/>
      <c r="H7872" s="31"/>
      <c r="I7872" s="31"/>
      <c r="J7872" s="31"/>
    </row>
    <row r="7873" spans="7:10" s="29" customFormat="1" x14ac:dyDescent="0.2">
      <c r="G7873" s="31"/>
      <c r="H7873" s="31"/>
      <c r="I7873" s="31"/>
      <c r="J7873" s="31"/>
    </row>
    <row r="7874" spans="7:10" s="29" customFormat="1" x14ac:dyDescent="0.2">
      <c r="G7874" s="31"/>
      <c r="H7874" s="31"/>
      <c r="I7874" s="31"/>
      <c r="J7874" s="31"/>
    </row>
    <row r="7875" spans="7:10" s="29" customFormat="1" x14ac:dyDescent="0.2">
      <c r="G7875" s="31"/>
      <c r="H7875" s="31"/>
      <c r="I7875" s="31"/>
      <c r="J7875" s="31"/>
    </row>
    <row r="7876" spans="7:10" s="29" customFormat="1" x14ac:dyDescent="0.2">
      <c r="G7876" s="31"/>
      <c r="H7876" s="31"/>
      <c r="I7876" s="31"/>
      <c r="J7876" s="31"/>
    </row>
    <row r="7877" spans="7:10" s="29" customFormat="1" x14ac:dyDescent="0.2">
      <c r="G7877" s="31"/>
      <c r="H7877" s="31"/>
      <c r="I7877" s="31"/>
      <c r="J7877" s="31"/>
    </row>
    <row r="7878" spans="7:10" s="29" customFormat="1" x14ac:dyDescent="0.2">
      <c r="G7878" s="31"/>
      <c r="H7878" s="31"/>
      <c r="I7878" s="31"/>
      <c r="J7878" s="31"/>
    </row>
    <row r="7879" spans="7:10" s="29" customFormat="1" x14ac:dyDescent="0.2">
      <c r="G7879" s="31"/>
      <c r="H7879" s="31"/>
      <c r="I7879" s="31"/>
      <c r="J7879" s="31"/>
    </row>
    <row r="7880" spans="7:10" s="29" customFormat="1" x14ac:dyDescent="0.2">
      <c r="G7880" s="31"/>
      <c r="H7880" s="31"/>
      <c r="I7880" s="31"/>
      <c r="J7880" s="31"/>
    </row>
    <row r="7881" spans="7:10" s="29" customFormat="1" x14ac:dyDescent="0.2">
      <c r="G7881" s="31"/>
      <c r="H7881" s="31"/>
      <c r="I7881" s="31"/>
      <c r="J7881" s="31"/>
    </row>
    <row r="7882" spans="7:10" s="29" customFormat="1" x14ac:dyDescent="0.2">
      <c r="G7882" s="31"/>
      <c r="H7882" s="31"/>
      <c r="I7882" s="31"/>
      <c r="J7882" s="31"/>
    </row>
    <row r="7883" spans="7:10" s="29" customFormat="1" x14ac:dyDescent="0.2">
      <c r="G7883" s="31"/>
      <c r="H7883" s="31"/>
      <c r="I7883" s="31"/>
      <c r="J7883" s="31"/>
    </row>
    <row r="7884" spans="7:10" s="29" customFormat="1" x14ac:dyDescent="0.2">
      <c r="G7884" s="31"/>
      <c r="H7884" s="31"/>
      <c r="I7884" s="31"/>
      <c r="J7884" s="31"/>
    </row>
    <row r="7885" spans="7:10" s="29" customFormat="1" x14ac:dyDescent="0.2">
      <c r="G7885" s="31"/>
      <c r="H7885" s="31"/>
      <c r="I7885" s="31"/>
      <c r="J7885" s="31"/>
    </row>
    <row r="7886" spans="7:10" s="29" customFormat="1" x14ac:dyDescent="0.2">
      <c r="G7886" s="31"/>
      <c r="H7886" s="31"/>
      <c r="I7886" s="31"/>
      <c r="J7886" s="31"/>
    </row>
    <row r="7887" spans="7:10" s="29" customFormat="1" x14ac:dyDescent="0.2">
      <c r="G7887" s="31"/>
      <c r="H7887" s="31"/>
      <c r="I7887" s="31"/>
      <c r="J7887" s="31"/>
    </row>
    <row r="7888" spans="7:10" s="29" customFormat="1" x14ac:dyDescent="0.2">
      <c r="G7888" s="31"/>
      <c r="H7888" s="31"/>
      <c r="I7888" s="31"/>
      <c r="J7888" s="31"/>
    </row>
    <row r="7889" spans="7:10" s="29" customFormat="1" x14ac:dyDescent="0.2">
      <c r="G7889" s="31"/>
      <c r="H7889" s="31"/>
      <c r="I7889" s="31"/>
      <c r="J7889" s="31"/>
    </row>
    <row r="7890" spans="7:10" s="29" customFormat="1" x14ac:dyDescent="0.2">
      <c r="G7890" s="31"/>
      <c r="H7890" s="31"/>
      <c r="I7890" s="31"/>
      <c r="J7890" s="31"/>
    </row>
    <row r="7891" spans="7:10" s="29" customFormat="1" x14ac:dyDescent="0.2">
      <c r="G7891" s="31"/>
      <c r="H7891" s="31"/>
      <c r="I7891" s="31"/>
      <c r="J7891" s="31"/>
    </row>
    <row r="7892" spans="7:10" s="29" customFormat="1" x14ac:dyDescent="0.2">
      <c r="G7892" s="31"/>
      <c r="H7892" s="31"/>
      <c r="I7892" s="31"/>
      <c r="J7892" s="31"/>
    </row>
    <row r="7893" spans="7:10" s="29" customFormat="1" x14ac:dyDescent="0.2">
      <c r="G7893" s="31"/>
      <c r="H7893" s="31"/>
      <c r="I7893" s="31"/>
      <c r="J7893" s="31"/>
    </row>
    <row r="7894" spans="7:10" s="29" customFormat="1" x14ac:dyDescent="0.2">
      <c r="G7894" s="31"/>
      <c r="H7894" s="31"/>
      <c r="I7894" s="31"/>
      <c r="J7894" s="31"/>
    </row>
    <row r="7895" spans="7:10" s="29" customFormat="1" x14ac:dyDescent="0.2">
      <c r="G7895" s="31"/>
      <c r="H7895" s="31"/>
      <c r="I7895" s="31"/>
      <c r="J7895" s="31"/>
    </row>
    <row r="7896" spans="7:10" s="29" customFormat="1" x14ac:dyDescent="0.2">
      <c r="G7896" s="31"/>
      <c r="H7896" s="31"/>
      <c r="I7896" s="31"/>
      <c r="J7896" s="31"/>
    </row>
    <row r="7897" spans="7:10" s="29" customFormat="1" x14ac:dyDescent="0.2">
      <c r="G7897" s="31"/>
      <c r="H7897" s="31"/>
      <c r="I7897" s="31"/>
      <c r="J7897" s="31"/>
    </row>
    <row r="7898" spans="7:10" s="29" customFormat="1" x14ac:dyDescent="0.2">
      <c r="G7898" s="31"/>
      <c r="H7898" s="31"/>
      <c r="I7898" s="31"/>
      <c r="J7898" s="31"/>
    </row>
    <row r="7899" spans="7:10" s="29" customFormat="1" x14ac:dyDescent="0.2">
      <c r="G7899" s="31"/>
      <c r="H7899" s="31"/>
      <c r="I7899" s="31"/>
      <c r="J7899" s="31"/>
    </row>
    <row r="7900" spans="7:10" s="29" customFormat="1" x14ac:dyDescent="0.2">
      <c r="G7900" s="31"/>
      <c r="H7900" s="31"/>
      <c r="I7900" s="31"/>
      <c r="J7900" s="31"/>
    </row>
    <row r="7901" spans="7:10" s="29" customFormat="1" x14ac:dyDescent="0.2">
      <c r="G7901" s="31"/>
      <c r="H7901" s="31"/>
      <c r="I7901" s="31"/>
      <c r="J7901" s="31"/>
    </row>
    <row r="7902" spans="7:10" s="29" customFormat="1" x14ac:dyDescent="0.2">
      <c r="G7902" s="31"/>
      <c r="H7902" s="31"/>
      <c r="I7902" s="31"/>
      <c r="J7902" s="31"/>
    </row>
    <row r="7903" spans="7:10" s="29" customFormat="1" x14ac:dyDescent="0.2">
      <c r="G7903" s="31"/>
      <c r="H7903" s="31"/>
      <c r="I7903" s="31"/>
      <c r="J7903" s="31"/>
    </row>
    <row r="7904" spans="7:10" s="29" customFormat="1" x14ac:dyDescent="0.2">
      <c r="G7904" s="31"/>
      <c r="H7904" s="31"/>
      <c r="I7904" s="31"/>
      <c r="J7904" s="31"/>
    </row>
    <row r="7905" spans="7:10" s="29" customFormat="1" x14ac:dyDescent="0.2">
      <c r="G7905" s="31"/>
      <c r="H7905" s="31"/>
      <c r="I7905" s="31"/>
      <c r="J7905" s="31"/>
    </row>
    <row r="7906" spans="7:10" s="29" customFormat="1" x14ac:dyDescent="0.2">
      <c r="G7906" s="31"/>
      <c r="H7906" s="31"/>
      <c r="I7906" s="31"/>
      <c r="J7906" s="31"/>
    </row>
    <row r="7907" spans="7:10" s="29" customFormat="1" x14ac:dyDescent="0.2">
      <c r="G7907" s="31"/>
      <c r="H7907" s="31"/>
      <c r="I7907" s="31"/>
      <c r="J7907" s="31"/>
    </row>
    <row r="7908" spans="7:10" s="29" customFormat="1" x14ac:dyDescent="0.2">
      <c r="G7908" s="31"/>
      <c r="H7908" s="31"/>
      <c r="I7908" s="31"/>
      <c r="J7908" s="31"/>
    </row>
    <row r="7909" spans="7:10" s="29" customFormat="1" x14ac:dyDescent="0.2">
      <c r="G7909" s="31"/>
      <c r="H7909" s="31"/>
      <c r="I7909" s="31"/>
      <c r="J7909" s="31"/>
    </row>
    <row r="7910" spans="7:10" s="29" customFormat="1" x14ac:dyDescent="0.2">
      <c r="G7910" s="31"/>
      <c r="H7910" s="31"/>
      <c r="I7910" s="31"/>
      <c r="J7910" s="31"/>
    </row>
    <row r="7911" spans="7:10" s="29" customFormat="1" x14ac:dyDescent="0.2">
      <c r="G7911" s="31"/>
      <c r="H7911" s="31"/>
      <c r="I7911" s="31"/>
      <c r="J7911" s="31"/>
    </row>
    <row r="7912" spans="7:10" s="29" customFormat="1" x14ac:dyDescent="0.2">
      <c r="G7912" s="31"/>
      <c r="H7912" s="31"/>
      <c r="I7912" s="31"/>
      <c r="J7912" s="31"/>
    </row>
    <row r="7913" spans="7:10" s="29" customFormat="1" x14ac:dyDescent="0.2">
      <c r="G7913" s="31"/>
      <c r="H7913" s="31"/>
      <c r="I7913" s="31"/>
      <c r="J7913" s="31"/>
    </row>
    <row r="7914" spans="7:10" s="29" customFormat="1" x14ac:dyDescent="0.2">
      <c r="G7914" s="31"/>
      <c r="H7914" s="31"/>
      <c r="I7914" s="31"/>
      <c r="J7914" s="31"/>
    </row>
    <row r="7915" spans="7:10" s="29" customFormat="1" x14ac:dyDescent="0.2">
      <c r="G7915" s="31"/>
      <c r="H7915" s="31"/>
      <c r="I7915" s="31"/>
      <c r="J7915" s="31"/>
    </row>
    <row r="7916" spans="7:10" s="29" customFormat="1" x14ac:dyDescent="0.2">
      <c r="G7916" s="31"/>
      <c r="H7916" s="31"/>
      <c r="I7916" s="31"/>
      <c r="J7916" s="31"/>
    </row>
    <row r="7917" spans="7:10" s="29" customFormat="1" x14ac:dyDescent="0.2">
      <c r="G7917" s="31"/>
      <c r="H7917" s="31"/>
      <c r="I7917" s="31"/>
      <c r="J7917" s="31"/>
    </row>
    <row r="7918" spans="7:10" s="29" customFormat="1" x14ac:dyDescent="0.2">
      <c r="G7918" s="31"/>
      <c r="H7918" s="31"/>
      <c r="I7918" s="31"/>
      <c r="J7918" s="31"/>
    </row>
    <row r="7919" spans="7:10" s="29" customFormat="1" x14ac:dyDescent="0.2">
      <c r="G7919" s="31"/>
      <c r="H7919" s="31"/>
      <c r="I7919" s="31"/>
      <c r="J7919" s="31"/>
    </row>
    <row r="7920" spans="7:10" s="29" customFormat="1" x14ac:dyDescent="0.2">
      <c r="G7920" s="31"/>
      <c r="H7920" s="31"/>
      <c r="I7920" s="31"/>
      <c r="J7920" s="31"/>
    </row>
    <row r="7921" spans="7:10" s="29" customFormat="1" x14ac:dyDescent="0.2">
      <c r="G7921" s="31"/>
      <c r="H7921" s="31"/>
      <c r="I7921" s="31"/>
      <c r="J7921" s="31"/>
    </row>
    <row r="7922" spans="7:10" s="29" customFormat="1" x14ac:dyDescent="0.2">
      <c r="G7922" s="31"/>
      <c r="H7922" s="31"/>
      <c r="I7922" s="31"/>
      <c r="J7922" s="31"/>
    </row>
    <row r="7923" spans="7:10" s="29" customFormat="1" x14ac:dyDescent="0.2">
      <c r="G7923" s="31"/>
      <c r="H7923" s="31"/>
      <c r="I7923" s="31"/>
      <c r="J7923" s="31"/>
    </row>
    <row r="7924" spans="7:10" s="29" customFormat="1" x14ac:dyDescent="0.2">
      <c r="G7924" s="31"/>
      <c r="H7924" s="31"/>
      <c r="I7924" s="31"/>
      <c r="J7924" s="31"/>
    </row>
    <row r="7925" spans="7:10" s="29" customFormat="1" x14ac:dyDescent="0.2">
      <c r="G7925" s="31"/>
      <c r="H7925" s="31"/>
      <c r="I7925" s="31"/>
      <c r="J7925" s="31"/>
    </row>
    <row r="7926" spans="7:10" s="29" customFormat="1" x14ac:dyDescent="0.2">
      <c r="G7926" s="31"/>
      <c r="H7926" s="31"/>
      <c r="I7926" s="31"/>
      <c r="J7926" s="31"/>
    </row>
    <row r="7927" spans="7:10" s="29" customFormat="1" x14ac:dyDescent="0.2">
      <c r="G7927" s="31"/>
      <c r="H7927" s="31"/>
      <c r="I7927" s="31"/>
      <c r="J7927" s="31"/>
    </row>
    <row r="7928" spans="7:10" s="29" customFormat="1" x14ac:dyDescent="0.2">
      <c r="G7928" s="31"/>
      <c r="H7928" s="31"/>
      <c r="I7928" s="31"/>
      <c r="J7928" s="31"/>
    </row>
    <row r="7929" spans="7:10" s="29" customFormat="1" x14ac:dyDescent="0.2">
      <c r="G7929" s="31"/>
      <c r="H7929" s="31"/>
      <c r="I7929" s="31"/>
      <c r="J7929" s="31"/>
    </row>
    <row r="7930" spans="7:10" s="29" customFormat="1" x14ac:dyDescent="0.2">
      <c r="G7930" s="31"/>
      <c r="H7930" s="31"/>
      <c r="I7930" s="31"/>
      <c r="J7930" s="31"/>
    </row>
    <row r="7931" spans="7:10" s="29" customFormat="1" x14ac:dyDescent="0.2">
      <c r="G7931" s="31"/>
      <c r="H7931" s="31"/>
      <c r="I7931" s="31"/>
      <c r="J7931" s="31"/>
    </row>
    <row r="7932" spans="7:10" s="29" customFormat="1" x14ac:dyDescent="0.2">
      <c r="G7932" s="31"/>
      <c r="H7932" s="31"/>
      <c r="I7932" s="31"/>
      <c r="J7932" s="31"/>
    </row>
    <row r="7933" spans="7:10" s="29" customFormat="1" x14ac:dyDescent="0.2">
      <c r="G7933" s="31"/>
      <c r="H7933" s="31"/>
      <c r="I7933" s="31"/>
      <c r="J7933" s="31"/>
    </row>
    <row r="7934" spans="7:10" s="29" customFormat="1" x14ac:dyDescent="0.2">
      <c r="G7934" s="31"/>
      <c r="H7934" s="31"/>
      <c r="I7934" s="31"/>
      <c r="J7934" s="31"/>
    </row>
    <row r="7935" spans="7:10" s="29" customFormat="1" x14ac:dyDescent="0.2">
      <c r="G7935" s="31"/>
      <c r="H7935" s="31"/>
      <c r="I7935" s="31"/>
      <c r="J7935" s="31"/>
    </row>
    <row r="7936" spans="7:10" s="29" customFormat="1" x14ac:dyDescent="0.2">
      <c r="G7936" s="31"/>
      <c r="H7936" s="31"/>
      <c r="I7936" s="31"/>
      <c r="J7936" s="31"/>
    </row>
    <row r="7937" spans="7:10" s="29" customFormat="1" x14ac:dyDescent="0.2">
      <c r="G7937" s="31"/>
      <c r="H7937" s="31"/>
      <c r="I7937" s="31"/>
      <c r="J7937" s="31"/>
    </row>
    <row r="7938" spans="7:10" s="29" customFormat="1" x14ac:dyDescent="0.2">
      <c r="G7938" s="31"/>
      <c r="H7938" s="31"/>
      <c r="I7938" s="31"/>
      <c r="J7938" s="31"/>
    </row>
    <row r="7939" spans="7:10" s="29" customFormat="1" x14ac:dyDescent="0.2">
      <c r="G7939" s="31"/>
      <c r="H7939" s="31"/>
      <c r="I7939" s="31"/>
      <c r="J7939" s="31"/>
    </row>
    <row r="7940" spans="7:10" s="29" customFormat="1" x14ac:dyDescent="0.2">
      <c r="G7940" s="31"/>
      <c r="H7940" s="31"/>
      <c r="I7940" s="31"/>
      <c r="J7940" s="31"/>
    </row>
    <row r="7941" spans="7:10" s="29" customFormat="1" x14ac:dyDescent="0.2">
      <c r="G7941" s="31"/>
      <c r="H7941" s="31"/>
      <c r="I7941" s="31"/>
      <c r="J7941" s="31"/>
    </row>
    <row r="7942" spans="7:10" s="29" customFormat="1" x14ac:dyDescent="0.2">
      <c r="G7942" s="31"/>
      <c r="H7942" s="31"/>
      <c r="I7942" s="31"/>
      <c r="J7942" s="31"/>
    </row>
    <row r="7943" spans="7:10" s="29" customFormat="1" x14ac:dyDescent="0.2">
      <c r="G7943" s="31"/>
      <c r="H7943" s="31"/>
      <c r="I7943" s="31"/>
      <c r="J7943" s="31"/>
    </row>
    <row r="7944" spans="7:10" s="29" customFormat="1" x14ac:dyDescent="0.2">
      <c r="G7944" s="31"/>
      <c r="H7944" s="31"/>
      <c r="I7944" s="31"/>
      <c r="J7944" s="31"/>
    </row>
    <row r="7945" spans="7:10" s="29" customFormat="1" x14ac:dyDescent="0.2">
      <c r="G7945" s="31"/>
      <c r="H7945" s="31"/>
      <c r="I7945" s="31"/>
      <c r="J7945" s="31"/>
    </row>
    <row r="7946" spans="7:10" s="29" customFormat="1" x14ac:dyDescent="0.2">
      <c r="G7946" s="31"/>
      <c r="H7946" s="31"/>
      <c r="I7946" s="31"/>
      <c r="J7946" s="31"/>
    </row>
    <row r="7947" spans="7:10" s="29" customFormat="1" x14ac:dyDescent="0.2">
      <c r="G7947" s="31"/>
      <c r="H7947" s="31"/>
      <c r="I7947" s="31"/>
      <c r="J7947" s="31"/>
    </row>
    <row r="7948" spans="7:10" s="29" customFormat="1" x14ac:dyDescent="0.2">
      <c r="G7948" s="31"/>
      <c r="H7948" s="31"/>
      <c r="I7948" s="31"/>
      <c r="J7948" s="31"/>
    </row>
    <row r="7949" spans="7:10" s="29" customFormat="1" x14ac:dyDescent="0.2">
      <c r="G7949" s="31"/>
      <c r="H7949" s="31"/>
      <c r="I7949" s="31"/>
      <c r="J7949" s="31"/>
    </row>
    <row r="7950" spans="7:10" s="29" customFormat="1" x14ac:dyDescent="0.2">
      <c r="G7950" s="31"/>
      <c r="H7950" s="31"/>
      <c r="I7950" s="31"/>
      <c r="J7950" s="31"/>
    </row>
    <row r="7951" spans="7:10" s="29" customFormat="1" x14ac:dyDescent="0.2">
      <c r="G7951" s="31"/>
      <c r="H7951" s="31"/>
      <c r="I7951" s="31"/>
      <c r="J7951" s="31"/>
    </row>
    <row r="7952" spans="7:10" s="29" customFormat="1" x14ac:dyDescent="0.2">
      <c r="G7952" s="31"/>
      <c r="H7952" s="31"/>
      <c r="I7952" s="31"/>
      <c r="J7952" s="31"/>
    </row>
    <row r="7953" spans="7:10" s="29" customFormat="1" x14ac:dyDescent="0.2">
      <c r="G7953" s="31"/>
      <c r="H7953" s="31"/>
      <c r="I7953" s="31"/>
      <c r="J7953" s="31"/>
    </row>
    <row r="7954" spans="7:10" s="29" customFormat="1" x14ac:dyDescent="0.2">
      <c r="G7954" s="31"/>
      <c r="H7954" s="31"/>
      <c r="I7954" s="31"/>
      <c r="J7954" s="31"/>
    </row>
    <row r="7955" spans="7:10" s="29" customFormat="1" x14ac:dyDescent="0.2">
      <c r="G7955" s="31"/>
      <c r="H7955" s="31"/>
      <c r="I7955" s="31"/>
      <c r="J7955" s="31"/>
    </row>
    <row r="7956" spans="7:10" s="29" customFormat="1" x14ac:dyDescent="0.2">
      <c r="G7956" s="31"/>
      <c r="H7956" s="31"/>
      <c r="I7956" s="31"/>
      <c r="J7956" s="31"/>
    </row>
    <row r="7957" spans="7:10" s="29" customFormat="1" x14ac:dyDescent="0.2">
      <c r="G7957" s="31"/>
      <c r="H7957" s="31"/>
      <c r="I7957" s="31"/>
      <c r="J7957" s="31"/>
    </row>
    <row r="7958" spans="7:10" s="29" customFormat="1" x14ac:dyDescent="0.2">
      <c r="G7958" s="31"/>
      <c r="H7958" s="31"/>
      <c r="I7958" s="31"/>
      <c r="J7958" s="31"/>
    </row>
    <row r="7959" spans="7:10" s="29" customFormat="1" x14ac:dyDescent="0.2">
      <c r="G7959" s="31"/>
      <c r="H7959" s="31"/>
      <c r="I7959" s="31"/>
      <c r="J7959" s="31"/>
    </row>
    <row r="7960" spans="7:10" s="29" customFormat="1" x14ac:dyDescent="0.2">
      <c r="G7960" s="31"/>
      <c r="H7960" s="31"/>
      <c r="I7960" s="31"/>
      <c r="J7960" s="31"/>
    </row>
    <row r="7961" spans="7:10" s="29" customFormat="1" x14ac:dyDescent="0.2">
      <c r="G7961" s="31"/>
      <c r="H7961" s="31"/>
      <c r="I7961" s="31"/>
      <c r="J7961" s="31"/>
    </row>
    <row r="7962" spans="7:10" s="29" customFormat="1" x14ac:dyDescent="0.2">
      <c r="G7962" s="31"/>
      <c r="H7962" s="31"/>
      <c r="I7962" s="31"/>
      <c r="J7962" s="31"/>
    </row>
    <row r="7963" spans="7:10" s="29" customFormat="1" x14ac:dyDescent="0.2">
      <c r="G7963" s="31"/>
      <c r="H7963" s="31"/>
      <c r="I7963" s="31"/>
      <c r="J7963" s="31"/>
    </row>
    <row r="7964" spans="7:10" s="29" customFormat="1" x14ac:dyDescent="0.2">
      <c r="G7964" s="31"/>
      <c r="H7964" s="31"/>
      <c r="I7964" s="31"/>
      <c r="J7964" s="31"/>
    </row>
    <row r="7965" spans="7:10" s="29" customFormat="1" x14ac:dyDescent="0.2">
      <c r="G7965" s="31"/>
      <c r="H7965" s="31"/>
      <c r="I7965" s="31"/>
      <c r="J7965" s="31"/>
    </row>
    <row r="7966" spans="7:10" s="29" customFormat="1" x14ac:dyDescent="0.2">
      <c r="G7966" s="31"/>
      <c r="H7966" s="31"/>
      <c r="I7966" s="31"/>
      <c r="J7966" s="31"/>
    </row>
    <row r="7967" spans="7:10" s="29" customFormat="1" x14ac:dyDescent="0.2">
      <c r="G7967" s="31"/>
      <c r="H7967" s="31"/>
      <c r="I7967" s="31"/>
      <c r="J7967" s="31"/>
    </row>
    <row r="7968" spans="7:10" s="29" customFormat="1" x14ac:dyDescent="0.2">
      <c r="G7968" s="31"/>
      <c r="H7968" s="31"/>
      <c r="I7968" s="31"/>
      <c r="J7968" s="31"/>
    </row>
    <row r="7969" spans="7:10" s="29" customFormat="1" x14ac:dyDescent="0.2">
      <c r="G7969" s="31"/>
      <c r="H7969" s="31"/>
      <c r="I7969" s="31"/>
      <c r="J7969" s="31"/>
    </row>
    <row r="7970" spans="7:10" s="29" customFormat="1" x14ac:dyDescent="0.2">
      <c r="G7970" s="31"/>
      <c r="H7970" s="31"/>
      <c r="I7970" s="31"/>
      <c r="J7970" s="31"/>
    </row>
    <row r="7971" spans="7:10" s="29" customFormat="1" x14ac:dyDescent="0.2">
      <c r="G7971" s="31"/>
      <c r="H7971" s="31"/>
      <c r="I7971" s="31"/>
      <c r="J7971" s="31"/>
    </row>
    <row r="7972" spans="7:10" s="29" customFormat="1" x14ac:dyDescent="0.2">
      <c r="G7972" s="31"/>
      <c r="H7972" s="31"/>
      <c r="I7972" s="31"/>
      <c r="J7972" s="31"/>
    </row>
    <row r="7973" spans="7:10" s="29" customFormat="1" x14ac:dyDescent="0.2">
      <c r="G7973" s="31"/>
      <c r="H7973" s="31"/>
      <c r="I7973" s="31"/>
      <c r="J7973" s="31"/>
    </row>
    <row r="7974" spans="7:10" s="29" customFormat="1" x14ac:dyDescent="0.2">
      <c r="G7974" s="31"/>
      <c r="H7974" s="31"/>
      <c r="I7974" s="31"/>
      <c r="J7974" s="31"/>
    </row>
    <row r="7975" spans="7:10" s="29" customFormat="1" x14ac:dyDescent="0.2">
      <c r="G7975" s="31"/>
      <c r="H7975" s="31"/>
      <c r="I7975" s="31"/>
      <c r="J7975" s="31"/>
    </row>
    <row r="7976" spans="7:10" s="29" customFormat="1" x14ac:dyDescent="0.2">
      <c r="G7976" s="31"/>
      <c r="H7976" s="31"/>
      <c r="I7976" s="31"/>
      <c r="J7976" s="31"/>
    </row>
    <row r="7977" spans="7:10" s="29" customFormat="1" x14ac:dyDescent="0.2">
      <c r="G7977" s="31"/>
      <c r="H7977" s="31"/>
      <c r="I7977" s="31"/>
      <c r="J7977" s="31"/>
    </row>
    <row r="7978" spans="7:10" s="29" customFormat="1" x14ac:dyDescent="0.2">
      <c r="G7978" s="31"/>
      <c r="H7978" s="31"/>
      <c r="I7978" s="31"/>
      <c r="J7978" s="31"/>
    </row>
    <row r="7979" spans="7:10" s="29" customFormat="1" x14ac:dyDescent="0.2">
      <c r="G7979" s="31"/>
      <c r="H7979" s="31"/>
      <c r="I7979" s="31"/>
      <c r="J7979" s="31"/>
    </row>
    <row r="7980" spans="7:10" s="29" customFormat="1" x14ac:dyDescent="0.2">
      <c r="G7980" s="31"/>
      <c r="H7980" s="31"/>
      <c r="I7980" s="31"/>
      <c r="J7980" s="31"/>
    </row>
    <row r="7981" spans="7:10" s="29" customFormat="1" x14ac:dyDescent="0.2">
      <c r="G7981" s="31"/>
      <c r="H7981" s="31"/>
      <c r="I7981" s="31"/>
      <c r="J7981" s="31"/>
    </row>
    <row r="7982" spans="7:10" s="29" customFormat="1" x14ac:dyDescent="0.2">
      <c r="G7982" s="31"/>
      <c r="H7982" s="31"/>
      <c r="I7982" s="31"/>
      <c r="J7982" s="31"/>
    </row>
    <row r="7983" spans="7:10" s="29" customFormat="1" x14ac:dyDescent="0.2">
      <c r="G7983" s="31"/>
      <c r="H7983" s="31"/>
      <c r="I7983" s="31"/>
      <c r="J7983" s="31"/>
    </row>
    <row r="7984" spans="7:10" s="29" customFormat="1" x14ac:dyDescent="0.2">
      <c r="G7984" s="31"/>
      <c r="H7984" s="31"/>
      <c r="I7984" s="31"/>
      <c r="J7984" s="31"/>
    </row>
    <row r="7985" spans="7:10" s="29" customFormat="1" x14ac:dyDescent="0.2">
      <c r="G7985" s="31"/>
      <c r="H7985" s="31"/>
      <c r="I7985" s="31"/>
      <c r="J7985" s="31"/>
    </row>
    <row r="7986" spans="7:10" s="29" customFormat="1" x14ac:dyDescent="0.2">
      <c r="G7986" s="31"/>
      <c r="H7986" s="31"/>
      <c r="I7986" s="31"/>
      <c r="J7986" s="31"/>
    </row>
    <row r="7987" spans="7:10" s="29" customFormat="1" x14ac:dyDescent="0.2">
      <c r="G7987" s="31"/>
      <c r="H7987" s="31"/>
      <c r="I7987" s="31"/>
      <c r="J7987" s="31"/>
    </row>
    <row r="7988" spans="7:10" s="29" customFormat="1" x14ac:dyDescent="0.2">
      <c r="G7988" s="31"/>
      <c r="H7988" s="31"/>
      <c r="I7988" s="31"/>
      <c r="J7988" s="31"/>
    </row>
    <row r="7989" spans="7:10" s="29" customFormat="1" x14ac:dyDescent="0.2">
      <c r="G7989" s="31"/>
      <c r="H7989" s="31"/>
      <c r="I7989" s="31"/>
      <c r="J7989" s="31"/>
    </row>
    <row r="7990" spans="7:10" s="29" customFormat="1" x14ac:dyDescent="0.2">
      <c r="G7990" s="31"/>
      <c r="H7990" s="31"/>
      <c r="I7990" s="31"/>
      <c r="J7990" s="31"/>
    </row>
    <row r="7991" spans="7:10" s="29" customFormat="1" x14ac:dyDescent="0.2">
      <c r="G7991" s="31"/>
      <c r="H7991" s="31"/>
      <c r="I7991" s="31"/>
      <c r="J7991" s="31"/>
    </row>
    <row r="7992" spans="7:10" s="29" customFormat="1" x14ac:dyDescent="0.2">
      <c r="G7992" s="31"/>
      <c r="H7992" s="31"/>
      <c r="I7992" s="31"/>
      <c r="J7992" s="31"/>
    </row>
    <row r="7993" spans="7:10" s="29" customFormat="1" x14ac:dyDescent="0.2">
      <c r="G7993" s="31"/>
      <c r="H7993" s="31"/>
      <c r="I7993" s="31"/>
      <c r="J7993" s="31"/>
    </row>
    <row r="7994" spans="7:10" s="29" customFormat="1" x14ac:dyDescent="0.2">
      <c r="G7994" s="31"/>
      <c r="H7994" s="31"/>
      <c r="I7994" s="31"/>
      <c r="J7994" s="31"/>
    </row>
    <row r="7995" spans="7:10" s="29" customFormat="1" x14ac:dyDescent="0.2">
      <c r="G7995" s="31"/>
      <c r="H7995" s="31"/>
      <c r="I7995" s="31"/>
      <c r="J7995" s="31"/>
    </row>
    <row r="7996" spans="7:10" s="29" customFormat="1" x14ac:dyDescent="0.2">
      <c r="G7996" s="31"/>
      <c r="H7996" s="31"/>
      <c r="I7996" s="31"/>
      <c r="J7996" s="31"/>
    </row>
    <row r="7997" spans="7:10" s="29" customFormat="1" x14ac:dyDescent="0.2">
      <c r="G7997" s="31"/>
      <c r="H7997" s="31"/>
      <c r="I7997" s="31"/>
      <c r="J7997" s="31"/>
    </row>
    <row r="7998" spans="7:10" s="29" customFormat="1" x14ac:dyDescent="0.2">
      <c r="G7998" s="31"/>
      <c r="H7998" s="31"/>
      <c r="I7998" s="31"/>
      <c r="J7998" s="31"/>
    </row>
    <row r="7999" spans="7:10" s="29" customFormat="1" x14ac:dyDescent="0.2">
      <c r="G7999" s="31"/>
      <c r="H7999" s="31"/>
      <c r="I7999" s="31"/>
      <c r="J7999" s="31"/>
    </row>
    <row r="8000" spans="7:10" s="29" customFormat="1" x14ac:dyDescent="0.2">
      <c r="G8000" s="31"/>
      <c r="H8000" s="31"/>
      <c r="I8000" s="31"/>
      <c r="J8000" s="31"/>
    </row>
    <row r="8001" spans="7:10" s="29" customFormat="1" x14ac:dyDescent="0.2">
      <c r="G8001" s="31"/>
      <c r="H8001" s="31"/>
      <c r="I8001" s="31"/>
      <c r="J8001" s="31"/>
    </row>
    <row r="8002" spans="7:10" s="29" customFormat="1" x14ac:dyDescent="0.2">
      <c r="G8002" s="31"/>
      <c r="H8002" s="31"/>
      <c r="I8002" s="31"/>
      <c r="J8002" s="31"/>
    </row>
    <row r="8003" spans="7:10" s="29" customFormat="1" x14ac:dyDescent="0.2">
      <c r="G8003" s="31"/>
      <c r="H8003" s="31"/>
      <c r="I8003" s="31"/>
      <c r="J8003" s="31"/>
    </row>
    <row r="8004" spans="7:10" s="29" customFormat="1" x14ac:dyDescent="0.2">
      <c r="G8004" s="31"/>
      <c r="H8004" s="31"/>
      <c r="I8004" s="31"/>
      <c r="J8004" s="31"/>
    </row>
    <row r="8005" spans="7:10" s="29" customFormat="1" x14ac:dyDescent="0.2">
      <c r="G8005" s="31"/>
      <c r="H8005" s="31"/>
      <c r="I8005" s="31"/>
      <c r="J8005" s="31"/>
    </row>
    <row r="8006" spans="7:10" s="29" customFormat="1" x14ac:dyDescent="0.2">
      <c r="G8006" s="31"/>
      <c r="H8006" s="31"/>
      <c r="I8006" s="31"/>
      <c r="J8006" s="31"/>
    </row>
    <row r="8007" spans="7:10" s="29" customFormat="1" x14ac:dyDescent="0.2">
      <c r="G8007" s="31"/>
      <c r="H8007" s="31"/>
      <c r="I8007" s="31"/>
      <c r="J8007" s="31"/>
    </row>
    <row r="8008" spans="7:10" s="29" customFormat="1" x14ac:dyDescent="0.2">
      <c r="G8008" s="31"/>
      <c r="H8008" s="31"/>
      <c r="I8008" s="31"/>
      <c r="J8008" s="31"/>
    </row>
    <row r="8009" spans="7:10" s="29" customFormat="1" x14ac:dyDescent="0.2">
      <c r="G8009" s="31"/>
      <c r="H8009" s="31"/>
      <c r="I8009" s="31"/>
      <c r="J8009" s="31"/>
    </row>
    <row r="8010" spans="7:10" s="29" customFormat="1" x14ac:dyDescent="0.2">
      <c r="G8010" s="31"/>
      <c r="H8010" s="31"/>
      <c r="I8010" s="31"/>
      <c r="J8010" s="31"/>
    </row>
    <row r="8011" spans="7:10" s="29" customFormat="1" x14ac:dyDescent="0.2">
      <c r="G8011" s="31"/>
      <c r="H8011" s="31"/>
      <c r="I8011" s="31"/>
      <c r="J8011" s="31"/>
    </row>
    <row r="8012" spans="7:10" s="29" customFormat="1" x14ac:dyDescent="0.2">
      <c r="G8012" s="31"/>
      <c r="H8012" s="31"/>
      <c r="I8012" s="31"/>
      <c r="J8012" s="31"/>
    </row>
    <row r="8013" spans="7:10" s="29" customFormat="1" x14ac:dyDescent="0.2">
      <c r="G8013" s="31"/>
      <c r="H8013" s="31"/>
      <c r="I8013" s="31"/>
      <c r="J8013" s="31"/>
    </row>
    <row r="8014" spans="7:10" s="29" customFormat="1" x14ac:dyDescent="0.2">
      <c r="G8014" s="31"/>
      <c r="H8014" s="31"/>
      <c r="I8014" s="31"/>
      <c r="J8014" s="31"/>
    </row>
    <row r="8015" spans="7:10" s="29" customFormat="1" x14ac:dyDescent="0.2">
      <c r="G8015" s="31"/>
      <c r="H8015" s="31"/>
      <c r="I8015" s="31"/>
      <c r="J8015" s="31"/>
    </row>
    <row r="8016" spans="7:10" s="29" customFormat="1" x14ac:dyDescent="0.2">
      <c r="G8016" s="31"/>
      <c r="H8016" s="31"/>
      <c r="I8016" s="31"/>
      <c r="J8016" s="31"/>
    </row>
    <row r="8017" spans="7:10" s="29" customFormat="1" x14ac:dyDescent="0.2">
      <c r="G8017" s="31"/>
      <c r="H8017" s="31"/>
      <c r="I8017" s="31"/>
      <c r="J8017" s="31"/>
    </row>
    <row r="8018" spans="7:10" s="29" customFormat="1" x14ac:dyDescent="0.2">
      <c r="G8018" s="31"/>
      <c r="H8018" s="31"/>
      <c r="I8018" s="31"/>
      <c r="J8018" s="31"/>
    </row>
    <row r="8019" spans="7:10" s="29" customFormat="1" x14ac:dyDescent="0.2">
      <c r="G8019" s="31"/>
      <c r="H8019" s="31"/>
      <c r="I8019" s="31"/>
      <c r="J8019" s="31"/>
    </row>
    <row r="8020" spans="7:10" s="29" customFormat="1" x14ac:dyDescent="0.2">
      <c r="G8020" s="31"/>
      <c r="H8020" s="31"/>
      <c r="I8020" s="31"/>
      <c r="J8020" s="31"/>
    </row>
    <row r="8021" spans="7:10" s="29" customFormat="1" x14ac:dyDescent="0.2">
      <c r="G8021" s="31"/>
      <c r="H8021" s="31"/>
      <c r="I8021" s="31"/>
      <c r="J8021" s="31"/>
    </row>
    <row r="8022" spans="7:10" s="29" customFormat="1" x14ac:dyDescent="0.2">
      <c r="G8022" s="31"/>
      <c r="H8022" s="31"/>
      <c r="I8022" s="31"/>
      <c r="J8022" s="31"/>
    </row>
    <row r="8023" spans="7:10" s="29" customFormat="1" x14ac:dyDescent="0.2">
      <c r="G8023" s="31"/>
      <c r="H8023" s="31"/>
      <c r="I8023" s="31"/>
      <c r="J8023" s="31"/>
    </row>
    <row r="8024" spans="7:10" s="29" customFormat="1" x14ac:dyDescent="0.2">
      <c r="G8024" s="31"/>
      <c r="H8024" s="31"/>
      <c r="I8024" s="31"/>
      <c r="J8024" s="31"/>
    </row>
    <row r="8025" spans="7:10" s="29" customFormat="1" x14ac:dyDescent="0.2">
      <c r="G8025" s="31"/>
      <c r="H8025" s="31"/>
      <c r="I8025" s="31"/>
      <c r="J8025" s="31"/>
    </row>
    <row r="8026" spans="7:10" s="29" customFormat="1" x14ac:dyDescent="0.2">
      <c r="G8026" s="31"/>
      <c r="H8026" s="31"/>
      <c r="I8026" s="31"/>
      <c r="J8026" s="31"/>
    </row>
    <row r="8027" spans="7:10" s="29" customFormat="1" x14ac:dyDescent="0.2">
      <c r="G8027" s="31"/>
      <c r="H8027" s="31"/>
      <c r="I8027" s="31"/>
      <c r="J8027" s="31"/>
    </row>
    <row r="8028" spans="7:10" s="29" customFormat="1" x14ac:dyDescent="0.2">
      <c r="G8028" s="31"/>
      <c r="H8028" s="31"/>
      <c r="I8028" s="31"/>
      <c r="J8028" s="31"/>
    </row>
    <row r="8029" spans="7:10" s="29" customFormat="1" x14ac:dyDescent="0.2">
      <c r="G8029" s="31"/>
      <c r="H8029" s="31"/>
      <c r="I8029" s="31"/>
      <c r="J8029" s="31"/>
    </row>
    <row r="8030" spans="7:10" s="29" customFormat="1" x14ac:dyDescent="0.2">
      <c r="G8030" s="31"/>
      <c r="H8030" s="31"/>
      <c r="I8030" s="31"/>
      <c r="J8030" s="31"/>
    </row>
    <row r="8031" spans="7:10" s="29" customFormat="1" x14ac:dyDescent="0.2">
      <c r="G8031" s="31"/>
      <c r="H8031" s="31"/>
      <c r="I8031" s="31"/>
      <c r="J8031" s="31"/>
    </row>
    <row r="8032" spans="7:10" s="29" customFormat="1" x14ac:dyDescent="0.2">
      <c r="G8032" s="31"/>
      <c r="H8032" s="31"/>
      <c r="I8032" s="31"/>
      <c r="J8032" s="31"/>
    </row>
    <row r="8033" spans="7:10" s="29" customFormat="1" x14ac:dyDescent="0.2">
      <c r="G8033" s="31"/>
      <c r="H8033" s="31"/>
      <c r="I8033" s="31"/>
      <c r="J8033" s="31"/>
    </row>
    <row r="8034" spans="7:10" s="29" customFormat="1" x14ac:dyDescent="0.2">
      <c r="G8034" s="31"/>
      <c r="H8034" s="31"/>
      <c r="I8034" s="31"/>
      <c r="J8034" s="31"/>
    </row>
    <row r="8035" spans="7:10" s="29" customFormat="1" x14ac:dyDescent="0.2">
      <c r="G8035" s="31"/>
      <c r="H8035" s="31"/>
      <c r="I8035" s="31"/>
      <c r="J8035" s="31"/>
    </row>
    <row r="8036" spans="7:10" s="29" customFormat="1" x14ac:dyDescent="0.2">
      <c r="G8036" s="31"/>
      <c r="H8036" s="31"/>
      <c r="I8036" s="31"/>
      <c r="J8036" s="31"/>
    </row>
    <row r="8037" spans="7:10" s="29" customFormat="1" x14ac:dyDescent="0.2">
      <c r="G8037" s="31"/>
      <c r="H8037" s="31"/>
      <c r="I8037" s="31"/>
      <c r="J8037" s="31"/>
    </row>
    <row r="8038" spans="7:10" s="29" customFormat="1" x14ac:dyDescent="0.2">
      <c r="G8038" s="31"/>
      <c r="H8038" s="31"/>
      <c r="I8038" s="31"/>
      <c r="J8038" s="31"/>
    </row>
    <row r="8039" spans="7:10" s="29" customFormat="1" x14ac:dyDescent="0.2">
      <c r="G8039" s="31"/>
      <c r="H8039" s="31"/>
      <c r="I8039" s="31"/>
      <c r="J8039" s="31"/>
    </row>
    <row r="8040" spans="7:10" s="29" customFormat="1" x14ac:dyDescent="0.2">
      <c r="G8040" s="31"/>
      <c r="H8040" s="31"/>
      <c r="I8040" s="31"/>
      <c r="J8040" s="31"/>
    </row>
    <row r="8041" spans="7:10" s="29" customFormat="1" x14ac:dyDescent="0.2">
      <c r="G8041" s="31"/>
      <c r="H8041" s="31"/>
      <c r="I8041" s="31"/>
      <c r="J8041" s="31"/>
    </row>
    <row r="8042" spans="7:10" s="29" customFormat="1" x14ac:dyDescent="0.2">
      <c r="G8042" s="31"/>
      <c r="H8042" s="31"/>
      <c r="I8042" s="31"/>
      <c r="J8042" s="31"/>
    </row>
    <row r="8043" spans="7:10" s="29" customFormat="1" x14ac:dyDescent="0.2">
      <c r="G8043" s="31"/>
      <c r="H8043" s="31"/>
      <c r="I8043" s="31"/>
      <c r="J8043" s="31"/>
    </row>
    <row r="8044" spans="7:10" s="29" customFormat="1" x14ac:dyDescent="0.2">
      <c r="G8044" s="31"/>
      <c r="H8044" s="31"/>
      <c r="I8044" s="31"/>
      <c r="J8044" s="31"/>
    </row>
    <row r="8045" spans="7:10" s="29" customFormat="1" x14ac:dyDescent="0.2">
      <c r="G8045" s="31"/>
      <c r="H8045" s="31"/>
      <c r="I8045" s="31"/>
      <c r="J8045" s="31"/>
    </row>
    <row r="8046" spans="7:10" s="29" customFormat="1" x14ac:dyDescent="0.2">
      <c r="G8046" s="31"/>
      <c r="H8046" s="31"/>
      <c r="I8046" s="31"/>
      <c r="J8046" s="31"/>
    </row>
    <row r="8047" spans="7:10" s="29" customFormat="1" x14ac:dyDescent="0.2">
      <c r="G8047" s="31"/>
      <c r="H8047" s="31"/>
      <c r="I8047" s="31"/>
      <c r="J8047" s="31"/>
    </row>
    <row r="8048" spans="7:10" s="29" customFormat="1" x14ac:dyDescent="0.2">
      <c r="G8048" s="31"/>
      <c r="H8048" s="31"/>
      <c r="I8048" s="31"/>
      <c r="J8048" s="31"/>
    </row>
    <row r="8049" spans="7:10" s="29" customFormat="1" x14ac:dyDescent="0.2">
      <c r="G8049" s="31"/>
      <c r="H8049" s="31"/>
      <c r="I8049" s="31"/>
      <c r="J8049" s="31"/>
    </row>
    <row r="8050" spans="7:10" s="29" customFormat="1" x14ac:dyDescent="0.2">
      <c r="G8050" s="31"/>
      <c r="H8050" s="31"/>
      <c r="I8050" s="31"/>
      <c r="J8050" s="31"/>
    </row>
    <row r="8051" spans="7:10" s="29" customFormat="1" x14ac:dyDescent="0.2">
      <c r="G8051" s="31"/>
      <c r="H8051" s="31"/>
      <c r="I8051" s="31"/>
      <c r="J8051" s="31"/>
    </row>
    <row r="8052" spans="7:10" s="29" customFormat="1" x14ac:dyDescent="0.2">
      <c r="G8052" s="31"/>
      <c r="H8052" s="31"/>
      <c r="I8052" s="31"/>
      <c r="J8052" s="31"/>
    </row>
    <row r="8053" spans="7:10" s="29" customFormat="1" x14ac:dyDescent="0.2">
      <c r="G8053" s="31"/>
      <c r="H8053" s="31"/>
      <c r="I8053" s="31"/>
      <c r="J8053" s="31"/>
    </row>
    <row r="8054" spans="7:10" s="29" customFormat="1" x14ac:dyDescent="0.2">
      <c r="G8054" s="31"/>
      <c r="H8054" s="31"/>
      <c r="I8054" s="31"/>
      <c r="J8054" s="31"/>
    </row>
    <row r="8055" spans="7:10" s="29" customFormat="1" x14ac:dyDescent="0.2">
      <c r="G8055" s="31"/>
      <c r="H8055" s="31"/>
      <c r="I8055" s="31"/>
      <c r="J8055" s="31"/>
    </row>
    <row r="8056" spans="7:10" s="29" customFormat="1" x14ac:dyDescent="0.2">
      <c r="G8056" s="31"/>
      <c r="H8056" s="31"/>
      <c r="I8056" s="31"/>
      <c r="J8056" s="31"/>
    </row>
    <row r="8057" spans="7:10" s="29" customFormat="1" x14ac:dyDescent="0.2">
      <c r="G8057" s="31"/>
      <c r="H8057" s="31"/>
      <c r="I8057" s="31"/>
      <c r="J8057" s="31"/>
    </row>
    <row r="8058" spans="7:10" s="29" customFormat="1" x14ac:dyDescent="0.2">
      <c r="G8058" s="31"/>
      <c r="H8058" s="31"/>
      <c r="I8058" s="31"/>
      <c r="J8058" s="31"/>
    </row>
    <row r="8059" spans="7:10" s="29" customFormat="1" x14ac:dyDescent="0.2">
      <c r="G8059" s="31"/>
      <c r="H8059" s="31"/>
      <c r="I8059" s="31"/>
      <c r="J8059" s="31"/>
    </row>
    <row r="8060" spans="7:10" s="29" customFormat="1" x14ac:dyDescent="0.2">
      <c r="G8060" s="31"/>
      <c r="H8060" s="31"/>
      <c r="I8060" s="31"/>
      <c r="J8060" s="31"/>
    </row>
    <row r="8061" spans="7:10" s="29" customFormat="1" x14ac:dyDescent="0.2">
      <c r="G8061" s="31"/>
      <c r="H8061" s="31"/>
      <c r="I8061" s="31"/>
      <c r="J8061" s="31"/>
    </row>
    <row r="8062" spans="7:10" s="29" customFormat="1" x14ac:dyDescent="0.2">
      <c r="G8062" s="31"/>
      <c r="H8062" s="31"/>
      <c r="I8062" s="31"/>
      <c r="J8062" s="31"/>
    </row>
    <row r="8063" spans="7:10" s="29" customFormat="1" x14ac:dyDescent="0.2">
      <c r="G8063" s="31"/>
      <c r="H8063" s="31"/>
      <c r="I8063" s="31"/>
      <c r="J8063" s="31"/>
    </row>
    <row r="8064" spans="7:10" s="29" customFormat="1" x14ac:dyDescent="0.2">
      <c r="G8064" s="31"/>
      <c r="H8064" s="31"/>
      <c r="I8064" s="31"/>
      <c r="J8064" s="31"/>
    </row>
    <row r="8065" spans="7:10" s="29" customFormat="1" x14ac:dyDescent="0.2">
      <c r="G8065" s="31"/>
      <c r="H8065" s="31"/>
      <c r="I8065" s="31"/>
      <c r="J8065" s="31"/>
    </row>
    <row r="8066" spans="7:10" s="29" customFormat="1" x14ac:dyDescent="0.2">
      <c r="G8066" s="31"/>
      <c r="H8066" s="31"/>
      <c r="I8066" s="31"/>
      <c r="J8066" s="31"/>
    </row>
    <row r="8067" spans="7:10" s="29" customFormat="1" x14ac:dyDescent="0.2">
      <c r="G8067" s="31"/>
      <c r="H8067" s="31"/>
      <c r="I8067" s="31"/>
      <c r="J8067" s="31"/>
    </row>
    <row r="8068" spans="7:10" s="29" customFormat="1" x14ac:dyDescent="0.2">
      <c r="G8068" s="31"/>
      <c r="H8068" s="31"/>
      <c r="I8068" s="31"/>
      <c r="J8068" s="31"/>
    </row>
    <row r="8069" spans="7:10" s="29" customFormat="1" x14ac:dyDescent="0.2">
      <c r="G8069" s="31"/>
      <c r="H8069" s="31"/>
      <c r="I8069" s="31"/>
      <c r="J8069" s="31"/>
    </row>
    <row r="8070" spans="7:10" s="29" customFormat="1" x14ac:dyDescent="0.2">
      <c r="G8070" s="31"/>
      <c r="H8070" s="31"/>
      <c r="I8070" s="31"/>
      <c r="J8070" s="31"/>
    </row>
    <row r="8071" spans="7:10" s="29" customFormat="1" x14ac:dyDescent="0.2">
      <c r="G8071" s="31"/>
      <c r="H8071" s="31"/>
      <c r="I8071" s="31"/>
      <c r="J8071" s="31"/>
    </row>
    <row r="8072" spans="7:10" s="29" customFormat="1" x14ac:dyDescent="0.2">
      <c r="G8072" s="31"/>
      <c r="H8072" s="31"/>
      <c r="I8072" s="31"/>
      <c r="J8072" s="31"/>
    </row>
    <row r="8073" spans="7:10" s="29" customFormat="1" x14ac:dyDescent="0.2">
      <c r="G8073" s="31"/>
      <c r="H8073" s="31"/>
      <c r="I8073" s="31"/>
      <c r="J8073" s="31"/>
    </row>
    <row r="8074" spans="7:10" s="29" customFormat="1" x14ac:dyDescent="0.2">
      <c r="G8074" s="31"/>
      <c r="H8074" s="31"/>
      <c r="I8074" s="31"/>
      <c r="J8074" s="31"/>
    </row>
    <row r="8075" spans="7:10" s="29" customFormat="1" x14ac:dyDescent="0.2">
      <c r="G8075" s="31"/>
      <c r="H8075" s="31"/>
      <c r="I8075" s="31"/>
      <c r="J8075" s="31"/>
    </row>
    <row r="8076" spans="7:10" s="29" customFormat="1" x14ac:dyDescent="0.2">
      <c r="G8076" s="31"/>
      <c r="H8076" s="31"/>
      <c r="I8076" s="31"/>
      <c r="J8076" s="31"/>
    </row>
    <row r="8077" spans="7:10" s="29" customFormat="1" x14ac:dyDescent="0.2">
      <c r="G8077" s="31"/>
      <c r="H8077" s="31"/>
      <c r="I8077" s="31"/>
      <c r="J8077" s="31"/>
    </row>
    <row r="8078" spans="7:10" s="29" customFormat="1" x14ac:dyDescent="0.2">
      <c r="G8078" s="31"/>
      <c r="H8078" s="31"/>
      <c r="I8078" s="31"/>
      <c r="J8078" s="31"/>
    </row>
    <row r="8079" spans="7:10" s="29" customFormat="1" x14ac:dyDescent="0.2">
      <c r="G8079" s="31"/>
      <c r="H8079" s="31"/>
      <c r="I8079" s="31"/>
      <c r="J8079" s="31"/>
    </row>
    <row r="8080" spans="7:10" s="29" customFormat="1" x14ac:dyDescent="0.2">
      <c r="G8080" s="31"/>
      <c r="H8080" s="31"/>
      <c r="I8080" s="31"/>
      <c r="J8080" s="31"/>
    </row>
    <row r="8081" spans="7:10" s="29" customFormat="1" x14ac:dyDescent="0.2">
      <c r="G8081" s="31"/>
      <c r="H8081" s="31"/>
      <c r="I8081" s="31"/>
      <c r="J8081" s="31"/>
    </row>
    <row r="8082" spans="7:10" s="29" customFormat="1" x14ac:dyDescent="0.2">
      <c r="G8082" s="31"/>
      <c r="H8082" s="31"/>
      <c r="I8082" s="31"/>
      <c r="J8082" s="31"/>
    </row>
    <row r="8083" spans="7:10" s="29" customFormat="1" x14ac:dyDescent="0.2">
      <c r="G8083" s="31"/>
      <c r="H8083" s="31"/>
      <c r="I8083" s="31"/>
      <c r="J8083" s="31"/>
    </row>
    <row r="8084" spans="7:10" s="29" customFormat="1" x14ac:dyDescent="0.2">
      <c r="G8084" s="31"/>
      <c r="H8084" s="31"/>
      <c r="I8084" s="31"/>
      <c r="J8084" s="31"/>
    </row>
    <row r="8085" spans="7:10" s="29" customFormat="1" x14ac:dyDescent="0.2">
      <c r="G8085" s="31"/>
      <c r="H8085" s="31"/>
      <c r="I8085" s="31"/>
      <c r="J8085" s="31"/>
    </row>
    <row r="8086" spans="7:10" s="29" customFormat="1" x14ac:dyDescent="0.2">
      <c r="G8086" s="31"/>
      <c r="H8086" s="31"/>
      <c r="I8086" s="31"/>
      <c r="J8086" s="31"/>
    </row>
    <row r="8087" spans="7:10" s="29" customFormat="1" x14ac:dyDescent="0.2">
      <c r="G8087" s="31"/>
      <c r="H8087" s="31"/>
      <c r="I8087" s="31"/>
      <c r="J8087" s="31"/>
    </row>
    <row r="8088" spans="7:10" s="29" customFormat="1" x14ac:dyDescent="0.2">
      <c r="G8088" s="31"/>
      <c r="H8088" s="31"/>
      <c r="I8088" s="31"/>
      <c r="J8088" s="31"/>
    </row>
    <row r="8089" spans="7:10" s="29" customFormat="1" x14ac:dyDescent="0.2">
      <c r="G8089" s="31"/>
      <c r="H8089" s="31"/>
      <c r="I8089" s="31"/>
      <c r="J8089" s="31"/>
    </row>
    <row r="8090" spans="7:10" s="29" customFormat="1" x14ac:dyDescent="0.2">
      <c r="G8090" s="31"/>
      <c r="H8090" s="31"/>
      <c r="I8090" s="31"/>
      <c r="J8090" s="31"/>
    </row>
    <row r="8091" spans="7:10" s="29" customFormat="1" x14ac:dyDescent="0.2">
      <c r="G8091" s="31"/>
      <c r="H8091" s="31"/>
      <c r="I8091" s="31"/>
      <c r="J8091" s="31"/>
    </row>
    <row r="8092" spans="7:10" s="29" customFormat="1" x14ac:dyDescent="0.2">
      <c r="G8092" s="31"/>
      <c r="H8092" s="31"/>
      <c r="I8092" s="31"/>
      <c r="J8092" s="31"/>
    </row>
    <row r="8093" spans="7:10" s="29" customFormat="1" x14ac:dyDescent="0.2">
      <c r="G8093" s="31"/>
      <c r="H8093" s="31"/>
      <c r="I8093" s="31"/>
      <c r="J8093" s="31"/>
    </row>
    <row r="8094" spans="7:10" s="29" customFormat="1" x14ac:dyDescent="0.2">
      <c r="G8094" s="31"/>
      <c r="H8094" s="31"/>
      <c r="I8094" s="31"/>
      <c r="J8094" s="31"/>
    </row>
    <row r="8095" spans="7:10" s="29" customFormat="1" x14ac:dyDescent="0.2">
      <c r="G8095" s="31"/>
      <c r="H8095" s="31"/>
      <c r="I8095" s="31"/>
      <c r="J8095" s="31"/>
    </row>
    <row r="8096" spans="7:10" s="29" customFormat="1" x14ac:dyDescent="0.2">
      <c r="G8096" s="31"/>
      <c r="H8096" s="31"/>
      <c r="I8096" s="31"/>
      <c r="J8096" s="31"/>
    </row>
    <row r="8097" spans="7:10" s="29" customFormat="1" x14ac:dyDescent="0.2">
      <c r="G8097" s="31"/>
      <c r="H8097" s="31"/>
      <c r="I8097" s="31"/>
      <c r="J8097" s="31"/>
    </row>
    <row r="8098" spans="7:10" s="29" customFormat="1" x14ac:dyDescent="0.2">
      <c r="G8098" s="31"/>
      <c r="H8098" s="31"/>
      <c r="I8098" s="31"/>
      <c r="J8098" s="31"/>
    </row>
    <row r="8099" spans="7:10" s="29" customFormat="1" x14ac:dyDescent="0.2">
      <c r="G8099" s="31"/>
      <c r="H8099" s="31"/>
      <c r="I8099" s="31"/>
      <c r="J8099" s="31"/>
    </row>
    <row r="8100" spans="7:10" s="29" customFormat="1" x14ac:dyDescent="0.2">
      <c r="G8100" s="31"/>
      <c r="H8100" s="31"/>
      <c r="I8100" s="31"/>
      <c r="J8100" s="31"/>
    </row>
    <row r="8101" spans="7:10" s="29" customFormat="1" x14ac:dyDescent="0.2">
      <c r="G8101" s="31"/>
      <c r="H8101" s="31"/>
      <c r="I8101" s="31"/>
      <c r="J8101" s="31"/>
    </row>
    <row r="8102" spans="7:10" s="29" customFormat="1" x14ac:dyDescent="0.2">
      <c r="G8102" s="31"/>
      <c r="H8102" s="31"/>
      <c r="I8102" s="31"/>
      <c r="J8102" s="31"/>
    </row>
    <row r="8103" spans="7:10" s="29" customFormat="1" x14ac:dyDescent="0.2">
      <c r="G8103" s="31"/>
      <c r="H8103" s="31"/>
      <c r="I8103" s="31"/>
      <c r="J8103" s="31"/>
    </row>
    <row r="8104" spans="7:10" s="29" customFormat="1" x14ac:dyDescent="0.2">
      <c r="G8104" s="31"/>
      <c r="H8104" s="31"/>
      <c r="I8104" s="31"/>
      <c r="J8104" s="31"/>
    </row>
    <row r="8105" spans="7:10" s="29" customFormat="1" x14ac:dyDescent="0.2">
      <c r="G8105" s="31"/>
      <c r="H8105" s="31"/>
      <c r="I8105" s="31"/>
      <c r="J8105" s="31"/>
    </row>
    <row r="8106" spans="7:10" s="29" customFormat="1" x14ac:dyDescent="0.2">
      <c r="G8106" s="31"/>
      <c r="H8106" s="31"/>
      <c r="I8106" s="31"/>
      <c r="J8106" s="31"/>
    </row>
    <row r="8107" spans="7:10" s="29" customFormat="1" x14ac:dyDescent="0.2">
      <c r="G8107" s="31"/>
      <c r="H8107" s="31"/>
      <c r="I8107" s="31"/>
      <c r="J8107" s="31"/>
    </row>
    <row r="8108" spans="7:10" s="29" customFormat="1" x14ac:dyDescent="0.2">
      <c r="G8108" s="31"/>
      <c r="H8108" s="31"/>
      <c r="I8108" s="31"/>
      <c r="J8108" s="31"/>
    </row>
    <row r="8109" spans="7:10" s="29" customFormat="1" x14ac:dyDescent="0.2">
      <c r="G8109" s="31"/>
      <c r="H8109" s="31"/>
      <c r="I8109" s="31"/>
      <c r="J8109" s="31"/>
    </row>
    <row r="8110" spans="7:10" s="29" customFormat="1" x14ac:dyDescent="0.2">
      <c r="G8110" s="31"/>
      <c r="H8110" s="31"/>
      <c r="I8110" s="31"/>
      <c r="J8110" s="31"/>
    </row>
    <row r="8111" spans="7:10" s="29" customFormat="1" x14ac:dyDescent="0.2">
      <c r="G8111" s="31"/>
      <c r="H8111" s="31"/>
      <c r="I8111" s="31"/>
      <c r="J8111" s="31"/>
    </row>
    <row r="8112" spans="7:10" s="29" customFormat="1" x14ac:dyDescent="0.2">
      <c r="G8112" s="31"/>
      <c r="H8112" s="31"/>
      <c r="I8112" s="31"/>
      <c r="J8112" s="31"/>
    </row>
    <row r="8113" spans="7:10" s="29" customFormat="1" x14ac:dyDescent="0.2">
      <c r="G8113" s="31"/>
      <c r="H8113" s="31"/>
      <c r="I8113" s="31"/>
      <c r="J8113" s="31"/>
    </row>
    <row r="8114" spans="7:10" s="29" customFormat="1" x14ac:dyDescent="0.2">
      <c r="G8114" s="31"/>
      <c r="H8114" s="31"/>
      <c r="I8114" s="31"/>
      <c r="J8114" s="31"/>
    </row>
    <row r="8115" spans="7:10" s="29" customFormat="1" x14ac:dyDescent="0.2">
      <c r="G8115" s="31"/>
      <c r="H8115" s="31"/>
      <c r="I8115" s="31"/>
      <c r="J8115" s="31"/>
    </row>
    <row r="8116" spans="7:10" s="29" customFormat="1" x14ac:dyDescent="0.2">
      <c r="G8116" s="31"/>
      <c r="H8116" s="31"/>
      <c r="I8116" s="31"/>
      <c r="J8116" s="31"/>
    </row>
    <row r="8117" spans="7:10" s="29" customFormat="1" x14ac:dyDescent="0.2">
      <c r="G8117" s="31"/>
      <c r="H8117" s="31"/>
      <c r="I8117" s="31"/>
      <c r="J8117" s="31"/>
    </row>
    <row r="8118" spans="7:10" s="29" customFormat="1" x14ac:dyDescent="0.2">
      <c r="G8118" s="31"/>
      <c r="H8118" s="31"/>
      <c r="I8118" s="31"/>
      <c r="J8118" s="31"/>
    </row>
    <row r="8119" spans="7:10" s="29" customFormat="1" x14ac:dyDescent="0.2">
      <c r="G8119" s="31"/>
      <c r="H8119" s="31"/>
      <c r="I8119" s="31"/>
      <c r="J8119" s="31"/>
    </row>
    <row r="8120" spans="7:10" s="29" customFormat="1" x14ac:dyDescent="0.2">
      <c r="G8120" s="31"/>
      <c r="H8120" s="31"/>
      <c r="I8120" s="31"/>
      <c r="J8120" s="31"/>
    </row>
    <row r="8121" spans="7:10" s="29" customFormat="1" x14ac:dyDescent="0.2">
      <c r="G8121" s="31"/>
      <c r="H8121" s="31"/>
      <c r="I8121" s="31"/>
      <c r="J8121" s="31"/>
    </row>
    <row r="8122" spans="7:10" s="29" customFormat="1" x14ac:dyDescent="0.2">
      <c r="G8122" s="31"/>
      <c r="H8122" s="31"/>
      <c r="I8122" s="31"/>
      <c r="J8122" s="31"/>
    </row>
    <row r="8123" spans="7:10" s="29" customFormat="1" x14ac:dyDescent="0.2">
      <c r="G8123" s="31"/>
      <c r="H8123" s="31"/>
      <c r="I8123" s="31"/>
      <c r="J8123" s="31"/>
    </row>
    <row r="8124" spans="7:10" s="29" customFormat="1" x14ac:dyDescent="0.2">
      <c r="G8124" s="31"/>
      <c r="H8124" s="31"/>
      <c r="I8124" s="31"/>
      <c r="J8124" s="31"/>
    </row>
    <row r="8125" spans="7:10" s="29" customFormat="1" x14ac:dyDescent="0.2">
      <c r="G8125" s="31"/>
      <c r="H8125" s="31"/>
      <c r="I8125" s="31"/>
      <c r="J8125" s="31"/>
    </row>
    <row r="8126" spans="7:10" s="29" customFormat="1" x14ac:dyDescent="0.2">
      <c r="G8126" s="31"/>
      <c r="H8126" s="31"/>
      <c r="I8126" s="31"/>
      <c r="J8126" s="31"/>
    </row>
    <row r="8127" spans="7:10" s="29" customFormat="1" x14ac:dyDescent="0.2">
      <c r="G8127" s="31"/>
      <c r="H8127" s="31"/>
      <c r="I8127" s="31"/>
      <c r="J8127" s="31"/>
    </row>
    <row r="8128" spans="7:10" s="29" customFormat="1" x14ac:dyDescent="0.2">
      <c r="G8128" s="31"/>
      <c r="H8128" s="31"/>
      <c r="I8128" s="31"/>
      <c r="J8128" s="31"/>
    </row>
    <row r="8129" spans="7:10" s="29" customFormat="1" x14ac:dyDescent="0.2">
      <c r="G8129" s="31"/>
      <c r="H8129" s="31"/>
      <c r="I8129" s="31"/>
      <c r="J8129" s="31"/>
    </row>
    <row r="8130" spans="7:10" s="29" customFormat="1" x14ac:dyDescent="0.2">
      <c r="G8130" s="31"/>
      <c r="H8130" s="31"/>
      <c r="I8130" s="31"/>
      <c r="J8130" s="31"/>
    </row>
    <row r="8131" spans="7:10" s="29" customFormat="1" x14ac:dyDescent="0.2">
      <c r="G8131" s="31"/>
      <c r="H8131" s="31"/>
      <c r="I8131" s="31"/>
      <c r="J8131" s="31"/>
    </row>
    <row r="8132" spans="7:10" s="29" customFormat="1" x14ac:dyDescent="0.2">
      <c r="G8132" s="31"/>
      <c r="H8132" s="31"/>
      <c r="I8132" s="31"/>
      <c r="J8132" s="31"/>
    </row>
    <row r="8133" spans="7:10" s="29" customFormat="1" x14ac:dyDescent="0.2">
      <c r="G8133" s="31"/>
      <c r="H8133" s="31"/>
      <c r="I8133" s="31"/>
      <c r="J8133" s="31"/>
    </row>
    <row r="8134" spans="7:10" s="29" customFormat="1" x14ac:dyDescent="0.2">
      <c r="G8134" s="31"/>
      <c r="H8134" s="31"/>
      <c r="I8134" s="31"/>
      <c r="J8134" s="31"/>
    </row>
    <row r="8135" spans="7:10" s="29" customFormat="1" x14ac:dyDescent="0.2">
      <c r="G8135" s="31"/>
      <c r="H8135" s="31"/>
      <c r="I8135" s="31"/>
      <c r="J8135" s="31"/>
    </row>
    <row r="8136" spans="7:10" s="29" customFormat="1" x14ac:dyDescent="0.2">
      <c r="G8136" s="31"/>
      <c r="H8136" s="31"/>
      <c r="I8136" s="31"/>
      <c r="J8136" s="31"/>
    </row>
    <row r="8137" spans="7:10" s="29" customFormat="1" x14ac:dyDescent="0.2">
      <c r="G8137" s="31"/>
      <c r="H8137" s="31"/>
      <c r="I8137" s="31"/>
      <c r="J8137" s="31"/>
    </row>
    <row r="8138" spans="7:10" s="29" customFormat="1" x14ac:dyDescent="0.2">
      <c r="G8138" s="31"/>
      <c r="H8138" s="31"/>
      <c r="I8138" s="31"/>
      <c r="J8138" s="31"/>
    </row>
    <row r="8139" spans="7:10" s="29" customFormat="1" x14ac:dyDescent="0.2">
      <c r="G8139" s="31"/>
      <c r="H8139" s="31"/>
      <c r="I8139" s="31"/>
      <c r="J8139" s="31"/>
    </row>
    <row r="8140" spans="7:10" s="29" customFormat="1" x14ac:dyDescent="0.2">
      <c r="G8140" s="31"/>
      <c r="H8140" s="31"/>
      <c r="I8140" s="31"/>
      <c r="J8140" s="31"/>
    </row>
    <row r="8141" spans="7:10" s="29" customFormat="1" x14ac:dyDescent="0.2">
      <c r="G8141" s="31"/>
      <c r="H8141" s="31"/>
      <c r="I8141" s="31"/>
      <c r="J8141" s="31"/>
    </row>
    <row r="8142" spans="7:10" s="29" customFormat="1" x14ac:dyDescent="0.2">
      <c r="G8142" s="31"/>
      <c r="H8142" s="31"/>
      <c r="I8142" s="31"/>
      <c r="J8142" s="31"/>
    </row>
    <row r="8143" spans="7:10" s="29" customFormat="1" x14ac:dyDescent="0.2">
      <c r="G8143" s="31"/>
      <c r="H8143" s="31"/>
      <c r="I8143" s="31"/>
      <c r="J8143" s="31"/>
    </row>
    <row r="8144" spans="7:10" s="29" customFormat="1" x14ac:dyDescent="0.2">
      <c r="G8144" s="31"/>
      <c r="H8144" s="31"/>
      <c r="I8144" s="31"/>
      <c r="J8144" s="31"/>
    </row>
    <row r="8145" spans="7:10" s="29" customFormat="1" x14ac:dyDescent="0.2">
      <c r="G8145" s="31"/>
      <c r="H8145" s="31"/>
      <c r="I8145" s="31"/>
      <c r="J8145" s="31"/>
    </row>
    <row r="8146" spans="7:10" s="29" customFormat="1" x14ac:dyDescent="0.2">
      <c r="G8146" s="31"/>
      <c r="H8146" s="31"/>
      <c r="I8146" s="31"/>
      <c r="J8146" s="31"/>
    </row>
    <row r="8147" spans="7:10" s="29" customFormat="1" x14ac:dyDescent="0.2">
      <c r="G8147" s="31"/>
      <c r="H8147" s="31"/>
      <c r="I8147" s="31"/>
      <c r="J8147" s="31"/>
    </row>
    <row r="8148" spans="7:10" s="29" customFormat="1" x14ac:dyDescent="0.2">
      <c r="G8148" s="31"/>
      <c r="H8148" s="31"/>
      <c r="I8148" s="31"/>
      <c r="J8148" s="31"/>
    </row>
    <row r="8149" spans="7:10" s="29" customFormat="1" x14ac:dyDescent="0.2">
      <c r="G8149" s="31"/>
      <c r="H8149" s="31"/>
      <c r="I8149" s="31"/>
      <c r="J8149" s="31"/>
    </row>
    <row r="8150" spans="7:10" s="29" customFormat="1" x14ac:dyDescent="0.2">
      <c r="G8150" s="31"/>
      <c r="H8150" s="31"/>
      <c r="I8150" s="31"/>
      <c r="J8150" s="31"/>
    </row>
    <row r="8151" spans="7:10" s="29" customFormat="1" x14ac:dyDescent="0.2">
      <c r="G8151" s="31"/>
      <c r="H8151" s="31"/>
      <c r="I8151" s="31"/>
      <c r="J8151" s="31"/>
    </row>
    <row r="8152" spans="7:10" s="29" customFormat="1" x14ac:dyDescent="0.2">
      <c r="G8152" s="31"/>
      <c r="H8152" s="31"/>
      <c r="I8152" s="31"/>
      <c r="J8152" s="31"/>
    </row>
    <row r="8153" spans="7:10" s="29" customFormat="1" x14ac:dyDescent="0.2">
      <c r="G8153" s="31"/>
      <c r="H8153" s="31"/>
      <c r="I8153" s="31"/>
      <c r="J8153" s="31"/>
    </row>
    <row r="8154" spans="7:10" s="29" customFormat="1" x14ac:dyDescent="0.2">
      <c r="G8154" s="31"/>
      <c r="H8154" s="31"/>
      <c r="I8154" s="31"/>
      <c r="J8154" s="31"/>
    </row>
    <row r="8155" spans="7:10" s="29" customFormat="1" x14ac:dyDescent="0.2">
      <c r="G8155" s="31"/>
      <c r="H8155" s="31"/>
      <c r="I8155" s="31"/>
      <c r="J8155" s="31"/>
    </row>
    <row r="8156" spans="7:10" s="29" customFormat="1" x14ac:dyDescent="0.2">
      <c r="G8156" s="31"/>
      <c r="H8156" s="31"/>
      <c r="I8156" s="31"/>
      <c r="J8156" s="31"/>
    </row>
    <row r="8157" spans="7:10" s="29" customFormat="1" x14ac:dyDescent="0.2">
      <c r="G8157" s="31"/>
      <c r="H8157" s="31"/>
      <c r="I8157" s="31"/>
      <c r="J8157" s="31"/>
    </row>
    <row r="8158" spans="7:10" s="29" customFormat="1" x14ac:dyDescent="0.2">
      <c r="G8158" s="31"/>
      <c r="H8158" s="31"/>
      <c r="I8158" s="31"/>
      <c r="J8158" s="31"/>
    </row>
    <row r="8159" spans="7:10" s="29" customFormat="1" x14ac:dyDescent="0.2">
      <c r="G8159" s="31"/>
      <c r="H8159" s="31"/>
      <c r="I8159" s="31"/>
      <c r="J8159" s="31"/>
    </row>
    <row r="8160" spans="7:10" s="29" customFormat="1" x14ac:dyDescent="0.2">
      <c r="G8160" s="31"/>
      <c r="H8160" s="31"/>
      <c r="I8160" s="31"/>
      <c r="J8160" s="31"/>
    </row>
    <row r="8161" spans="7:10" s="29" customFormat="1" x14ac:dyDescent="0.2">
      <c r="G8161" s="31"/>
      <c r="H8161" s="31"/>
      <c r="I8161" s="31"/>
      <c r="J8161" s="31"/>
    </row>
    <row r="8162" spans="7:10" s="29" customFormat="1" x14ac:dyDescent="0.2">
      <c r="G8162" s="31"/>
      <c r="H8162" s="31"/>
      <c r="I8162" s="31"/>
      <c r="J8162" s="31"/>
    </row>
    <row r="8163" spans="7:10" s="29" customFormat="1" x14ac:dyDescent="0.2">
      <c r="G8163" s="31"/>
      <c r="H8163" s="31"/>
      <c r="I8163" s="31"/>
      <c r="J8163" s="31"/>
    </row>
    <row r="8164" spans="7:10" s="29" customFormat="1" x14ac:dyDescent="0.2">
      <c r="G8164" s="31"/>
      <c r="H8164" s="31"/>
      <c r="I8164" s="31"/>
      <c r="J8164" s="31"/>
    </row>
    <row r="8165" spans="7:10" s="29" customFormat="1" x14ac:dyDescent="0.2">
      <c r="G8165" s="31"/>
      <c r="H8165" s="31"/>
      <c r="I8165" s="31"/>
      <c r="J8165" s="31"/>
    </row>
    <row r="8166" spans="7:10" s="29" customFormat="1" x14ac:dyDescent="0.2">
      <c r="G8166" s="31"/>
      <c r="H8166" s="31"/>
      <c r="I8166" s="31"/>
      <c r="J8166" s="31"/>
    </row>
    <row r="8167" spans="7:10" s="29" customFormat="1" x14ac:dyDescent="0.2">
      <c r="G8167" s="31"/>
      <c r="H8167" s="31"/>
      <c r="I8167" s="31"/>
      <c r="J8167" s="31"/>
    </row>
    <row r="8168" spans="7:10" s="29" customFormat="1" x14ac:dyDescent="0.2">
      <c r="G8168" s="31"/>
      <c r="H8168" s="31"/>
      <c r="I8168" s="31"/>
      <c r="J8168" s="31"/>
    </row>
    <row r="8169" spans="7:10" s="29" customFormat="1" x14ac:dyDescent="0.2">
      <c r="G8169" s="31"/>
      <c r="H8169" s="31"/>
      <c r="I8169" s="31"/>
      <c r="J8169" s="31"/>
    </row>
    <row r="8170" spans="7:10" s="29" customFormat="1" x14ac:dyDescent="0.2">
      <c r="G8170" s="31"/>
      <c r="H8170" s="31"/>
      <c r="I8170" s="31"/>
      <c r="J8170" s="31"/>
    </row>
    <row r="8171" spans="7:10" s="29" customFormat="1" x14ac:dyDescent="0.2">
      <c r="G8171" s="31"/>
      <c r="H8171" s="31"/>
      <c r="I8171" s="31"/>
      <c r="J8171" s="31"/>
    </row>
    <row r="8172" spans="7:10" s="29" customFormat="1" x14ac:dyDescent="0.2">
      <c r="G8172" s="31"/>
      <c r="H8172" s="31"/>
      <c r="I8172" s="31"/>
      <c r="J8172" s="31"/>
    </row>
    <row r="8173" spans="7:10" s="29" customFormat="1" x14ac:dyDescent="0.2">
      <c r="G8173" s="31"/>
      <c r="H8173" s="31"/>
      <c r="I8173" s="31"/>
      <c r="J8173" s="31"/>
    </row>
    <row r="8174" spans="7:10" s="29" customFormat="1" x14ac:dyDescent="0.2">
      <c r="G8174" s="31"/>
      <c r="H8174" s="31"/>
      <c r="I8174" s="31"/>
      <c r="J8174" s="31"/>
    </row>
    <row r="8175" spans="7:10" s="29" customFormat="1" x14ac:dyDescent="0.2">
      <c r="G8175" s="31"/>
      <c r="H8175" s="31"/>
      <c r="I8175" s="31"/>
      <c r="J8175" s="31"/>
    </row>
    <row r="8176" spans="7:10" s="29" customFormat="1" x14ac:dyDescent="0.2">
      <c r="G8176" s="31"/>
      <c r="H8176" s="31"/>
      <c r="I8176" s="31"/>
      <c r="J8176" s="31"/>
    </row>
    <row r="8177" spans="7:10" s="29" customFormat="1" x14ac:dyDescent="0.2">
      <c r="G8177" s="31"/>
      <c r="H8177" s="31"/>
      <c r="I8177" s="31"/>
      <c r="J8177" s="31"/>
    </row>
    <row r="8178" spans="7:10" s="29" customFormat="1" x14ac:dyDescent="0.2">
      <c r="G8178" s="31"/>
      <c r="H8178" s="31"/>
      <c r="I8178" s="31"/>
      <c r="J8178" s="31"/>
    </row>
    <row r="8179" spans="7:10" s="29" customFormat="1" x14ac:dyDescent="0.2">
      <c r="G8179" s="31"/>
      <c r="H8179" s="31"/>
      <c r="I8179" s="31"/>
      <c r="J8179" s="31"/>
    </row>
    <row r="8180" spans="7:10" s="29" customFormat="1" x14ac:dyDescent="0.2">
      <c r="G8180" s="31"/>
      <c r="H8180" s="31"/>
      <c r="I8180" s="31"/>
      <c r="J8180" s="31"/>
    </row>
    <row r="8181" spans="7:10" s="29" customFormat="1" x14ac:dyDescent="0.2">
      <c r="G8181" s="31"/>
      <c r="H8181" s="31"/>
      <c r="I8181" s="31"/>
      <c r="J8181" s="31"/>
    </row>
    <row r="8182" spans="7:10" s="29" customFormat="1" x14ac:dyDescent="0.2">
      <c r="G8182" s="31"/>
      <c r="H8182" s="31"/>
      <c r="I8182" s="31"/>
      <c r="J8182" s="31"/>
    </row>
    <row r="8183" spans="7:10" s="29" customFormat="1" x14ac:dyDescent="0.2">
      <c r="G8183" s="31"/>
      <c r="H8183" s="31"/>
      <c r="I8183" s="31"/>
      <c r="J8183" s="31"/>
    </row>
    <row r="8184" spans="7:10" s="29" customFormat="1" x14ac:dyDescent="0.2">
      <c r="G8184" s="31"/>
      <c r="H8184" s="31"/>
      <c r="I8184" s="31"/>
      <c r="J8184" s="31"/>
    </row>
    <row r="8185" spans="7:10" s="29" customFormat="1" x14ac:dyDescent="0.2">
      <c r="G8185" s="31"/>
      <c r="H8185" s="31"/>
      <c r="I8185" s="31"/>
      <c r="J8185" s="31"/>
    </row>
    <row r="8186" spans="7:10" s="29" customFormat="1" x14ac:dyDescent="0.2">
      <c r="G8186" s="31"/>
      <c r="H8186" s="31"/>
      <c r="I8186" s="31"/>
      <c r="J8186" s="31"/>
    </row>
    <row r="8187" spans="7:10" s="29" customFormat="1" x14ac:dyDescent="0.2">
      <c r="G8187" s="31"/>
      <c r="H8187" s="31"/>
      <c r="I8187" s="31"/>
      <c r="J8187" s="31"/>
    </row>
    <row r="8188" spans="7:10" s="29" customFormat="1" x14ac:dyDescent="0.2">
      <c r="G8188" s="31"/>
      <c r="H8188" s="31"/>
      <c r="I8188" s="31"/>
      <c r="J8188" s="31"/>
    </row>
    <row r="8189" spans="7:10" s="29" customFormat="1" x14ac:dyDescent="0.2">
      <c r="G8189" s="31"/>
      <c r="H8189" s="31"/>
      <c r="I8189" s="31"/>
      <c r="J8189" s="31"/>
    </row>
    <row r="8190" spans="7:10" s="29" customFormat="1" x14ac:dyDescent="0.2">
      <c r="G8190" s="31"/>
      <c r="H8190" s="31"/>
      <c r="I8190" s="31"/>
      <c r="J8190" s="31"/>
    </row>
    <row r="8191" spans="7:10" s="29" customFormat="1" x14ac:dyDescent="0.2">
      <c r="G8191" s="31"/>
      <c r="H8191" s="31"/>
      <c r="I8191" s="31"/>
      <c r="J8191" s="31"/>
    </row>
    <row r="8192" spans="7:10" s="29" customFormat="1" x14ac:dyDescent="0.2">
      <c r="G8192" s="31"/>
      <c r="H8192" s="31"/>
      <c r="I8192" s="31"/>
      <c r="J8192" s="31"/>
    </row>
    <row r="8193" spans="7:10" s="29" customFormat="1" x14ac:dyDescent="0.2">
      <c r="G8193" s="31"/>
      <c r="H8193" s="31"/>
      <c r="I8193" s="31"/>
      <c r="J8193" s="31"/>
    </row>
    <row r="8194" spans="7:10" s="29" customFormat="1" x14ac:dyDescent="0.2">
      <c r="G8194" s="31"/>
      <c r="H8194" s="31"/>
      <c r="I8194" s="31"/>
      <c r="J8194" s="31"/>
    </row>
    <row r="8195" spans="7:10" s="29" customFormat="1" x14ac:dyDescent="0.2">
      <c r="G8195" s="31"/>
      <c r="H8195" s="31"/>
      <c r="I8195" s="31"/>
      <c r="J8195" s="31"/>
    </row>
    <row r="8196" spans="7:10" s="29" customFormat="1" x14ac:dyDescent="0.2">
      <c r="G8196" s="31"/>
      <c r="H8196" s="31"/>
      <c r="I8196" s="31"/>
      <c r="J8196" s="31"/>
    </row>
    <row r="8197" spans="7:10" s="29" customFormat="1" x14ac:dyDescent="0.2">
      <c r="G8197" s="31"/>
      <c r="H8197" s="31"/>
      <c r="I8197" s="31"/>
      <c r="J8197" s="31"/>
    </row>
    <row r="8198" spans="7:10" s="29" customFormat="1" x14ac:dyDescent="0.2">
      <c r="G8198" s="31"/>
      <c r="H8198" s="31"/>
      <c r="I8198" s="31"/>
      <c r="J8198" s="31"/>
    </row>
    <row r="8199" spans="7:10" s="29" customFormat="1" x14ac:dyDescent="0.2">
      <c r="G8199" s="31"/>
      <c r="H8199" s="31"/>
      <c r="I8199" s="31"/>
      <c r="J8199" s="31"/>
    </row>
    <row r="8200" spans="7:10" s="29" customFormat="1" x14ac:dyDescent="0.2">
      <c r="G8200" s="31"/>
      <c r="H8200" s="31"/>
      <c r="I8200" s="31"/>
      <c r="J8200" s="31"/>
    </row>
    <row r="8201" spans="7:10" s="29" customFormat="1" x14ac:dyDescent="0.2">
      <c r="G8201" s="31"/>
      <c r="H8201" s="31"/>
      <c r="I8201" s="31"/>
      <c r="J8201" s="31"/>
    </row>
    <row r="8202" spans="7:10" s="29" customFormat="1" x14ac:dyDescent="0.2">
      <c r="G8202" s="31"/>
      <c r="H8202" s="31"/>
      <c r="I8202" s="31"/>
      <c r="J8202" s="31"/>
    </row>
    <row r="8203" spans="7:10" s="29" customFormat="1" x14ac:dyDescent="0.2">
      <c r="G8203" s="31"/>
      <c r="H8203" s="31"/>
      <c r="I8203" s="31"/>
      <c r="J8203" s="31"/>
    </row>
    <row r="8204" spans="7:10" s="29" customFormat="1" x14ac:dyDescent="0.2">
      <c r="G8204" s="31"/>
      <c r="H8204" s="31"/>
      <c r="I8204" s="31"/>
      <c r="J8204" s="31"/>
    </row>
    <row r="8205" spans="7:10" s="29" customFormat="1" x14ac:dyDescent="0.2">
      <c r="G8205" s="31"/>
      <c r="H8205" s="31"/>
      <c r="I8205" s="31"/>
      <c r="J8205" s="31"/>
    </row>
    <row r="8206" spans="7:10" s="29" customFormat="1" x14ac:dyDescent="0.2">
      <c r="G8206" s="31"/>
      <c r="H8206" s="31"/>
      <c r="I8206" s="31"/>
      <c r="J8206" s="31"/>
    </row>
    <row r="8207" spans="7:10" s="29" customFormat="1" x14ac:dyDescent="0.2">
      <c r="G8207" s="31"/>
      <c r="H8207" s="31"/>
      <c r="I8207" s="31"/>
      <c r="J8207" s="31"/>
    </row>
    <row r="8208" spans="7:10" s="29" customFormat="1" x14ac:dyDescent="0.2">
      <c r="G8208" s="31"/>
      <c r="H8208" s="31"/>
      <c r="I8208" s="31"/>
      <c r="J8208" s="31"/>
    </row>
    <row r="8209" spans="7:10" s="29" customFormat="1" x14ac:dyDescent="0.2">
      <c r="G8209" s="31"/>
      <c r="H8209" s="31"/>
      <c r="I8209" s="31"/>
      <c r="J8209" s="31"/>
    </row>
    <row r="8210" spans="7:10" s="29" customFormat="1" x14ac:dyDescent="0.2">
      <c r="G8210" s="31"/>
      <c r="H8210" s="31"/>
      <c r="I8210" s="31"/>
      <c r="J8210" s="31"/>
    </row>
    <row r="8211" spans="7:10" s="29" customFormat="1" x14ac:dyDescent="0.2">
      <c r="G8211" s="31"/>
      <c r="H8211" s="31"/>
      <c r="I8211" s="31"/>
      <c r="J8211" s="31"/>
    </row>
    <row r="8212" spans="7:10" s="29" customFormat="1" x14ac:dyDescent="0.2">
      <c r="G8212" s="31"/>
      <c r="H8212" s="31"/>
      <c r="I8212" s="31"/>
      <c r="J8212" s="31"/>
    </row>
    <row r="8213" spans="7:10" s="29" customFormat="1" x14ac:dyDescent="0.2">
      <c r="G8213" s="31"/>
      <c r="H8213" s="31"/>
      <c r="I8213" s="31"/>
      <c r="J8213" s="31"/>
    </row>
    <row r="8214" spans="7:10" s="29" customFormat="1" x14ac:dyDescent="0.2">
      <c r="G8214" s="31"/>
      <c r="H8214" s="31"/>
      <c r="I8214" s="31"/>
      <c r="J8214" s="31"/>
    </row>
    <row r="8215" spans="7:10" s="29" customFormat="1" x14ac:dyDescent="0.2">
      <c r="G8215" s="31"/>
      <c r="H8215" s="31"/>
      <c r="I8215" s="31"/>
      <c r="J8215" s="31"/>
    </row>
    <row r="8216" spans="7:10" s="29" customFormat="1" x14ac:dyDescent="0.2">
      <c r="G8216" s="31"/>
      <c r="H8216" s="31"/>
      <c r="I8216" s="31"/>
      <c r="J8216" s="31"/>
    </row>
    <row r="8217" spans="7:10" s="29" customFormat="1" x14ac:dyDescent="0.2">
      <c r="G8217" s="31"/>
      <c r="H8217" s="31"/>
      <c r="I8217" s="31"/>
      <c r="J8217" s="31"/>
    </row>
    <row r="8218" spans="7:10" s="29" customFormat="1" x14ac:dyDescent="0.2">
      <c r="G8218" s="31"/>
      <c r="H8218" s="31"/>
      <c r="I8218" s="31"/>
      <c r="J8218" s="31"/>
    </row>
    <row r="8219" spans="7:10" s="29" customFormat="1" x14ac:dyDescent="0.2">
      <c r="G8219" s="31"/>
      <c r="H8219" s="31"/>
      <c r="I8219" s="31"/>
      <c r="J8219" s="31"/>
    </row>
    <row r="8220" spans="7:10" s="29" customFormat="1" x14ac:dyDescent="0.2">
      <c r="G8220" s="31"/>
      <c r="H8220" s="31"/>
      <c r="I8220" s="31"/>
      <c r="J8220" s="31"/>
    </row>
    <row r="8221" spans="7:10" s="29" customFormat="1" x14ac:dyDescent="0.2">
      <c r="G8221" s="31"/>
      <c r="H8221" s="31"/>
      <c r="I8221" s="31"/>
      <c r="J8221" s="31"/>
    </row>
    <row r="8222" spans="7:10" s="29" customFormat="1" x14ac:dyDescent="0.2">
      <c r="G8222" s="31"/>
      <c r="H8222" s="31"/>
      <c r="I8222" s="31"/>
      <c r="J8222" s="31"/>
    </row>
    <row r="8223" spans="7:10" s="29" customFormat="1" x14ac:dyDescent="0.2">
      <c r="G8223" s="31"/>
      <c r="H8223" s="31"/>
      <c r="I8223" s="31"/>
      <c r="J8223" s="31"/>
    </row>
    <row r="8224" spans="7:10" s="29" customFormat="1" x14ac:dyDescent="0.2">
      <c r="G8224" s="31"/>
      <c r="H8224" s="31"/>
      <c r="I8224" s="31"/>
      <c r="J8224" s="31"/>
    </row>
    <row r="8225" spans="7:10" s="29" customFormat="1" x14ac:dyDescent="0.2">
      <c r="G8225" s="31"/>
      <c r="H8225" s="31"/>
      <c r="I8225" s="31"/>
      <c r="J8225" s="31"/>
    </row>
    <row r="8226" spans="7:10" s="29" customFormat="1" x14ac:dyDescent="0.2">
      <c r="G8226" s="31"/>
      <c r="H8226" s="31"/>
      <c r="I8226" s="31"/>
      <c r="J8226" s="31"/>
    </row>
    <row r="8227" spans="7:10" s="29" customFormat="1" x14ac:dyDescent="0.2">
      <c r="G8227" s="31"/>
      <c r="H8227" s="31"/>
      <c r="I8227" s="31"/>
      <c r="J8227" s="31"/>
    </row>
    <row r="8228" spans="7:10" s="29" customFormat="1" x14ac:dyDescent="0.2">
      <c r="G8228" s="31"/>
      <c r="H8228" s="31"/>
      <c r="I8228" s="31"/>
      <c r="J8228" s="31"/>
    </row>
    <row r="8229" spans="7:10" s="29" customFormat="1" x14ac:dyDescent="0.2">
      <c r="G8229" s="31"/>
      <c r="H8229" s="31"/>
      <c r="I8229" s="31"/>
      <c r="J8229" s="31"/>
    </row>
    <row r="8230" spans="7:10" s="29" customFormat="1" x14ac:dyDescent="0.2">
      <c r="G8230" s="31"/>
      <c r="H8230" s="31"/>
      <c r="I8230" s="31"/>
      <c r="J8230" s="31"/>
    </row>
    <row r="8231" spans="7:10" s="29" customFormat="1" x14ac:dyDescent="0.2">
      <c r="G8231" s="31"/>
      <c r="H8231" s="31"/>
      <c r="I8231" s="31"/>
      <c r="J8231" s="31"/>
    </row>
    <row r="8232" spans="7:10" s="29" customFormat="1" x14ac:dyDescent="0.2">
      <c r="G8232" s="31"/>
      <c r="H8232" s="31"/>
      <c r="I8232" s="31"/>
      <c r="J8232" s="31"/>
    </row>
    <row r="8233" spans="7:10" s="29" customFormat="1" x14ac:dyDescent="0.2">
      <c r="G8233" s="31"/>
      <c r="H8233" s="31"/>
      <c r="I8233" s="31"/>
      <c r="J8233" s="31"/>
    </row>
    <row r="8234" spans="7:10" s="29" customFormat="1" x14ac:dyDescent="0.2">
      <c r="G8234" s="31"/>
      <c r="H8234" s="31"/>
      <c r="I8234" s="31"/>
      <c r="J8234" s="31"/>
    </row>
    <row r="8235" spans="7:10" s="29" customFormat="1" x14ac:dyDescent="0.2">
      <c r="G8235" s="31"/>
      <c r="H8235" s="31"/>
      <c r="I8235" s="31"/>
      <c r="J8235" s="31"/>
    </row>
    <row r="8236" spans="7:10" s="29" customFormat="1" x14ac:dyDescent="0.2">
      <c r="G8236" s="31"/>
      <c r="H8236" s="31"/>
      <c r="I8236" s="31"/>
      <c r="J8236" s="31"/>
    </row>
    <row r="8237" spans="7:10" s="29" customFormat="1" x14ac:dyDescent="0.2">
      <c r="G8237" s="31"/>
      <c r="H8237" s="31"/>
      <c r="I8237" s="31"/>
      <c r="J8237" s="31"/>
    </row>
    <row r="8238" spans="7:10" s="29" customFormat="1" x14ac:dyDescent="0.2">
      <c r="G8238" s="31"/>
      <c r="H8238" s="31"/>
      <c r="I8238" s="31"/>
      <c r="J8238" s="31"/>
    </row>
    <row r="8239" spans="7:10" s="29" customFormat="1" x14ac:dyDescent="0.2">
      <c r="G8239" s="31"/>
      <c r="H8239" s="31"/>
      <c r="I8239" s="31"/>
      <c r="J8239" s="31"/>
    </row>
    <row r="8240" spans="7:10" s="29" customFormat="1" x14ac:dyDescent="0.2">
      <c r="G8240" s="31"/>
      <c r="H8240" s="31"/>
      <c r="I8240" s="31"/>
      <c r="J8240" s="31"/>
    </row>
    <row r="8241" spans="7:10" s="29" customFormat="1" x14ac:dyDescent="0.2">
      <c r="G8241" s="31"/>
      <c r="H8241" s="31"/>
      <c r="I8241" s="31"/>
      <c r="J8241" s="31"/>
    </row>
    <row r="8242" spans="7:10" s="29" customFormat="1" x14ac:dyDescent="0.2">
      <c r="G8242" s="31"/>
      <c r="H8242" s="31"/>
      <c r="I8242" s="31"/>
      <c r="J8242" s="31"/>
    </row>
    <row r="8243" spans="7:10" s="29" customFormat="1" x14ac:dyDescent="0.2">
      <c r="G8243" s="31"/>
      <c r="H8243" s="31"/>
      <c r="I8243" s="31"/>
      <c r="J8243" s="31"/>
    </row>
    <row r="8244" spans="7:10" s="29" customFormat="1" x14ac:dyDescent="0.2">
      <c r="G8244" s="31"/>
      <c r="H8244" s="31"/>
      <c r="I8244" s="31"/>
      <c r="J8244" s="31"/>
    </row>
    <row r="8245" spans="7:10" s="29" customFormat="1" x14ac:dyDescent="0.2">
      <c r="G8245" s="31"/>
      <c r="H8245" s="31"/>
      <c r="I8245" s="31"/>
      <c r="J8245" s="31"/>
    </row>
    <row r="8246" spans="7:10" s="29" customFormat="1" x14ac:dyDescent="0.2">
      <c r="G8246" s="31"/>
      <c r="H8246" s="31"/>
      <c r="I8246" s="31"/>
      <c r="J8246" s="31"/>
    </row>
    <row r="8247" spans="7:10" s="29" customFormat="1" x14ac:dyDescent="0.2">
      <c r="G8247" s="31"/>
      <c r="H8247" s="31"/>
      <c r="I8247" s="31"/>
      <c r="J8247" s="31"/>
    </row>
    <row r="8248" spans="7:10" s="29" customFormat="1" x14ac:dyDescent="0.2">
      <c r="G8248" s="31"/>
      <c r="H8248" s="31"/>
      <c r="I8248" s="31"/>
      <c r="J8248" s="31"/>
    </row>
    <row r="8249" spans="7:10" s="29" customFormat="1" x14ac:dyDescent="0.2">
      <c r="G8249" s="31"/>
      <c r="H8249" s="31"/>
      <c r="I8249" s="31"/>
      <c r="J8249" s="31"/>
    </row>
    <row r="8250" spans="7:10" s="29" customFormat="1" x14ac:dyDescent="0.2">
      <c r="G8250" s="31"/>
      <c r="H8250" s="31"/>
      <c r="I8250" s="31"/>
      <c r="J8250" s="31"/>
    </row>
    <row r="8251" spans="7:10" s="29" customFormat="1" x14ac:dyDescent="0.2">
      <c r="G8251" s="31"/>
      <c r="H8251" s="31"/>
      <c r="I8251" s="31"/>
      <c r="J8251" s="31"/>
    </row>
    <row r="8252" spans="7:10" s="29" customFormat="1" x14ac:dyDescent="0.2">
      <c r="G8252" s="31"/>
      <c r="H8252" s="31"/>
      <c r="I8252" s="31"/>
      <c r="J8252" s="31"/>
    </row>
    <row r="8253" spans="7:10" s="29" customFormat="1" x14ac:dyDescent="0.2">
      <c r="G8253" s="31"/>
      <c r="H8253" s="31"/>
      <c r="I8253" s="31"/>
      <c r="J8253" s="31"/>
    </row>
    <row r="8254" spans="7:10" s="29" customFormat="1" x14ac:dyDescent="0.2">
      <c r="G8254" s="31"/>
      <c r="H8254" s="31"/>
      <c r="I8254" s="31"/>
      <c r="J8254" s="31"/>
    </row>
    <row r="8255" spans="7:10" s="29" customFormat="1" x14ac:dyDescent="0.2">
      <c r="G8255" s="31"/>
      <c r="H8255" s="31"/>
      <c r="I8255" s="31"/>
      <c r="J8255" s="31"/>
    </row>
    <row r="8256" spans="7:10" s="29" customFormat="1" x14ac:dyDescent="0.2">
      <c r="G8256" s="31"/>
      <c r="H8256" s="31"/>
      <c r="I8256" s="31"/>
      <c r="J8256" s="31"/>
    </row>
    <row r="8257" spans="7:10" s="29" customFormat="1" x14ac:dyDescent="0.2">
      <c r="G8257" s="31"/>
      <c r="H8257" s="31"/>
      <c r="I8257" s="31"/>
      <c r="J8257" s="31"/>
    </row>
    <row r="8258" spans="7:10" s="29" customFormat="1" x14ac:dyDescent="0.2">
      <c r="G8258" s="31"/>
      <c r="H8258" s="31"/>
      <c r="I8258" s="31"/>
      <c r="J8258" s="31"/>
    </row>
    <row r="8259" spans="7:10" s="29" customFormat="1" x14ac:dyDescent="0.2">
      <c r="G8259" s="31"/>
      <c r="H8259" s="31"/>
      <c r="I8259" s="31"/>
      <c r="J8259" s="31"/>
    </row>
    <row r="8260" spans="7:10" s="29" customFormat="1" x14ac:dyDescent="0.2">
      <c r="G8260" s="31"/>
      <c r="H8260" s="31"/>
      <c r="I8260" s="31"/>
      <c r="J8260" s="31"/>
    </row>
    <row r="8261" spans="7:10" s="29" customFormat="1" x14ac:dyDescent="0.2">
      <c r="G8261" s="31"/>
      <c r="H8261" s="31"/>
      <c r="I8261" s="31"/>
      <c r="J8261" s="31"/>
    </row>
    <row r="8262" spans="7:10" s="29" customFormat="1" x14ac:dyDescent="0.2">
      <c r="G8262" s="31"/>
      <c r="H8262" s="31"/>
      <c r="I8262" s="31"/>
      <c r="J8262" s="31"/>
    </row>
    <row r="8263" spans="7:10" s="29" customFormat="1" x14ac:dyDescent="0.2">
      <c r="G8263" s="31"/>
      <c r="H8263" s="31"/>
      <c r="I8263" s="31"/>
      <c r="J8263" s="31"/>
    </row>
    <row r="8264" spans="7:10" s="29" customFormat="1" x14ac:dyDescent="0.2">
      <c r="G8264" s="31"/>
      <c r="H8264" s="31"/>
      <c r="I8264" s="31"/>
      <c r="J8264" s="31"/>
    </row>
    <row r="8265" spans="7:10" s="29" customFormat="1" x14ac:dyDescent="0.2">
      <c r="G8265" s="31"/>
      <c r="H8265" s="31"/>
      <c r="I8265" s="31"/>
      <c r="J8265" s="31"/>
    </row>
    <row r="8266" spans="7:10" s="29" customFormat="1" x14ac:dyDescent="0.2">
      <c r="G8266" s="31"/>
      <c r="H8266" s="31"/>
      <c r="I8266" s="31"/>
      <c r="J8266" s="31"/>
    </row>
    <row r="8267" spans="7:10" s="29" customFormat="1" x14ac:dyDescent="0.2">
      <c r="G8267" s="31"/>
      <c r="H8267" s="31"/>
      <c r="I8267" s="31"/>
      <c r="J8267" s="31"/>
    </row>
    <row r="8268" spans="7:10" s="29" customFormat="1" x14ac:dyDescent="0.2">
      <c r="G8268" s="31"/>
      <c r="H8268" s="31"/>
      <c r="I8268" s="31"/>
      <c r="J8268" s="31"/>
    </row>
    <row r="8269" spans="7:10" s="29" customFormat="1" x14ac:dyDescent="0.2">
      <c r="G8269" s="31"/>
      <c r="H8269" s="31"/>
      <c r="I8269" s="31"/>
      <c r="J8269" s="31"/>
    </row>
    <row r="8270" spans="7:10" s="29" customFormat="1" x14ac:dyDescent="0.2">
      <c r="G8270" s="31"/>
      <c r="H8270" s="31"/>
      <c r="I8270" s="31"/>
      <c r="J8270" s="31"/>
    </row>
    <row r="8271" spans="7:10" s="29" customFormat="1" x14ac:dyDescent="0.2">
      <c r="G8271" s="31"/>
      <c r="H8271" s="31"/>
      <c r="I8271" s="31"/>
      <c r="J8271" s="31"/>
    </row>
    <row r="8272" spans="7:10" s="29" customFormat="1" x14ac:dyDescent="0.2">
      <c r="G8272" s="31"/>
      <c r="H8272" s="31"/>
      <c r="I8272" s="31"/>
      <c r="J8272" s="31"/>
    </row>
    <row r="8273" spans="7:10" s="29" customFormat="1" x14ac:dyDescent="0.2">
      <c r="G8273" s="31"/>
      <c r="H8273" s="31"/>
      <c r="I8273" s="31"/>
      <c r="J8273" s="31"/>
    </row>
    <row r="8274" spans="7:10" s="29" customFormat="1" x14ac:dyDescent="0.2">
      <c r="G8274" s="31"/>
      <c r="H8274" s="31"/>
      <c r="I8274" s="31"/>
      <c r="J8274" s="31"/>
    </row>
    <row r="8275" spans="7:10" s="29" customFormat="1" x14ac:dyDescent="0.2">
      <c r="G8275" s="31"/>
      <c r="H8275" s="31"/>
      <c r="I8275" s="31"/>
      <c r="J8275" s="31"/>
    </row>
    <row r="8276" spans="7:10" s="29" customFormat="1" x14ac:dyDescent="0.2">
      <c r="G8276" s="31"/>
      <c r="H8276" s="31"/>
      <c r="I8276" s="31"/>
      <c r="J8276" s="31"/>
    </row>
    <row r="8277" spans="7:10" s="29" customFormat="1" x14ac:dyDescent="0.2">
      <c r="G8277" s="31"/>
      <c r="H8277" s="31"/>
      <c r="I8277" s="31"/>
      <c r="J8277" s="31"/>
    </row>
    <row r="8278" spans="7:10" s="29" customFormat="1" x14ac:dyDescent="0.2">
      <c r="G8278" s="31"/>
      <c r="H8278" s="31"/>
      <c r="I8278" s="31"/>
      <c r="J8278" s="31"/>
    </row>
    <row r="8279" spans="7:10" s="29" customFormat="1" x14ac:dyDescent="0.2">
      <c r="G8279" s="31"/>
      <c r="H8279" s="31"/>
      <c r="I8279" s="31"/>
      <c r="J8279" s="31"/>
    </row>
    <row r="8280" spans="7:10" s="29" customFormat="1" x14ac:dyDescent="0.2">
      <c r="G8280" s="31"/>
      <c r="H8280" s="31"/>
      <c r="I8280" s="31"/>
      <c r="J8280" s="31"/>
    </row>
    <row r="8281" spans="7:10" s="29" customFormat="1" x14ac:dyDescent="0.2">
      <c r="G8281" s="31"/>
      <c r="H8281" s="31"/>
      <c r="I8281" s="31"/>
      <c r="J8281" s="31"/>
    </row>
    <row r="8282" spans="7:10" s="29" customFormat="1" x14ac:dyDescent="0.2">
      <c r="G8282" s="31"/>
      <c r="H8282" s="31"/>
      <c r="I8282" s="31"/>
      <c r="J8282" s="31"/>
    </row>
    <row r="8283" spans="7:10" s="29" customFormat="1" x14ac:dyDescent="0.2">
      <c r="G8283" s="31"/>
      <c r="H8283" s="31"/>
      <c r="I8283" s="31"/>
      <c r="J8283" s="31"/>
    </row>
    <row r="8284" spans="7:10" s="29" customFormat="1" x14ac:dyDescent="0.2">
      <c r="G8284" s="31"/>
      <c r="H8284" s="31"/>
      <c r="I8284" s="31"/>
      <c r="J8284" s="31"/>
    </row>
    <row r="8285" spans="7:10" s="29" customFormat="1" x14ac:dyDescent="0.2">
      <c r="G8285" s="31"/>
      <c r="H8285" s="31"/>
      <c r="I8285" s="31"/>
      <c r="J8285" s="31"/>
    </row>
    <row r="8286" spans="7:10" s="29" customFormat="1" x14ac:dyDescent="0.2">
      <c r="G8286" s="31"/>
      <c r="H8286" s="31"/>
      <c r="I8286" s="31"/>
      <c r="J8286" s="31"/>
    </row>
    <row r="8287" spans="7:10" s="29" customFormat="1" x14ac:dyDescent="0.2">
      <c r="G8287" s="31"/>
      <c r="H8287" s="31"/>
      <c r="I8287" s="31"/>
      <c r="J8287" s="31"/>
    </row>
    <row r="8288" spans="7:10" s="29" customFormat="1" x14ac:dyDescent="0.2">
      <c r="G8288" s="31"/>
      <c r="H8288" s="31"/>
      <c r="I8288" s="31"/>
      <c r="J8288" s="31"/>
    </row>
    <row r="8289" spans="7:10" s="29" customFormat="1" x14ac:dyDescent="0.2">
      <c r="G8289" s="31"/>
      <c r="H8289" s="31"/>
      <c r="I8289" s="31"/>
      <c r="J8289" s="31"/>
    </row>
    <row r="8290" spans="7:10" s="29" customFormat="1" x14ac:dyDescent="0.2">
      <c r="G8290" s="31"/>
      <c r="H8290" s="31"/>
      <c r="I8290" s="31"/>
      <c r="J8290" s="31"/>
    </row>
    <row r="8291" spans="7:10" s="29" customFormat="1" x14ac:dyDescent="0.2">
      <c r="G8291" s="31"/>
      <c r="H8291" s="31"/>
      <c r="I8291" s="31"/>
      <c r="J8291" s="31"/>
    </row>
    <row r="8292" spans="7:10" s="29" customFormat="1" x14ac:dyDescent="0.2">
      <c r="G8292" s="31"/>
      <c r="H8292" s="31"/>
      <c r="I8292" s="31"/>
      <c r="J8292" s="31"/>
    </row>
    <row r="8293" spans="7:10" s="29" customFormat="1" x14ac:dyDescent="0.2">
      <c r="G8293" s="31"/>
      <c r="H8293" s="31"/>
      <c r="I8293" s="31"/>
      <c r="J8293" s="31"/>
    </row>
    <row r="8294" spans="7:10" s="29" customFormat="1" x14ac:dyDescent="0.2">
      <c r="G8294" s="31"/>
      <c r="H8294" s="31"/>
      <c r="I8294" s="31"/>
      <c r="J8294" s="31"/>
    </row>
    <row r="8295" spans="7:10" s="29" customFormat="1" x14ac:dyDescent="0.2">
      <c r="G8295" s="31"/>
      <c r="H8295" s="31"/>
      <c r="I8295" s="31"/>
      <c r="J8295" s="31"/>
    </row>
    <row r="8296" spans="7:10" s="29" customFormat="1" x14ac:dyDescent="0.2">
      <c r="G8296" s="31"/>
      <c r="H8296" s="31"/>
      <c r="I8296" s="31"/>
      <c r="J8296" s="31"/>
    </row>
    <row r="8297" spans="7:10" s="29" customFormat="1" x14ac:dyDescent="0.2">
      <c r="G8297" s="31"/>
      <c r="H8297" s="31"/>
      <c r="I8297" s="31"/>
      <c r="J8297" s="31"/>
    </row>
    <row r="8298" spans="7:10" s="29" customFormat="1" x14ac:dyDescent="0.2">
      <c r="G8298" s="31"/>
      <c r="H8298" s="31"/>
      <c r="I8298" s="31"/>
      <c r="J8298" s="31"/>
    </row>
    <row r="8299" spans="7:10" s="29" customFormat="1" x14ac:dyDescent="0.2">
      <c r="G8299" s="31"/>
      <c r="H8299" s="31"/>
      <c r="I8299" s="31"/>
      <c r="J8299" s="31"/>
    </row>
    <row r="8300" spans="7:10" s="29" customFormat="1" x14ac:dyDescent="0.2">
      <c r="G8300" s="31"/>
      <c r="H8300" s="31"/>
      <c r="I8300" s="31"/>
      <c r="J8300" s="31"/>
    </row>
    <row r="8301" spans="7:10" s="29" customFormat="1" x14ac:dyDescent="0.2">
      <c r="G8301" s="31"/>
      <c r="H8301" s="31"/>
      <c r="I8301" s="31"/>
      <c r="J8301" s="31"/>
    </row>
    <row r="8302" spans="7:10" s="29" customFormat="1" x14ac:dyDescent="0.2">
      <c r="G8302" s="31"/>
      <c r="H8302" s="31"/>
      <c r="I8302" s="31"/>
      <c r="J8302" s="31"/>
    </row>
    <row r="8303" spans="7:10" s="29" customFormat="1" x14ac:dyDescent="0.2">
      <c r="G8303" s="31"/>
      <c r="H8303" s="31"/>
      <c r="I8303" s="31"/>
      <c r="J8303" s="31"/>
    </row>
    <row r="8304" spans="7:10" s="29" customFormat="1" x14ac:dyDescent="0.2">
      <c r="G8304" s="31"/>
      <c r="H8304" s="31"/>
      <c r="I8304" s="31"/>
      <c r="J8304" s="31"/>
    </row>
    <row r="8305" spans="7:10" s="29" customFormat="1" x14ac:dyDescent="0.2">
      <c r="G8305" s="31"/>
      <c r="H8305" s="31"/>
      <c r="I8305" s="31"/>
      <c r="J8305" s="31"/>
    </row>
    <row r="8306" spans="7:10" s="29" customFormat="1" x14ac:dyDescent="0.2">
      <c r="G8306" s="31"/>
      <c r="H8306" s="31"/>
      <c r="I8306" s="31"/>
      <c r="J8306" s="31"/>
    </row>
    <row r="8307" spans="7:10" s="29" customFormat="1" x14ac:dyDescent="0.2">
      <c r="G8307" s="31"/>
      <c r="H8307" s="31"/>
      <c r="I8307" s="31"/>
      <c r="J8307" s="31"/>
    </row>
    <row r="8308" spans="7:10" s="29" customFormat="1" x14ac:dyDescent="0.2">
      <c r="G8308" s="31"/>
      <c r="H8308" s="31"/>
      <c r="I8308" s="31"/>
      <c r="J8308" s="31"/>
    </row>
    <row r="8309" spans="7:10" s="29" customFormat="1" x14ac:dyDescent="0.2">
      <c r="G8309" s="31"/>
      <c r="H8309" s="31"/>
      <c r="I8309" s="31"/>
      <c r="J8309" s="31"/>
    </row>
    <row r="8310" spans="7:10" s="29" customFormat="1" x14ac:dyDescent="0.2">
      <c r="G8310" s="31"/>
      <c r="H8310" s="31"/>
      <c r="I8310" s="31"/>
      <c r="J8310" s="31"/>
    </row>
    <row r="8311" spans="7:10" s="29" customFormat="1" x14ac:dyDescent="0.2">
      <c r="G8311" s="31"/>
      <c r="H8311" s="31"/>
      <c r="I8311" s="31"/>
      <c r="J8311" s="31"/>
    </row>
    <row r="8312" spans="7:10" s="29" customFormat="1" x14ac:dyDescent="0.2">
      <c r="G8312" s="31"/>
      <c r="H8312" s="31"/>
      <c r="I8312" s="31"/>
      <c r="J8312" s="31"/>
    </row>
    <row r="8313" spans="7:10" s="29" customFormat="1" x14ac:dyDescent="0.2">
      <c r="G8313" s="31"/>
      <c r="H8313" s="31"/>
      <c r="I8313" s="31"/>
      <c r="J8313" s="31"/>
    </row>
    <row r="8314" spans="7:10" s="29" customFormat="1" x14ac:dyDescent="0.2">
      <c r="G8314" s="31"/>
      <c r="H8314" s="31"/>
      <c r="I8314" s="31"/>
      <c r="J8314" s="31"/>
    </row>
    <row r="8315" spans="7:10" s="29" customFormat="1" x14ac:dyDescent="0.2">
      <c r="G8315" s="31"/>
      <c r="H8315" s="31"/>
      <c r="I8315" s="31"/>
      <c r="J8315" s="31"/>
    </row>
    <row r="8316" spans="7:10" s="29" customFormat="1" x14ac:dyDescent="0.2">
      <c r="G8316" s="31"/>
      <c r="H8316" s="31"/>
      <c r="I8316" s="31"/>
      <c r="J8316" s="31"/>
    </row>
    <row r="8317" spans="7:10" s="29" customFormat="1" x14ac:dyDescent="0.2">
      <c r="G8317" s="31"/>
      <c r="H8317" s="31"/>
      <c r="I8317" s="31"/>
      <c r="J8317" s="31"/>
    </row>
    <row r="8318" spans="7:10" s="29" customFormat="1" x14ac:dyDescent="0.2">
      <c r="G8318" s="31"/>
      <c r="H8318" s="31"/>
      <c r="I8318" s="31"/>
      <c r="J8318" s="31"/>
    </row>
    <row r="8319" spans="7:10" s="29" customFormat="1" x14ac:dyDescent="0.2">
      <c r="G8319" s="31"/>
      <c r="H8319" s="31"/>
      <c r="I8319" s="31"/>
      <c r="J8319" s="31"/>
    </row>
    <row r="8320" spans="7:10" s="29" customFormat="1" x14ac:dyDescent="0.2">
      <c r="G8320" s="31"/>
      <c r="H8320" s="31"/>
      <c r="I8320" s="31"/>
      <c r="J8320" s="31"/>
    </row>
    <row r="8321" spans="7:10" s="29" customFormat="1" x14ac:dyDescent="0.2">
      <c r="G8321" s="31"/>
      <c r="H8321" s="31"/>
      <c r="I8321" s="31"/>
      <c r="J8321" s="31"/>
    </row>
    <row r="8322" spans="7:10" s="29" customFormat="1" x14ac:dyDescent="0.2">
      <c r="G8322" s="31"/>
      <c r="H8322" s="31"/>
      <c r="I8322" s="31"/>
      <c r="J8322" s="31"/>
    </row>
    <row r="8323" spans="7:10" s="29" customFormat="1" x14ac:dyDescent="0.2">
      <c r="G8323" s="31"/>
      <c r="H8323" s="31"/>
      <c r="I8323" s="31"/>
      <c r="J8323" s="31"/>
    </row>
    <row r="8324" spans="7:10" s="29" customFormat="1" x14ac:dyDescent="0.2">
      <c r="G8324" s="31"/>
      <c r="H8324" s="31"/>
      <c r="I8324" s="31"/>
      <c r="J8324" s="31"/>
    </row>
    <row r="8325" spans="7:10" s="29" customFormat="1" x14ac:dyDescent="0.2">
      <c r="G8325" s="31"/>
      <c r="H8325" s="31"/>
      <c r="I8325" s="31"/>
      <c r="J8325" s="31"/>
    </row>
    <row r="8326" spans="7:10" s="29" customFormat="1" x14ac:dyDescent="0.2">
      <c r="G8326" s="31"/>
      <c r="H8326" s="31"/>
      <c r="I8326" s="31"/>
      <c r="J8326" s="31"/>
    </row>
    <row r="8327" spans="7:10" s="29" customFormat="1" x14ac:dyDescent="0.2">
      <c r="G8327" s="31"/>
      <c r="H8327" s="31"/>
      <c r="I8327" s="31"/>
      <c r="J8327" s="31"/>
    </row>
    <row r="8328" spans="7:10" s="29" customFormat="1" x14ac:dyDescent="0.2">
      <c r="G8328" s="31"/>
      <c r="H8328" s="31"/>
      <c r="I8328" s="31"/>
      <c r="J8328" s="31"/>
    </row>
    <row r="8329" spans="7:10" s="29" customFormat="1" x14ac:dyDescent="0.2">
      <c r="G8329" s="31"/>
      <c r="H8329" s="31"/>
      <c r="I8329" s="31"/>
      <c r="J8329" s="31"/>
    </row>
    <row r="8330" spans="7:10" s="29" customFormat="1" x14ac:dyDescent="0.2">
      <c r="G8330" s="31"/>
      <c r="H8330" s="31"/>
      <c r="I8330" s="31"/>
      <c r="J8330" s="31"/>
    </row>
    <row r="8331" spans="7:10" s="29" customFormat="1" x14ac:dyDescent="0.2">
      <c r="G8331" s="31"/>
      <c r="H8331" s="31"/>
      <c r="I8331" s="31"/>
      <c r="J8331" s="31"/>
    </row>
    <row r="8332" spans="7:10" s="29" customFormat="1" x14ac:dyDescent="0.2">
      <c r="G8332" s="31"/>
      <c r="H8332" s="31"/>
      <c r="I8332" s="31"/>
      <c r="J8332" s="31"/>
    </row>
    <row r="8333" spans="7:10" s="29" customFormat="1" x14ac:dyDescent="0.2">
      <c r="G8333" s="31"/>
      <c r="H8333" s="31"/>
      <c r="I8333" s="31"/>
      <c r="J8333" s="31"/>
    </row>
    <row r="8334" spans="7:10" s="29" customFormat="1" x14ac:dyDescent="0.2">
      <c r="G8334" s="31"/>
      <c r="H8334" s="31"/>
      <c r="I8334" s="31"/>
      <c r="J8334" s="31"/>
    </row>
    <row r="8335" spans="7:10" s="29" customFormat="1" x14ac:dyDescent="0.2">
      <c r="G8335" s="31"/>
      <c r="H8335" s="31"/>
      <c r="I8335" s="31"/>
      <c r="J8335" s="31"/>
    </row>
    <row r="8336" spans="7:10" s="29" customFormat="1" x14ac:dyDescent="0.2">
      <c r="G8336" s="31"/>
      <c r="H8336" s="31"/>
      <c r="I8336" s="31"/>
      <c r="J8336" s="31"/>
    </row>
    <row r="8337" spans="7:10" s="29" customFormat="1" x14ac:dyDescent="0.2">
      <c r="G8337" s="31"/>
      <c r="H8337" s="31"/>
      <c r="I8337" s="31"/>
      <c r="J8337" s="31"/>
    </row>
    <row r="8338" spans="7:10" s="29" customFormat="1" x14ac:dyDescent="0.2">
      <c r="G8338" s="31"/>
      <c r="H8338" s="31"/>
      <c r="I8338" s="31"/>
      <c r="J8338" s="31"/>
    </row>
    <row r="8339" spans="7:10" s="29" customFormat="1" x14ac:dyDescent="0.2">
      <c r="G8339" s="31"/>
      <c r="H8339" s="31"/>
      <c r="I8339" s="31"/>
      <c r="J8339" s="31"/>
    </row>
    <row r="8340" spans="7:10" s="29" customFormat="1" x14ac:dyDescent="0.2">
      <c r="G8340" s="31"/>
      <c r="H8340" s="31"/>
      <c r="I8340" s="31"/>
      <c r="J8340" s="31"/>
    </row>
    <row r="8341" spans="7:10" s="29" customFormat="1" x14ac:dyDescent="0.2">
      <c r="G8341" s="31"/>
      <c r="H8341" s="31"/>
      <c r="I8341" s="31"/>
      <c r="J8341" s="31"/>
    </row>
    <row r="8342" spans="7:10" s="29" customFormat="1" x14ac:dyDescent="0.2">
      <c r="G8342" s="31"/>
      <c r="H8342" s="31"/>
      <c r="I8342" s="31"/>
      <c r="J8342" s="31"/>
    </row>
    <row r="8343" spans="7:10" s="29" customFormat="1" x14ac:dyDescent="0.2">
      <c r="G8343" s="31"/>
      <c r="H8343" s="31"/>
      <c r="I8343" s="31"/>
      <c r="J8343" s="31"/>
    </row>
    <row r="8344" spans="7:10" s="29" customFormat="1" x14ac:dyDescent="0.2">
      <c r="G8344" s="31"/>
      <c r="H8344" s="31"/>
      <c r="I8344" s="31"/>
      <c r="J8344" s="31"/>
    </row>
    <row r="8345" spans="7:10" s="29" customFormat="1" x14ac:dyDescent="0.2">
      <c r="G8345" s="31"/>
      <c r="H8345" s="31"/>
      <c r="I8345" s="31"/>
      <c r="J8345" s="31"/>
    </row>
    <row r="8346" spans="7:10" s="29" customFormat="1" x14ac:dyDescent="0.2">
      <c r="G8346" s="31"/>
      <c r="H8346" s="31"/>
      <c r="I8346" s="31"/>
      <c r="J8346" s="31"/>
    </row>
    <row r="8347" spans="7:10" s="29" customFormat="1" x14ac:dyDescent="0.2">
      <c r="G8347" s="31"/>
      <c r="H8347" s="31"/>
      <c r="I8347" s="31"/>
      <c r="J8347" s="31"/>
    </row>
    <row r="8348" spans="7:10" s="29" customFormat="1" x14ac:dyDescent="0.2">
      <c r="G8348" s="31"/>
      <c r="H8348" s="31"/>
      <c r="I8348" s="31"/>
      <c r="J8348" s="31"/>
    </row>
    <row r="8349" spans="7:10" s="29" customFormat="1" x14ac:dyDescent="0.2">
      <c r="G8349" s="31"/>
      <c r="H8349" s="31"/>
      <c r="I8349" s="31"/>
      <c r="J8349" s="31"/>
    </row>
    <row r="8350" spans="7:10" s="29" customFormat="1" x14ac:dyDescent="0.2">
      <c r="G8350" s="31"/>
      <c r="H8350" s="31"/>
      <c r="I8350" s="31"/>
      <c r="J8350" s="31"/>
    </row>
    <row r="8351" spans="7:10" s="29" customFormat="1" x14ac:dyDescent="0.2">
      <c r="G8351" s="31"/>
      <c r="H8351" s="31"/>
      <c r="I8351" s="31"/>
      <c r="J8351" s="31"/>
    </row>
    <row r="8352" spans="7:10" s="29" customFormat="1" x14ac:dyDescent="0.2">
      <c r="G8352" s="31"/>
      <c r="H8352" s="31"/>
      <c r="I8352" s="31"/>
      <c r="J8352" s="31"/>
    </row>
    <row r="8353" spans="7:10" s="29" customFormat="1" x14ac:dyDescent="0.2">
      <c r="G8353" s="31"/>
      <c r="H8353" s="31"/>
      <c r="I8353" s="31"/>
      <c r="J8353" s="31"/>
    </row>
    <row r="8354" spans="7:10" s="29" customFormat="1" x14ac:dyDescent="0.2">
      <c r="G8354" s="31"/>
      <c r="H8354" s="31"/>
      <c r="I8354" s="31"/>
      <c r="J8354" s="31"/>
    </row>
    <row r="8355" spans="7:10" s="29" customFormat="1" x14ac:dyDescent="0.2">
      <c r="G8355" s="31"/>
      <c r="H8355" s="31"/>
      <c r="I8355" s="31"/>
      <c r="J8355" s="31"/>
    </row>
    <row r="8356" spans="7:10" s="29" customFormat="1" x14ac:dyDescent="0.2">
      <c r="G8356" s="31"/>
      <c r="H8356" s="31"/>
      <c r="I8356" s="31"/>
      <c r="J8356" s="31"/>
    </row>
    <row r="8357" spans="7:10" s="29" customFormat="1" x14ac:dyDescent="0.2">
      <c r="G8357" s="31"/>
      <c r="H8357" s="31"/>
      <c r="I8357" s="31"/>
      <c r="J8357" s="31"/>
    </row>
    <row r="8358" spans="7:10" s="29" customFormat="1" x14ac:dyDescent="0.2">
      <c r="G8358" s="31"/>
      <c r="H8358" s="31"/>
      <c r="I8358" s="31"/>
      <c r="J8358" s="31"/>
    </row>
    <row r="8359" spans="7:10" s="29" customFormat="1" x14ac:dyDescent="0.2">
      <c r="G8359" s="31"/>
      <c r="H8359" s="31"/>
      <c r="I8359" s="31"/>
      <c r="J8359" s="31"/>
    </row>
    <row r="8360" spans="7:10" s="29" customFormat="1" x14ac:dyDescent="0.2">
      <c r="G8360" s="31"/>
      <c r="H8360" s="31"/>
      <c r="I8360" s="31"/>
      <c r="J8360" s="31"/>
    </row>
    <row r="8361" spans="7:10" s="29" customFormat="1" x14ac:dyDescent="0.2">
      <c r="G8361" s="31"/>
      <c r="H8361" s="31"/>
      <c r="I8361" s="31"/>
      <c r="J8361" s="31"/>
    </row>
    <row r="8362" spans="7:10" s="29" customFormat="1" x14ac:dyDescent="0.2">
      <c r="G8362" s="31"/>
      <c r="H8362" s="31"/>
      <c r="I8362" s="31"/>
      <c r="J8362" s="31"/>
    </row>
    <row r="8363" spans="7:10" s="29" customFormat="1" x14ac:dyDescent="0.2">
      <c r="G8363" s="31"/>
      <c r="H8363" s="31"/>
      <c r="I8363" s="31"/>
      <c r="J8363" s="31"/>
    </row>
    <row r="8364" spans="7:10" s="29" customFormat="1" x14ac:dyDescent="0.2">
      <c r="G8364" s="31"/>
      <c r="H8364" s="31"/>
      <c r="I8364" s="31"/>
      <c r="J8364" s="31"/>
    </row>
    <row r="8365" spans="7:10" s="29" customFormat="1" x14ac:dyDescent="0.2">
      <c r="G8365" s="31"/>
      <c r="H8365" s="31"/>
      <c r="I8365" s="31"/>
      <c r="J8365" s="31"/>
    </row>
    <row r="8366" spans="7:10" s="29" customFormat="1" x14ac:dyDescent="0.2">
      <c r="G8366" s="31"/>
      <c r="H8366" s="31"/>
      <c r="I8366" s="31"/>
      <c r="J8366" s="31"/>
    </row>
    <row r="8367" spans="7:10" s="29" customFormat="1" x14ac:dyDescent="0.2">
      <c r="G8367" s="31"/>
      <c r="H8367" s="31"/>
      <c r="I8367" s="31"/>
      <c r="J8367" s="31"/>
    </row>
    <row r="8368" spans="7:10" s="29" customFormat="1" x14ac:dyDescent="0.2">
      <c r="G8368" s="31"/>
      <c r="H8368" s="31"/>
      <c r="I8368" s="31"/>
      <c r="J8368" s="31"/>
    </row>
    <row r="8369" spans="7:10" s="29" customFormat="1" x14ac:dyDescent="0.2">
      <c r="G8369" s="31"/>
      <c r="H8369" s="31"/>
      <c r="I8369" s="31"/>
      <c r="J8369" s="31"/>
    </row>
    <row r="8370" spans="7:10" s="29" customFormat="1" x14ac:dyDescent="0.2">
      <c r="G8370" s="31"/>
      <c r="H8370" s="31"/>
      <c r="I8370" s="31"/>
      <c r="J8370" s="31"/>
    </row>
    <row r="8371" spans="7:10" s="29" customFormat="1" x14ac:dyDescent="0.2">
      <c r="G8371" s="31"/>
      <c r="H8371" s="31"/>
      <c r="I8371" s="31"/>
      <c r="J8371" s="31"/>
    </row>
    <row r="8372" spans="7:10" s="29" customFormat="1" x14ac:dyDescent="0.2">
      <c r="G8372" s="31"/>
      <c r="H8372" s="31"/>
      <c r="I8372" s="31"/>
      <c r="J8372" s="31"/>
    </row>
    <row r="8373" spans="7:10" s="29" customFormat="1" x14ac:dyDescent="0.2">
      <c r="G8373" s="31"/>
      <c r="H8373" s="31"/>
      <c r="I8373" s="31"/>
      <c r="J8373" s="31"/>
    </row>
    <row r="8374" spans="7:10" s="29" customFormat="1" x14ac:dyDescent="0.2">
      <c r="G8374" s="31"/>
      <c r="H8374" s="31"/>
      <c r="I8374" s="31"/>
      <c r="J8374" s="31"/>
    </row>
    <row r="8375" spans="7:10" s="29" customFormat="1" x14ac:dyDescent="0.2">
      <c r="G8375" s="31"/>
      <c r="H8375" s="31"/>
      <c r="I8375" s="31"/>
      <c r="J8375" s="31"/>
    </row>
    <row r="8376" spans="7:10" s="29" customFormat="1" x14ac:dyDescent="0.2">
      <c r="G8376" s="31"/>
      <c r="H8376" s="31"/>
      <c r="I8376" s="31"/>
      <c r="J8376" s="31"/>
    </row>
    <row r="8377" spans="7:10" s="29" customFormat="1" x14ac:dyDescent="0.2">
      <c r="G8377" s="31"/>
      <c r="H8377" s="31"/>
      <c r="I8377" s="31"/>
      <c r="J8377" s="31"/>
    </row>
    <row r="8378" spans="7:10" s="29" customFormat="1" x14ac:dyDescent="0.2">
      <c r="G8378" s="31"/>
      <c r="H8378" s="31"/>
      <c r="I8378" s="31"/>
      <c r="J8378" s="31"/>
    </row>
    <row r="8379" spans="7:10" s="29" customFormat="1" x14ac:dyDescent="0.2">
      <c r="G8379" s="31"/>
      <c r="H8379" s="31"/>
      <c r="I8379" s="31"/>
      <c r="J8379" s="31"/>
    </row>
    <row r="8380" spans="7:10" s="29" customFormat="1" x14ac:dyDescent="0.2">
      <c r="G8380" s="31"/>
      <c r="H8380" s="31"/>
      <c r="I8380" s="31"/>
      <c r="J8380" s="31"/>
    </row>
    <row r="8381" spans="7:10" s="29" customFormat="1" x14ac:dyDescent="0.2">
      <c r="G8381" s="31"/>
      <c r="H8381" s="31"/>
      <c r="I8381" s="31"/>
      <c r="J8381" s="31"/>
    </row>
    <row r="8382" spans="7:10" s="29" customFormat="1" x14ac:dyDescent="0.2">
      <c r="G8382" s="31"/>
      <c r="H8382" s="31"/>
      <c r="I8382" s="31"/>
      <c r="J8382" s="31"/>
    </row>
    <row r="8383" spans="7:10" s="29" customFormat="1" x14ac:dyDescent="0.2">
      <c r="G8383" s="31"/>
      <c r="H8383" s="31"/>
      <c r="I8383" s="31"/>
      <c r="J8383" s="31"/>
    </row>
    <row r="8384" spans="7:10" s="29" customFormat="1" x14ac:dyDescent="0.2">
      <c r="G8384" s="31"/>
      <c r="H8384" s="31"/>
      <c r="I8384" s="31"/>
      <c r="J8384" s="31"/>
    </row>
    <row r="8385" spans="7:10" s="29" customFormat="1" x14ac:dyDescent="0.2">
      <c r="G8385" s="31"/>
      <c r="H8385" s="31"/>
      <c r="I8385" s="31"/>
      <c r="J8385" s="31"/>
    </row>
    <row r="8386" spans="7:10" s="29" customFormat="1" x14ac:dyDescent="0.2">
      <c r="G8386" s="31"/>
      <c r="H8386" s="31"/>
      <c r="I8386" s="31"/>
      <c r="J8386" s="31"/>
    </row>
    <row r="8387" spans="7:10" s="29" customFormat="1" x14ac:dyDescent="0.2">
      <c r="G8387" s="31"/>
      <c r="H8387" s="31"/>
      <c r="I8387" s="31"/>
      <c r="J8387" s="31"/>
    </row>
    <row r="8388" spans="7:10" s="29" customFormat="1" x14ac:dyDescent="0.2">
      <c r="G8388" s="31"/>
      <c r="H8388" s="31"/>
      <c r="I8388" s="31"/>
      <c r="J8388" s="31"/>
    </row>
    <row r="8389" spans="7:10" s="29" customFormat="1" x14ac:dyDescent="0.2">
      <c r="G8389" s="31"/>
      <c r="H8389" s="31"/>
      <c r="I8389" s="31"/>
      <c r="J8389" s="31"/>
    </row>
    <row r="8390" spans="7:10" s="29" customFormat="1" x14ac:dyDescent="0.2">
      <c r="G8390" s="31"/>
      <c r="H8390" s="31"/>
      <c r="I8390" s="31"/>
      <c r="J8390" s="31"/>
    </row>
    <row r="8391" spans="7:10" s="29" customFormat="1" x14ac:dyDescent="0.2">
      <c r="G8391" s="31"/>
      <c r="H8391" s="31"/>
      <c r="I8391" s="31"/>
      <c r="J8391" s="31"/>
    </row>
    <row r="8392" spans="7:10" s="29" customFormat="1" x14ac:dyDescent="0.2">
      <c r="G8392" s="31"/>
      <c r="H8392" s="31"/>
      <c r="I8392" s="31"/>
      <c r="J8392" s="31"/>
    </row>
    <row r="8393" spans="7:10" s="29" customFormat="1" x14ac:dyDescent="0.2">
      <c r="G8393" s="31"/>
      <c r="H8393" s="31"/>
      <c r="I8393" s="31"/>
      <c r="J8393" s="31"/>
    </row>
    <row r="8394" spans="7:10" s="29" customFormat="1" x14ac:dyDescent="0.2">
      <c r="G8394" s="31"/>
      <c r="H8394" s="31"/>
      <c r="I8394" s="31"/>
      <c r="J8394" s="31"/>
    </row>
    <row r="8395" spans="7:10" s="29" customFormat="1" x14ac:dyDescent="0.2">
      <c r="G8395" s="31"/>
      <c r="H8395" s="31"/>
      <c r="I8395" s="31"/>
      <c r="J8395" s="31"/>
    </row>
    <row r="8396" spans="7:10" s="29" customFormat="1" x14ac:dyDescent="0.2">
      <c r="G8396" s="31"/>
      <c r="H8396" s="31"/>
      <c r="I8396" s="31"/>
      <c r="J8396" s="31"/>
    </row>
    <row r="8397" spans="7:10" s="29" customFormat="1" x14ac:dyDescent="0.2">
      <c r="G8397" s="31"/>
      <c r="H8397" s="31"/>
      <c r="I8397" s="31"/>
      <c r="J8397" s="31"/>
    </row>
    <row r="8398" spans="7:10" s="29" customFormat="1" x14ac:dyDescent="0.2">
      <c r="G8398" s="31"/>
      <c r="H8398" s="31"/>
      <c r="I8398" s="31"/>
      <c r="J8398" s="31"/>
    </row>
    <row r="8399" spans="7:10" s="29" customFormat="1" x14ac:dyDescent="0.2">
      <c r="G8399" s="31"/>
      <c r="H8399" s="31"/>
      <c r="I8399" s="31"/>
      <c r="J8399" s="31"/>
    </row>
    <row r="8400" spans="7:10" s="29" customFormat="1" x14ac:dyDescent="0.2">
      <c r="G8400" s="31"/>
      <c r="H8400" s="31"/>
      <c r="I8400" s="31"/>
      <c r="J8400" s="31"/>
    </row>
    <row r="8401" spans="7:10" s="29" customFormat="1" x14ac:dyDescent="0.2">
      <c r="G8401" s="31"/>
      <c r="H8401" s="31"/>
      <c r="I8401" s="31"/>
      <c r="J8401" s="31"/>
    </row>
    <row r="8402" spans="7:10" s="29" customFormat="1" x14ac:dyDescent="0.2">
      <c r="G8402" s="31"/>
      <c r="H8402" s="31"/>
      <c r="I8402" s="31"/>
      <c r="J8402" s="31"/>
    </row>
    <row r="8403" spans="7:10" s="29" customFormat="1" x14ac:dyDescent="0.2">
      <c r="G8403" s="31"/>
      <c r="H8403" s="31"/>
      <c r="I8403" s="31"/>
      <c r="J8403" s="31"/>
    </row>
    <row r="8404" spans="7:10" s="29" customFormat="1" x14ac:dyDescent="0.2">
      <c r="G8404" s="31"/>
      <c r="H8404" s="31"/>
      <c r="I8404" s="31"/>
      <c r="J8404" s="31"/>
    </row>
    <row r="8405" spans="7:10" s="29" customFormat="1" x14ac:dyDescent="0.2">
      <c r="G8405" s="31"/>
      <c r="H8405" s="31"/>
      <c r="I8405" s="31"/>
      <c r="J8405" s="31"/>
    </row>
    <row r="8406" spans="7:10" s="29" customFormat="1" x14ac:dyDescent="0.2">
      <c r="G8406" s="31"/>
      <c r="H8406" s="31"/>
      <c r="I8406" s="31"/>
      <c r="J8406" s="31"/>
    </row>
    <row r="8407" spans="7:10" s="29" customFormat="1" x14ac:dyDescent="0.2">
      <c r="G8407" s="31"/>
      <c r="H8407" s="31"/>
      <c r="I8407" s="31"/>
      <c r="J8407" s="31"/>
    </row>
    <row r="8408" spans="7:10" s="29" customFormat="1" x14ac:dyDescent="0.2">
      <c r="G8408" s="31"/>
      <c r="H8408" s="31"/>
      <c r="I8408" s="31"/>
      <c r="J8408" s="31"/>
    </row>
    <row r="8409" spans="7:10" s="29" customFormat="1" x14ac:dyDescent="0.2">
      <c r="G8409" s="31"/>
      <c r="H8409" s="31"/>
      <c r="I8409" s="31"/>
      <c r="J8409" s="31"/>
    </row>
    <row r="8410" spans="7:10" s="29" customFormat="1" x14ac:dyDescent="0.2">
      <c r="G8410" s="31"/>
      <c r="H8410" s="31"/>
      <c r="I8410" s="31"/>
      <c r="J8410" s="31"/>
    </row>
    <row r="8411" spans="7:10" s="29" customFormat="1" x14ac:dyDescent="0.2">
      <c r="G8411" s="31"/>
      <c r="H8411" s="31"/>
      <c r="I8411" s="31"/>
      <c r="J8411" s="31"/>
    </row>
    <row r="8412" spans="7:10" s="29" customFormat="1" x14ac:dyDescent="0.2">
      <c r="G8412" s="31"/>
      <c r="H8412" s="31"/>
      <c r="I8412" s="31"/>
      <c r="J8412" s="31"/>
    </row>
    <row r="8413" spans="7:10" s="29" customFormat="1" x14ac:dyDescent="0.2">
      <c r="G8413" s="31"/>
      <c r="H8413" s="31"/>
      <c r="I8413" s="31"/>
      <c r="J8413" s="31"/>
    </row>
    <row r="8414" spans="7:10" s="29" customFormat="1" x14ac:dyDescent="0.2">
      <c r="G8414" s="31"/>
      <c r="H8414" s="31"/>
      <c r="I8414" s="31"/>
      <c r="J8414" s="31"/>
    </row>
    <row r="8415" spans="7:10" s="29" customFormat="1" x14ac:dyDescent="0.2">
      <c r="G8415" s="31"/>
      <c r="H8415" s="31"/>
      <c r="I8415" s="31"/>
      <c r="J8415" s="31"/>
    </row>
    <row r="8416" spans="7:10" s="29" customFormat="1" x14ac:dyDescent="0.2">
      <c r="G8416" s="31"/>
      <c r="H8416" s="31"/>
      <c r="I8416" s="31"/>
      <c r="J8416" s="31"/>
    </row>
    <row r="8417" spans="7:10" s="29" customFormat="1" x14ac:dyDescent="0.2">
      <c r="G8417" s="31"/>
      <c r="H8417" s="31"/>
      <c r="I8417" s="31"/>
      <c r="J8417" s="31"/>
    </row>
    <row r="8418" spans="7:10" s="29" customFormat="1" x14ac:dyDescent="0.2">
      <c r="G8418" s="31"/>
      <c r="H8418" s="31"/>
      <c r="I8418" s="31"/>
      <c r="J8418" s="31"/>
    </row>
    <row r="8419" spans="7:10" s="29" customFormat="1" x14ac:dyDescent="0.2">
      <c r="G8419" s="31"/>
      <c r="H8419" s="31"/>
      <c r="I8419" s="31"/>
      <c r="J8419" s="31"/>
    </row>
    <row r="8420" spans="7:10" s="29" customFormat="1" x14ac:dyDescent="0.2">
      <c r="G8420" s="31"/>
      <c r="H8420" s="31"/>
      <c r="I8420" s="31"/>
      <c r="J8420" s="31"/>
    </row>
    <row r="8421" spans="7:10" s="29" customFormat="1" x14ac:dyDescent="0.2">
      <c r="G8421" s="31"/>
      <c r="H8421" s="31"/>
      <c r="I8421" s="31"/>
      <c r="J8421" s="31"/>
    </row>
    <row r="8422" spans="7:10" s="29" customFormat="1" x14ac:dyDescent="0.2">
      <c r="G8422" s="31"/>
      <c r="H8422" s="31"/>
      <c r="I8422" s="31"/>
      <c r="J8422" s="31"/>
    </row>
    <row r="8423" spans="7:10" s="29" customFormat="1" x14ac:dyDescent="0.2">
      <c r="G8423" s="31"/>
      <c r="H8423" s="31"/>
      <c r="I8423" s="31"/>
      <c r="J8423" s="31"/>
    </row>
    <row r="8424" spans="7:10" s="29" customFormat="1" x14ac:dyDescent="0.2">
      <c r="G8424" s="31"/>
      <c r="H8424" s="31"/>
      <c r="I8424" s="31"/>
      <c r="J8424" s="31"/>
    </row>
    <row r="8425" spans="7:10" s="29" customFormat="1" x14ac:dyDescent="0.2">
      <c r="G8425" s="31"/>
      <c r="H8425" s="31"/>
      <c r="I8425" s="31"/>
      <c r="J8425" s="31"/>
    </row>
    <row r="8426" spans="7:10" s="29" customFormat="1" x14ac:dyDescent="0.2">
      <c r="G8426" s="31"/>
      <c r="H8426" s="31"/>
      <c r="I8426" s="31"/>
      <c r="J8426" s="31"/>
    </row>
    <row r="8427" spans="7:10" s="29" customFormat="1" x14ac:dyDescent="0.2">
      <c r="G8427" s="31"/>
      <c r="H8427" s="31"/>
      <c r="I8427" s="31"/>
      <c r="J8427" s="31"/>
    </row>
    <row r="8428" spans="7:10" s="29" customFormat="1" x14ac:dyDescent="0.2">
      <c r="G8428" s="31"/>
      <c r="H8428" s="31"/>
      <c r="I8428" s="31"/>
      <c r="J8428" s="31"/>
    </row>
    <row r="8429" spans="7:10" s="29" customFormat="1" x14ac:dyDescent="0.2">
      <c r="G8429" s="31"/>
      <c r="H8429" s="31"/>
      <c r="I8429" s="31"/>
      <c r="J8429" s="31"/>
    </row>
    <row r="8430" spans="7:10" s="29" customFormat="1" x14ac:dyDescent="0.2">
      <c r="G8430" s="31"/>
      <c r="H8430" s="31"/>
      <c r="I8430" s="31"/>
      <c r="J8430" s="31"/>
    </row>
    <row r="8431" spans="7:10" s="29" customFormat="1" x14ac:dyDescent="0.2">
      <c r="G8431" s="31"/>
      <c r="H8431" s="31"/>
      <c r="I8431" s="31"/>
      <c r="J8431" s="31"/>
    </row>
    <row r="8432" spans="7:10" s="29" customFormat="1" x14ac:dyDescent="0.2">
      <c r="G8432" s="31"/>
      <c r="H8432" s="31"/>
      <c r="I8432" s="31"/>
      <c r="J8432" s="31"/>
    </row>
    <row r="8433" spans="7:10" s="29" customFormat="1" x14ac:dyDescent="0.2">
      <c r="G8433" s="31"/>
      <c r="H8433" s="31"/>
      <c r="I8433" s="31"/>
      <c r="J8433" s="31"/>
    </row>
    <row r="8434" spans="7:10" s="29" customFormat="1" x14ac:dyDescent="0.2">
      <c r="G8434" s="31"/>
      <c r="H8434" s="31"/>
      <c r="I8434" s="31"/>
      <c r="J8434" s="31"/>
    </row>
    <row r="8435" spans="7:10" s="29" customFormat="1" x14ac:dyDescent="0.2">
      <c r="G8435" s="31"/>
      <c r="H8435" s="31"/>
      <c r="I8435" s="31"/>
      <c r="J8435" s="31"/>
    </row>
    <row r="8436" spans="7:10" s="29" customFormat="1" x14ac:dyDescent="0.2">
      <c r="G8436" s="31"/>
      <c r="H8436" s="31"/>
      <c r="I8436" s="31"/>
      <c r="J8436" s="31"/>
    </row>
    <row r="8437" spans="7:10" s="29" customFormat="1" x14ac:dyDescent="0.2">
      <c r="G8437" s="31"/>
      <c r="H8437" s="31"/>
      <c r="I8437" s="31"/>
      <c r="J8437" s="31"/>
    </row>
    <row r="8438" spans="7:10" s="29" customFormat="1" x14ac:dyDescent="0.2">
      <c r="G8438" s="31"/>
      <c r="H8438" s="31"/>
      <c r="I8438" s="31"/>
      <c r="J8438" s="31"/>
    </row>
    <row r="8439" spans="7:10" s="29" customFormat="1" x14ac:dyDescent="0.2">
      <c r="G8439" s="31"/>
      <c r="H8439" s="31"/>
      <c r="I8439" s="31"/>
      <c r="J8439" s="31"/>
    </row>
    <row r="8440" spans="7:10" s="29" customFormat="1" x14ac:dyDescent="0.2">
      <c r="G8440" s="31"/>
      <c r="H8440" s="31"/>
      <c r="I8440" s="31"/>
      <c r="J8440" s="31"/>
    </row>
    <row r="8441" spans="7:10" s="29" customFormat="1" x14ac:dyDescent="0.2">
      <c r="G8441" s="31"/>
      <c r="H8441" s="31"/>
      <c r="I8441" s="31"/>
      <c r="J8441" s="31"/>
    </row>
    <row r="8442" spans="7:10" s="29" customFormat="1" x14ac:dyDescent="0.2">
      <c r="G8442" s="31"/>
      <c r="H8442" s="31"/>
      <c r="I8442" s="31"/>
      <c r="J8442" s="31"/>
    </row>
    <row r="8443" spans="7:10" s="29" customFormat="1" x14ac:dyDescent="0.2">
      <c r="G8443" s="31"/>
      <c r="H8443" s="31"/>
      <c r="I8443" s="31"/>
      <c r="J8443" s="31"/>
    </row>
    <row r="8444" spans="7:10" s="29" customFormat="1" x14ac:dyDescent="0.2">
      <c r="G8444" s="31"/>
      <c r="H8444" s="31"/>
      <c r="I8444" s="31"/>
      <c r="J8444" s="31"/>
    </row>
    <row r="8445" spans="7:10" s="29" customFormat="1" x14ac:dyDescent="0.2">
      <c r="G8445" s="31"/>
      <c r="H8445" s="31"/>
      <c r="I8445" s="31"/>
      <c r="J8445" s="31"/>
    </row>
    <row r="8446" spans="7:10" s="29" customFormat="1" x14ac:dyDescent="0.2">
      <c r="G8446" s="31"/>
      <c r="H8446" s="31"/>
      <c r="I8446" s="31"/>
      <c r="J8446" s="31"/>
    </row>
    <row r="8447" spans="7:10" s="29" customFormat="1" x14ac:dyDescent="0.2">
      <c r="G8447" s="31"/>
      <c r="H8447" s="31"/>
      <c r="I8447" s="31"/>
      <c r="J8447" s="31"/>
    </row>
    <row r="8448" spans="7:10" s="29" customFormat="1" x14ac:dyDescent="0.2">
      <c r="G8448" s="31"/>
      <c r="H8448" s="31"/>
      <c r="I8448" s="31"/>
      <c r="J8448" s="31"/>
    </row>
    <row r="8449" spans="7:10" s="29" customFormat="1" x14ac:dyDescent="0.2">
      <c r="G8449" s="31"/>
      <c r="H8449" s="31"/>
      <c r="I8449" s="31"/>
      <c r="J8449" s="31"/>
    </row>
    <row r="8450" spans="7:10" s="29" customFormat="1" x14ac:dyDescent="0.2">
      <c r="G8450" s="31"/>
      <c r="H8450" s="31"/>
      <c r="I8450" s="31"/>
      <c r="J8450" s="31"/>
    </row>
    <row r="8451" spans="7:10" s="29" customFormat="1" x14ac:dyDescent="0.2">
      <c r="G8451" s="31"/>
      <c r="H8451" s="31"/>
      <c r="I8451" s="31"/>
      <c r="J8451" s="31"/>
    </row>
    <row r="8452" spans="7:10" s="29" customFormat="1" x14ac:dyDescent="0.2">
      <c r="G8452" s="31"/>
      <c r="H8452" s="31"/>
      <c r="I8452" s="31"/>
      <c r="J8452" s="31"/>
    </row>
    <row r="8453" spans="7:10" s="29" customFormat="1" x14ac:dyDescent="0.2">
      <c r="G8453" s="31"/>
      <c r="H8453" s="31"/>
      <c r="I8453" s="31"/>
      <c r="J8453" s="31"/>
    </row>
    <row r="8454" spans="7:10" s="29" customFormat="1" x14ac:dyDescent="0.2">
      <c r="G8454" s="31"/>
      <c r="H8454" s="31"/>
      <c r="I8454" s="31"/>
      <c r="J8454" s="31"/>
    </row>
    <row r="8455" spans="7:10" s="29" customFormat="1" x14ac:dyDescent="0.2">
      <c r="G8455" s="31"/>
      <c r="H8455" s="31"/>
      <c r="I8455" s="31"/>
      <c r="J8455" s="31"/>
    </row>
    <row r="8456" spans="7:10" s="29" customFormat="1" x14ac:dyDescent="0.2">
      <c r="G8456" s="31"/>
      <c r="H8456" s="31"/>
      <c r="I8456" s="31"/>
      <c r="J8456" s="31"/>
    </row>
    <row r="8457" spans="7:10" s="29" customFormat="1" x14ac:dyDescent="0.2">
      <c r="G8457" s="31"/>
      <c r="H8457" s="31"/>
      <c r="I8457" s="31"/>
      <c r="J8457" s="31"/>
    </row>
    <row r="8458" spans="7:10" s="29" customFormat="1" x14ac:dyDescent="0.2">
      <c r="G8458" s="31"/>
      <c r="H8458" s="31"/>
      <c r="I8458" s="31"/>
      <c r="J8458" s="31"/>
    </row>
    <row r="8459" spans="7:10" s="29" customFormat="1" x14ac:dyDescent="0.2">
      <c r="G8459" s="31"/>
      <c r="H8459" s="31"/>
      <c r="I8459" s="31"/>
      <c r="J8459" s="31"/>
    </row>
    <row r="8460" spans="7:10" s="29" customFormat="1" x14ac:dyDescent="0.2">
      <c r="G8460" s="31"/>
      <c r="H8460" s="31"/>
      <c r="I8460" s="31"/>
      <c r="J8460" s="31"/>
    </row>
    <row r="8461" spans="7:10" s="29" customFormat="1" x14ac:dyDescent="0.2">
      <c r="G8461" s="31"/>
      <c r="H8461" s="31"/>
      <c r="I8461" s="31"/>
      <c r="J8461" s="31"/>
    </row>
    <row r="8462" spans="7:10" s="29" customFormat="1" x14ac:dyDescent="0.2">
      <c r="G8462" s="31"/>
      <c r="H8462" s="31"/>
      <c r="I8462" s="31"/>
      <c r="J8462" s="31"/>
    </row>
    <row r="8463" spans="7:10" s="29" customFormat="1" x14ac:dyDescent="0.2">
      <c r="G8463" s="31"/>
      <c r="H8463" s="31"/>
      <c r="I8463" s="31"/>
      <c r="J8463" s="31"/>
    </row>
    <row r="8464" spans="7:10" s="29" customFormat="1" x14ac:dyDescent="0.2">
      <c r="G8464" s="31"/>
      <c r="H8464" s="31"/>
      <c r="I8464" s="31"/>
      <c r="J8464" s="31"/>
    </row>
    <row r="8465" spans="7:10" s="29" customFormat="1" x14ac:dyDescent="0.2">
      <c r="G8465" s="31"/>
      <c r="H8465" s="31"/>
      <c r="I8465" s="31"/>
      <c r="J8465" s="31"/>
    </row>
    <row r="8466" spans="7:10" s="29" customFormat="1" x14ac:dyDescent="0.2">
      <c r="G8466" s="31"/>
      <c r="H8466" s="31"/>
      <c r="I8466" s="31"/>
      <c r="J8466" s="31"/>
    </row>
    <row r="8467" spans="7:10" s="29" customFormat="1" x14ac:dyDescent="0.2">
      <c r="G8467" s="31"/>
      <c r="H8467" s="31"/>
      <c r="I8467" s="31"/>
      <c r="J8467" s="31"/>
    </row>
    <row r="8468" spans="7:10" s="29" customFormat="1" x14ac:dyDescent="0.2">
      <c r="G8468" s="31"/>
      <c r="H8468" s="31"/>
      <c r="I8468" s="31"/>
      <c r="J8468" s="31"/>
    </row>
    <row r="8469" spans="7:10" s="29" customFormat="1" x14ac:dyDescent="0.2">
      <c r="G8469" s="31"/>
      <c r="H8469" s="31"/>
      <c r="I8469" s="31"/>
      <c r="J8469" s="31"/>
    </row>
    <row r="8470" spans="7:10" s="29" customFormat="1" x14ac:dyDescent="0.2">
      <c r="G8470" s="31"/>
      <c r="H8470" s="31"/>
      <c r="I8470" s="31"/>
      <c r="J8470" s="31"/>
    </row>
    <row r="8471" spans="7:10" s="29" customFormat="1" x14ac:dyDescent="0.2">
      <c r="G8471" s="31"/>
      <c r="H8471" s="31"/>
      <c r="I8471" s="31"/>
      <c r="J8471" s="31"/>
    </row>
    <row r="8472" spans="7:10" s="29" customFormat="1" x14ac:dyDescent="0.2">
      <c r="G8472" s="31"/>
      <c r="H8472" s="31"/>
      <c r="I8472" s="31"/>
      <c r="J8472" s="31"/>
    </row>
    <row r="8473" spans="7:10" s="29" customFormat="1" x14ac:dyDescent="0.2">
      <c r="G8473" s="31"/>
      <c r="H8473" s="31"/>
      <c r="I8473" s="31"/>
      <c r="J8473" s="31"/>
    </row>
    <row r="8474" spans="7:10" s="29" customFormat="1" x14ac:dyDescent="0.2">
      <c r="G8474" s="31"/>
      <c r="H8474" s="31"/>
      <c r="I8474" s="31"/>
      <c r="J8474" s="31"/>
    </row>
    <row r="8475" spans="7:10" s="29" customFormat="1" x14ac:dyDescent="0.2">
      <c r="G8475" s="31"/>
      <c r="H8475" s="31"/>
      <c r="I8475" s="31"/>
      <c r="J8475" s="31"/>
    </row>
    <row r="8476" spans="7:10" s="29" customFormat="1" x14ac:dyDescent="0.2">
      <c r="G8476" s="31"/>
      <c r="H8476" s="31"/>
      <c r="I8476" s="31"/>
      <c r="J8476" s="31"/>
    </row>
    <row r="8477" spans="7:10" s="29" customFormat="1" x14ac:dyDescent="0.2">
      <c r="G8477" s="31"/>
      <c r="H8477" s="31"/>
      <c r="I8477" s="31"/>
      <c r="J8477" s="31"/>
    </row>
    <row r="8478" spans="7:10" s="29" customFormat="1" x14ac:dyDescent="0.2">
      <c r="G8478" s="31"/>
      <c r="H8478" s="31"/>
      <c r="I8478" s="31"/>
      <c r="J8478" s="31"/>
    </row>
    <row r="8479" spans="7:10" s="29" customFormat="1" x14ac:dyDescent="0.2">
      <c r="G8479" s="31"/>
      <c r="H8479" s="31"/>
      <c r="I8479" s="31"/>
      <c r="J8479" s="31"/>
    </row>
    <row r="8480" spans="7:10" s="29" customFormat="1" x14ac:dyDescent="0.2">
      <c r="G8480" s="31"/>
      <c r="H8480" s="31"/>
      <c r="I8480" s="31"/>
      <c r="J8480" s="31"/>
    </row>
    <row r="8481" spans="7:10" s="29" customFormat="1" x14ac:dyDescent="0.2">
      <c r="G8481" s="31"/>
      <c r="H8481" s="31"/>
      <c r="I8481" s="31"/>
      <c r="J8481" s="31"/>
    </row>
    <row r="8482" spans="7:10" s="29" customFormat="1" x14ac:dyDescent="0.2">
      <c r="G8482" s="31"/>
      <c r="H8482" s="31"/>
      <c r="I8482" s="31"/>
      <c r="J8482" s="31"/>
    </row>
    <row r="8483" spans="7:10" s="29" customFormat="1" x14ac:dyDescent="0.2">
      <c r="G8483" s="31"/>
      <c r="H8483" s="31"/>
      <c r="I8483" s="31"/>
      <c r="J8483" s="31"/>
    </row>
    <row r="8484" spans="7:10" s="29" customFormat="1" x14ac:dyDescent="0.2">
      <c r="G8484" s="31"/>
      <c r="H8484" s="31"/>
      <c r="I8484" s="31"/>
      <c r="J8484" s="31"/>
    </row>
    <row r="8485" spans="7:10" s="29" customFormat="1" x14ac:dyDescent="0.2">
      <c r="G8485" s="31"/>
      <c r="H8485" s="31"/>
      <c r="I8485" s="31"/>
      <c r="J8485" s="31"/>
    </row>
    <row r="8486" spans="7:10" s="29" customFormat="1" x14ac:dyDescent="0.2">
      <c r="G8486" s="31"/>
      <c r="H8486" s="31"/>
      <c r="I8486" s="31"/>
      <c r="J8486" s="31"/>
    </row>
    <row r="8487" spans="7:10" s="29" customFormat="1" x14ac:dyDescent="0.2">
      <c r="G8487" s="31"/>
      <c r="H8487" s="31"/>
      <c r="I8487" s="31"/>
      <c r="J8487" s="31"/>
    </row>
    <row r="8488" spans="7:10" s="29" customFormat="1" x14ac:dyDescent="0.2">
      <c r="G8488" s="31"/>
      <c r="H8488" s="31"/>
      <c r="I8488" s="31"/>
      <c r="J8488" s="31"/>
    </row>
    <row r="8489" spans="7:10" s="29" customFormat="1" x14ac:dyDescent="0.2">
      <c r="G8489" s="31"/>
      <c r="H8489" s="31"/>
      <c r="I8489" s="31"/>
      <c r="J8489" s="31"/>
    </row>
    <row r="8490" spans="7:10" s="29" customFormat="1" x14ac:dyDescent="0.2">
      <c r="G8490" s="31"/>
      <c r="H8490" s="31"/>
      <c r="I8490" s="31"/>
      <c r="J8490" s="31"/>
    </row>
    <row r="8491" spans="7:10" s="29" customFormat="1" x14ac:dyDescent="0.2">
      <c r="G8491" s="31"/>
      <c r="H8491" s="31"/>
      <c r="I8491" s="31"/>
      <c r="J8491" s="31"/>
    </row>
    <row r="8492" spans="7:10" s="29" customFormat="1" x14ac:dyDescent="0.2">
      <c r="G8492" s="31"/>
      <c r="H8492" s="31"/>
      <c r="I8492" s="31"/>
      <c r="J8492" s="31"/>
    </row>
    <row r="8493" spans="7:10" s="29" customFormat="1" x14ac:dyDescent="0.2">
      <c r="G8493" s="31"/>
      <c r="H8493" s="31"/>
      <c r="I8493" s="31"/>
      <c r="J8493" s="31"/>
    </row>
    <row r="8494" spans="7:10" s="29" customFormat="1" x14ac:dyDescent="0.2">
      <c r="G8494" s="31"/>
      <c r="H8494" s="31"/>
      <c r="I8494" s="31"/>
      <c r="J8494" s="31"/>
    </row>
    <row r="8495" spans="7:10" s="29" customFormat="1" x14ac:dyDescent="0.2">
      <c r="G8495" s="31"/>
      <c r="H8495" s="31"/>
      <c r="I8495" s="31"/>
      <c r="J8495" s="31"/>
    </row>
    <row r="8496" spans="7:10" s="29" customFormat="1" x14ac:dyDescent="0.2">
      <c r="G8496" s="31"/>
      <c r="H8496" s="31"/>
      <c r="I8496" s="31"/>
      <c r="J8496" s="31"/>
    </row>
    <row r="8497" spans="7:10" s="29" customFormat="1" x14ac:dyDescent="0.2">
      <c r="G8497" s="31"/>
      <c r="H8497" s="31"/>
      <c r="I8497" s="31"/>
      <c r="J8497" s="31"/>
    </row>
    <row r="8498" spans="7:10" s="29" customFormat="1" x14ac:dyDescent="0.2">
      <c r="G8498" s="31"/>
      <c r="H8498" s="31"/>
      <c r="I8498" s="31"/>
      <c r="J8498" s="31"/>
    </row>
    <row r="8499" spans="7:10" s="29" customFormat="1" x14ac:dyDescent="0.2">
      <c r="G8499" s="31"/>
      <c r="H8499" s="31"/>
      <c r="I8499" s="31"/>
      <c r="J8499" s="31"/>
    </row>
    <row r="8500" spans="7:10" s="29" customFormat="1" x14ac:dyDescent="0.2">
      <c r="G8500" s="31"/>
      <c r="H8500" s="31"/>
      <c r="I8500" s="31"/>
      <c r="J8500" s="31"/>
    </row>
    <row r="8501" spans="7:10" s="29" customFormat="1" x14ac:dyDescent="0.2">
      <c r="G8501" s="31"/>
      <c r="H8501" s="31"/>
      <c r="I8501" s="31"/>
      <c r="J8501" s="31"/>
    </row>
    <row r="8502" spans="7:10" s="29" customFormat="1" x14ac:dyDescent="0.2">
      <c r="G8502" s="31"/>
      <c r="H8502" s="31"/>
      <c r="I8502" s="31"/>
      <c r="J8502" s="31"/>
    </row>
    <row r="8503" spans="7:10" s="29" customFormat="1" x14ac:dyDescent="0.2">
      <c r="G8503" s="31"/>
      <c r="H8503" s="31"/>
      <c r="I8503" s="31"/>
      <c r="J8503" s="31"/>
    </row>
    <row r="8504" spans="7:10" s="29" customFormat="1" x14ac:dyDescent="0.2">
      <c r="G8504" s="31"/>
      <c r="H8504" s="31"/>
      <c r="I8504" s="31"/>
      <c r="J8504" s="31"/>
    </row>
    <row r="8505" spans="7:10" s="29" customFormat="1" x14ac:dyDescent="0.2">
      <c r="G8505" s="31"/>
      <c r="H8505" s="31"/>
      <c r="I8505" s="31"/>
      <c r="J8505" s="31"/>
    </row>
    <row r="8506" spans="7:10" s="29" customFormat="1" x14ac:dyDescent="0.2">
      <c r="G8506" s="31"/>
      <c r="H8506" s="31"/>
      <c r="I8506" s="31"/>
      <c r="J8506" s="31"/>
    </row>
    <row r="8507" spans="7:10" s="29" customFormat="1" x14ac:dyDescent="0.2">
      <c r="G8507" s="31"/>
      <c r="H8507" s="31"/>
      <c r="I8507" s="31"/>
      <c r="J8507" s="31"/>
    </row>
    <row r="8508" spans="7:10" s="29" customFormat="1" x14ac:dyDescent="0.2">
      <c r="G8508" s="31"/>
      <c r="H8508" s="31"/>
      <c r="I8508" s="31"/>
      <c r="J8508" s="31"/>
    </row>
    <row r="8509" spans="7:10" s="29" customFormat="1" x14ac:dyDescent="0.2">
      <c r="G8509" s="31"/>
      <c r="H8509" s="31"/>
      <c r="I8509" s="31"/>
      <c r="J8509" s="31"/>
    </row>
    <row r="8510" spans="7:10" s="29" customFormat="1" x14ac:dyDescent="0.2">
      <c r="G8510" s="31"/>
      <c r="H8510" s="31"/>
      <c r="I8510" s="31"/>
      <c r="J8510" s="31"/>
    </row>
    <row r="8511" spans="7:10" s="29" customFormat="1" x14ac:dyDescent="0.2">
      <c r="G8511" s="31"/>
      <c r="H8511" s="31"/>
      <c r="I8511" s="31"/>
      <c r="J8511" s="31"/>
    </row>
    <row r="8512" spans="7:10" s="29" customFormat="1" x14ac:dyDescent="0.2">
      <c r="G8512" s="31"/>
      <c r="H8512" s="31"/>
      <c r="I8512" s="31"/>
      <c r="J8512" s="31"/>
    </row>
    <row r="8513" spans="7:10" s="29" customFormat="1" x14ac:dyDescent="0.2">
      <c r="G8513" s="31"/>
      <c r="H8513" s="31"/>
      <c r="I8513" s="31"/>
      <c r="J8513" s="31"/>
    </row>
    <row r="8514" spans="7:10" s="29" customFormat="1" x14ac:dyDescent="0.2">
      <c r="G8514" s="31"/>
      <c r="H8514" s="31"/>
      <c r="I8514" s="31"/>
      <c r="J8514" s="31"/>
    </row>
    <row r="8515" spans="7:10" s="29" customFormat="1" x14ac:dyDescent="0.2">
      <c r="G8515" s="31"/>
      <c r="H8515" s="31"/>
      <c r="I8515" s="31"/>
      <c r="J8515" s="31"/>
    </row>
    <row r="8516" spans="7:10" s="29" customFormat="1" x14ac:dyDescent="0.2">
      <c r="G8516" s="31"/>
      <c r="H8516" s="31"/>
      <c r="I8516" s="31"/>
      <c r="J8516" s="31"/>
    </row>
    <row r="8517" spans="7:10" s="29" customFormat="1" x14ac:dyDescent="0.2">
      <c r="G8517" s="31"/>
      <c r="H8517" s="31"/>
      <c r="I8517" s="31"/>
      <c r="J8517" s="31"/>
    </row>
    <row r="8518" spans="7:10" s="29" customFormat="1" x14ac:dyDescent="0.2">
      <c r="G8518" s="31"/>
      <c r="H8518" s="31"/>
      <c r="I8518" s="31"/>
      <c r="J8518" s="31"/>
    </row>
    <row r="8519" spans="7:10" s="29" customFormat="1" x14ac:dyDescent="0.2">
      <c r="G8519" s="31"/>
      <c r="H8519" s="31"/>
      <c r="I8519" s="31"/>
      <c r="J8519" s="31"/>
    </row>
    <row r="8520" spans="7:10" s="29" customFormat="1" x14ac:dyDescent="0.2">
      <c r="G8520" s="31"/>
      <c r="H8520" s="31"/>
      <c r="I8520" s="31"/>
      <c r="J8520" s="31"/>
    </row>
    <row r="8521" spans="7:10" s="29" customFormat="1" x14ac:dyDescent="0.2">
      <c r="G8521" s="31"/>
      <c r="H8521" s="31"/>
      <c r="I8521" s="31"/>
      <c r="J8521" s="31"/>
    </row>
    <row r="8522" spans="7:10" s="29" customFormat="1" x14ac:dyDescent="0.2">
      <c r="G8522" s="31"/>
      <c r="H8522" s="31"/>
      <c r="I8522" s="31"/>
      <c r="J8522" s="31"/>
    </row>
  </sheetData>
  <sheetProtection formatCells="0" formatColumns="0" formatRows="0" insertColumns="0" insertRows="0" insertHyperlinks="0" deleteColumns="0" deleteRows="0" selectLockedCells="1" sort="0" autoFilter="0" pivotTables="0"/>
  <autoFilter ref="A1:J8522">
    <sortState ref="A2:G8567">
      <sortCondition ref="A1:A8567"/>
    </sortState>
  </autoFilter>
  <pageMargins left="0.78740157499999996" right="0.78740157499999996" top="0.984251969" bottom="0.984251969" header="0.4921259845" footer="0.4921259845"/>
  <pageSetup paperSize="9" scale="48"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System_configuration</vt:lpstr>
      <vt:lpstr>Data_source</vt:lpstr>
      <vt:lpstr>System_configuration!Drucktitel</vt:lpstr>
    </vt:vector>
  </TitlesOfParts>
  <Manager>Michael Golz</Manager>
  <Company>Beckhoff Automation GmbH &amp; Co. KG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Calculation E- and K-Bus current</dc:title>
  <dc:creator>Michael Golz</dc:creator>
  <cp:lastModifiedBy>Michael Golz</cp:lastModifiedBy>
  <cp:lastPrinted>2008-02-18T12:20:04Z</cp:lastPrinted>
  <dcterms:created xsi:type="dcterms:W3CDTF">2008-01-21T11:37:13Z</dcterms:created>
  <dcterms:modified xsi:type="dcterms:W3CDTF">2018-05-18T14:16:35Z</dcterms:modified>
</cp:coreProperties>
</file>